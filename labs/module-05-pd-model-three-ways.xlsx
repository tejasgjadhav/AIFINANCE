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ata" sheetId="1" state="visible" r:id="rId1"/>
    <sheet xmlns:r="http://schemas.openxmlformats.org/officeDocument/2006/relationships" name="2 Logistic Regression" sheetId="2" state="visible" r:id="rId2"/>
    <sheet xmlns:r="http://schemas.openxmlformats.org/officeDocument/2006/relationships" name="3 Decision Tree" sheetId="3" state="visible" r:id="rId3"/>
    <sheet xmlns:r="http://schemas.openxmlformats.org/officeDocument/2006/relationships" name="4 XGBoost" sheetId="4" state="visible" r:id="rId4"/>
    <sheet xmlns:r="http://schemas.openxmlformats.org/officeDocument/2006/relationships" name="5 Compare" sheetId="5" state="visible" r:id="rId5"/>
    <sheet xmlns:r="http://schemas.openxmlformats.org/officeDocument/2006/relationships" name="6 AUC and KS live" sheetId="6" state="visible" r:id="rId6"/>
  </sheets>
  <definedNames/>
  <calcPr calcId="124519" fullCalcOnLoad="1"/>
</workbook>
</file>

<file path=xl/styles.xml><?xml version="1.0" encoding="utf-8"?>
<styleSheet xmlns="http://schemas.openxmlformats.org/spreadsheetml/2006/main">
  <numFmts count="5">
    <numFmt numFmtId="164" formatCode="0.0000"/>
    <numFmt numFmtId="165" formatCode="0.00000000"/>
    <numFmt numFmtId="166" formatCode="0.0"/>
    <numFmt numFmtId="167" formatCode="0.0%"/>
    <numFmt numFmtId="168" formatCode="#,##0.0"/>
  </numFmts>
  <fonts count="33">
    <font>
      <name val="Calibri"/>
      <family val="2"/>
      <color theme="1"/>
      <sz val="11"/>
      <scheme val="minor"/>
    </font>
    <font>
      <name val="Arial"/>
      <b val="1"/>
      <color rgb="001F2937"/>
      <sz val="18"/>
    </font>
    <font>
      <name val="Arial"/>
      <color rgb="006B7280"/>
      <sz val="10.5"/>
    </font>
    <font>
      <name val="Arial"/>
      <color rgb="00000000"/>
      <sz val="10"/>
    </font>
    <font>
      <name val="Arial"/>
      <b val="1"/>
      <color rgb="00FFFFFF"/>
      <sz val="9"/>
    </font>
    <font>
      <name val="Arial"/>
      <color rgb="000000FF"/>
      <sz val="9.5"/>
    </font>
    <font>
      <name val="Arial"/>
      <b val="1"/>
      <color rgb="00000000"/>
      <sz val="9.5"/>
    </font>
    <font>
      <name val="Arial"/>
      <b val="1"/>
      <color rgb="00C8102E"/>
      <sz val="9.5"/>
    </font>
    <font>
      <name val="Arial"/>
      <b val="1"/>
      <color rgb="000000FF"/>
      <sz val="10"/>
    </font>
    <font>
      <name val="Arial"/>
      <color rgb="006B7280"/>
      <sz val="9.5"/>
    </font>
    <font>
      <name val="Arial"/>
      <b val="1"/>
      <color rgb="001F2937"/>
      <sz val="10.5"/>
    </font>
    <font>
      <name val="Arial"/>
      <color rgb="00008000"/>
      <sz val="9.5"/>
    </font>
    <font>
      <name val="Arial"/>
      <color rgb="00000000"/>
      <sz val="9.5"/>
    </font>
    <font>
      <name val="Arial"/>
      <b val="1"/>
      <color rgb="00FFFFFF"/>
      <sz val="11"/>
    </font>
    <font>
      <name val="Arial"/>
      <b val="1"/>
      <color rgb="001F2937"/>
      <sz val="11"/>
    </font>
    <font>
      <name val="Arial"/>
      <b val="1"/>
      <color rgb="001F2937"/>
      <sz val="10"/>
    </font>
    <font>
      <name val="Arial"/>
      <b val="1"/>
      <color rgb="00C8102E"/>
      <sz val="11"/>
    </font>
    <font>
      <name val="Arial"/>
      <i val="1"/>
      <color rgb="006B7280"/>
      <sz val="9"/>
    </font>
    <font>
      <name val="Arial"/>
      <color rgb="000000FF"/>
      <sz val="10"/>
    </font>
    <font>
      <name val="Arial"/>
      <b val="1"/>
      <color rgb="00C8102E"/>
      <sz val="10"/>
    </font>
    <font>
      <name val="Arial"/>
      <b val="1"/>
      <color rgb="000000FF"/>
      <sz val="9.5"/>
    </font>
    <font>
      <name val="Arial"/>
      <i val="1"/>
      <color rgb="006B7280"/>
      <sz val="8.5"/>
    </font>
    <font>
      <name val="Arial"/>
      <b val="1"/>
      <color rgb="00000000"/>
      <sz val="10"/>
    </font>
    <font>
      <name val="Arial"/>
      <color rgb="001F2937"/>
      <sz val="9.5"/>
    </font>
    <font>
      <name val="Arial"/>
      <b val="1"/>
      <color rgb="000000FF"/>
      <sz val="13"/>
    </font>
    <font>
      <name val="Arial"/>
      <b val="1"/>
      <color rgb="00FFFFFF"/>
      <sz val="12"/>
    </font>
    <font>
      <name val="Arial"/>
      <b val="1"/>
      <color rgb="001F2937"/>
      <sz val="9.5"/>
    </font>
    <font>
      <name val="Arial"/>
      <b val="1"/>
      <color rgb="00FFFFFF"/>
      <sz val="8.5"/>
    </font>
    <font>
      <name val="Arial"/>
      <color rgb="000000FF"/>
      <sz val="9"/>
    </font>
    <font>
      <name val="Arial"/>
      <color rgb="00000000"/>
      <sz val="9"/>
    </font>
    <font>
      <name val="Arial"/>
      <b val="1"/>
      <color rgb="00000000"/>
      <sz val="9"/>
    </font>
    <font>
      <name val="Arial"/>
      <color rgb="00008000"/>
      <sz val="10"/>
    </font>
    <font>
      <name val="Arial"/>
      <b val="1"/>
      <color rgb="00008000"/>
      <sz val="10"/>
    </font>
  </fonts>
  <fills count="10">
    <fill>
      <patternFill/>
    </fill>
    <fill>
      <patternFill patternType="gray125"/>
    </fill>
    <fill>
      <patternFill patternType="solid">
        <fgColor rgb="00C8102E"/>
      </patternFill>
    </fill>
    <fill>
      <patternFill patternType="solid">
        <fgColor rgb="00F3F4F6"/>
      </patternFill>
    </fill>
    <fill>
      <patternFill patternType="solid">
        <fgColor rgb="00374151"/>
      </patternFill>
    </fill>
    <fill>
      <patternFill patternType="solid">
        <fgColor rgb="00FFFFFF"/>
      </patternFill>
    </fill>
    <fill>
      <patternFill patternType="solid">
        <fgColor rgb="00FEE2E2"/>
      </patternFill>
    </fill>
    <fill>
      <patternFill patternType="solid">
        <fgColor rgb="00FFFBEB"/>
      </patternFill>
    </fill>
    <fill>
      <patternFill patternType="solid">
        <fgColor rgb="00ECFDF5"/>
      </patternFill>
    </fill>
    <fill>
      <patternFill patternType="solid">
        <fgColor rgb="001F2937"/>
      </patternFill>
    </fill>
  </fills>
  <borders count="10">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
      <left style="thin">
        <color rgb="00D1D5DB"/>
      </left>
      <right/>
      <top/>
      <bottom/>
      <diagonal/>
    </border>
    <border>
      <left/>
      <right style="thin">
        <color rgb="00D1D5DB"/>
      </right>
      <top/>
      <bottom/>
      <diagonal/>
    </border>
    <border>
      <left style="thin">
        <color rgb="00D1D5DB"/>
      </left>
      <right/>
      <top/>
      <bottom style="thin">
        <color rgb="00D1D5DB"/>
      </bottom>
      <diagonal/>
    </border>
    <border>
      <left/>
      <right style="thin">
        <color rgb="00D1D5DB"/>
      </right>
      <top/>
      <bottom style="thin">
        <color rgb="00D1D5DB"/>
      </bottom>
      <diagonal/>
    </border>
  </borders>
  <cellStyleXfs count="1">
    <xf numFmtId="0" fontId="0" fillId="0" borderId="0"/>
  </cellStyleXfs>
  <cellXfs count="8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3" fillId="3" borderId="0" applyAlignment="1" pivotButton="0" quotePrefix="0" xfId="0">
      <alignment horizontal="left" vertical="top"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xf>
    <xf numFmtId="3" fontId="5" fillId="5" borderId="1" applyAlignment="1" pivotButton="0" quotePrefix="0" xfId="0">
      <alignment horizontal="center" vertical="center"/>
    </xf>
    <xf numFmtId="164" fontId="5" fillId="5" borderId="1" applyAlignment="1" pivotButton="0" quotePrefix="0" xfId="0">
      <alignment horizontal="center" vertical="center"/>
    </xf>
    <xf numFmtId="0" fontId="6" fillId="5" borderId="1" applyAlignment="1" pivotButton="0" quotePrefix="0" xfId="0">
      <alignment horizontal="center" vertical="center"/>
    </xf>
    <xf numFmtId="0" fontId="7" fillId="6" borderId="1" applyAlignment="1" pivotButton="0" quotePrefix="0" xfId="0">
      <alignment horizontal="center" vertical="center"/>
    </xf>
    <xf numFmtId="0" fontId="4" fillId="4" borderId="1" applyAlignment="1" pivotButton="0" quotePrefix="0" xfId="0">
      <alignment horizontal="center" vertical="center"/>
    </xf>
    <xf numFmtId="0" fontId="13" fillId="9" borderId="0" applyAlignment="1" pivotButton="0" quotePrefix="0" xfId="0">
      <alignment horizontal="left" vertical="center"/>
    </xf>
    <xf numFmtId="0" fontId="6" fillId="7" borderId="1" applyAlignment="1" pivotButton="0" quotePrefix="0" xfId="0">
      <alignment horizontal="left" vertical="center"/>
    </xf>
    <xf numFmtId="165" fontId="8" fillId="7" borderId="1" applyAlignment="1" pivotButton="0" quotePrefix="0" xfId="0">
      <alignment horizontal="center" vertical="center"/>
    </xf>
    <xf numFmtId="0" fontId="9" fillId="7" borderId="1" applyAlignment="1" pivotButton="0" quotePrefix="0" xfId="0">
      <alignment horizontal="left" vertical="center"/>
    </xf>
    <xf numFmtId="0" fontId="14" fillId="8" borderId="1" applyAlignment="1" pivotButton="0" quotePrefix="0" xfId="0">
      <alignment horizontal="left" vertical="center" wrapText="1"/>
    </xf>
    <xf numFmtId="0" fontId="12" fillId="7" borderId="1" applyAlignment="1" pivotButton="0" quotePrefix="0" xfId="0">
      <alignment horizontal="center" vertical="center"/>
    </xf>
    <xf numFmtId="165" fontId="12" fillId="7" borderId="1" applyAlignment="1" pivotButton="0" quotePrefix="0" xfId="0">
      <alignment horizontal="center" vertical="center"/>
    </xf>
    <xf numFmtId="164" fontId="6" fillId="7" borderId="1" applyAlignment="1" pivotButton="0" quotePrefix="0" xfId="0">
      <alignment horizontal="center" vertical="center"/>
    </xf>
    <xf numFmtId="0" fontId="6" fillId="5" borderId="1" applyAlignment="1" pivotButton="0" quotePrefix="0" xfId="0">
      <alignment horizontal="left" vertical="center"/>
    </xf>
    <xf numFmtId="164" fontId="11" fillId="0" borderId="1" applyAlignment="1" pivotButton="0" quotePrefix="0" xfId="0">
      <alignment horizontal="center" vertical="center"/>
    </xf>
    <xf numFmtId="165" fontId="12" fillId="0" borderId="1" applyAlignment="1" pivotButton="0" quotePrefix="0" xfId="0">
      <alignment horizontal="center" vertical="center"/>
    </xf>
    <xf numFmtId="164" fontId="6" fillId="0" borderId="1" applyAlignment="1" pivotButton="0" quotePrefix="0" xfId="0">
      <alignment horizontal="center" vertical="center"/>
    </xf>
    <xf numFmtId="0" fontId="10" fillId="8" borderId="1" applyAlignment="1" pivotButton="0" quotePrefix="0" xfId="0">
      <alignment horizontal="left" vertical="center"/>
    </xf>
    <xf numFmtId="0" fontId="0" fillId="0" borderId="4" pivotButton="0" quotePrefix="0" xfId="0"/>
    <xf numFmtId="0" fontId="0" fillId="0" borderId="5" pivotButton="0" quotePrefix="0" xfId="0"/>
    <xf numFmtId="0" fontId="11" fillId="0" borderId="1" applyAlignment="1" pivotButton="0" quotePrefix="0" xfId="0">
      <alignment horizontal="center" vertical="center"/>
    </xf>
    <xf numFmtId="164" fontId="12" fillId="0" borderId="1" applyAlignment="1" pivotButton="0" quotePrefix="0" xfId="0">
      <alignment horizontal="center" vertical="center"/>
    </xf>
    <xf numFmtId="0" fontId="12" fillId="0" borderId="1" applyAlignment="1" pivotButton="0" quotePrefix="0" xfId="0">
      <alignment horizontal="center" vertical="center"/>
    </xf>
    <xf numFmtId="166" fontId="12" fillId="0" borderId="1" applyAlignment="1" pivotButton="0" quotePrefix="0" xfId="0">
      <alignment horizontal="center" vertical="center"/>
    </xf>
    <xf numFmtId="0" fontId="15" fillId="8" borderId="1" applyAlignment="1" pivotButton="0" quotePrefix="0" xfId="0">
      <alignment horizontal="left" vertical="center"/>
    </xf>
    <xf numFmtId="164" fontId="16" fillId="8" borderId="1" applyAlignment="1" pivotButton="0" quotePrefix="0" xfId="0">
      <alignment horizontal="center" vertical="center"/>
    </xf>
    <xf numFmtId="0" fontId="17" fillId="0" borderId="0" applyAlignment="1" pivotButton="0" quotePrefix="0" xfId="0">
      <alignment horizontal="left" vertical="center"/>
    </xf>
    <xf numFmtId="0" fontId="15" fillId="7" borderId="1" applyAlignment="1" pivotButton="0" quotePrefix="0" xfId="0">
      <alignment horizontal="center" vertical="center"/>
    </xf>
    <xf numFmtId="3" fontId="18" fillId="7" borderId="1" applyAlignment="1" pivotButton="0" quotePrefix="0" xfId="0">
      <alignment horizontal="center" vertical="center"/>
    </xf>
    <xf numFmtId="3" fontId="3" fillId="7" borderId="1" applyAlignment="1" pivotButton="0" quotePrefix="0" xfId="0">
      <alignment horizontal="center" vertical="center"/>
    </xf>
    <xf numFmtId="164" fontId="19" fillId="7" borderId="1" applyAlignment="1" pivotButton="0" quotePrefix="0" xfId="0">
      <alignment horizontal="center" vertical="center"/>
    </xf>
    <xf numFmtId="0" fontId="12" fillId="7" borderId="1" applyAlignment="1" pivotButton="0" quotePrefix="0" xfId="0">
      <alignment horizontal="left" vertical="center"/>
    </xf>
    <xf numFmtId="0" fontId="15" fillId="8" borderId="1" applyAlignment="1" pivotButton="0" quotePrefix="0" xfId="0">
      <alignment horizontal="left" vertical="center" wrapText="1"/>
    </xf>
    <xf numFmtId="167" fontId="18" fillId="7" borderId="1" applyAlignment="1" pivotButton="0" quotePrefix="0" xfId="0">
      <alignment horizontal="center" vertical="center"/>
    </xf>
    <xf numFmtId="0" fontId="17" fillId="5" borderId="1" applyAlignment="1" pivotButton="0" quotePrefix="0" xfId="0">
      <alignment vertical="top" wrapText="1"/>
    </xf>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164" fontId="20" fillId="0" borderId="1" applyAlignment="1" pivotButton="0" quotePrefix="0" xfId="0">
      <alignment horizontal="center" vertical="center"/>
    </xf>
    <xf numFmtId="0" fontId="21" fillId="0" borderId="0" applyAlignment="1" pivotButton="0" quotePrefix="0" xfId="0">
      <alignment horizontal="left" vertical="center"/>
    </xf>
    <xf numFmtId="0" fontId="15" fillId="5" borderId="1" applyAlignment="1" pivotButton="0" quotePrefix="0" xfId="0">
      <alignment horizontal="left" vertical="center"/>
    </xf>
    <xf numFmtId="164" fontId="31" fillId="5" borderId="1" applyAlignment="1" pivotButton="0" quotePrefix="0" xfId="0">
      <alignment horizontal="center" vertical="center"/>
    </xf>
    <xf numFmtId="164" fontId="3" fillId="5" borderId="1" applyAlignment="1" pivotButton="0" quotePrefix="0" xfId="0">
      <alignment horizontal="center" vertical="center"/>
    </xf>
    <xf numFmtId="167" fontId="31" fillId="5" borderId="1" applyAlignment="1" pivotButton="0" quotePrefix="0" xfId="0">
      <alignment horizontal="center" vertical="center"/>
    </xf>
    <xf numFmtId="0" fontId="9" fillId="5" borderId="1" applyAlignment="1" pivotButton="0" quotePrefix="0" xfId="0">
      <alignment horizontal="left" vertical="center"/>
    </xf>
    <xf numFmtId="164" fontId="32" fillId="8" borderId="1" applyAlignment="1" pivotButton="0" quotePrefix="0" xfId="0">
      <alignment horizontal="center" vertical="center"/>
    </xf>
    <xf numFmtId="164" fontId="22" fillId="8" borderId="1" applyAlignment="1" pivotButton="0" quotePrefix="0" xfId="0">
      <alignment horizontal="center" vertical="center"/>
    </xf>
    <xf numFmtId="167" fontId="31" fillId="8" borderId="1" applyAlignment="1" pivotButton="0" quotePrefix="0" xfId="0">
      <alignment horizontal="center" vertical="center"/>
    </xf>
    <xf numFmtId="0" fontId="23" fillId="8" borderId="1" applyAlignment="1" pivotButton="0" quotePrefix="0" xfId="0">
      <alignment horizontal="left" vertical="center"/>
    </xf>
    <xf numFmtId="0" fontId="15" fillId="7" borderId="1" applyAlignment="1" pivotButton="0" quotePrefix="0" xfId="0">
      <alignment horizontal="left" vertical="center"/>
    </xf>
    <xf numFmtId="2" fontId="24" fillId="7" borderId="1" applyAlignment="1" pivotButton="0" quotePrefix="0" xfId="0">
      <alignment horizontal="center" vertical="center"/>
    </xf>
    <xf numFmtId="0" fontId="17" fillId="7" borderId="1" applyAlignment="1" pivotButton="0" quotePrefix="0" xfId="0">
      <alignment horizontal="left" vertical="center"/>
    </xf>
    <xf numFmtId="3" fontId="3" fillId="5" borderId="1" applyAlignment="1" pivotButton="0" quotePrefix="0" xfId="0">
      <alignment horizontal="center" vertical="center"/>
    </xf>
    <xf numFmtId="3" fontId="19" fillId="5" borderId="1" applyAlignment="1" pivotButton="0" quotePrefix="0" xfId="0">
      <alignment horizontal="center" vertical="center"/>
    </xf>
    <xf numFmtId="167" fontId="22" fillId="5" borderId="1" applyAlignment="1" pivotButton="0" quotePrefix="0" xfId="0">
      <alignment horizontal="center" vertical="center"/>
    </xf>
    <xf numFmtId="0" fontId="15" fillId="3" borderId="1" applyAlignment="1" pivotButton="0" quotePrefix="0" xfId="0">
      <alignment horizontal="left" vertical="center"/>
    </xf>
    <xf numFmtId="3" fontId="3" fillId="3" borderId="1" applyAlignment="1" pivotButton="0" quotePrefix="0" xfId="0">
      <alignment horizontal="center" vertical="center"/>
    </xf>
    <xf numFmtId="3" fontId="19" fillId="3" borderId="1" applyAlignment="1" pivotButton="0" quotePrefix="0" xfId="0">
      <alignment horizontal="center" vertical="center"/>
    </xf>
    <xf numFmtId="167" fontId="22" fillId="3" borderId="1" applyAlignment="1" pivotButton="0" quotePrefix="0" xfId="0">
      <alignment horizontal="center" vertical="center"/>
    </xf>
    <xf numFmtId="0" fontId="17" fillId="0" borderId="0" applyAlignment="1" pivotButton="0" quotePrefix="0" xfId="0">
      <alignment horizontal="left" vertical="center" wrapText="1"/>
    </xf>
    <xf numFmtId="0" fontId="25" fillId="9" borderId="0" applyAlignment="1" pivotButton="0" quotePrefix="0" xfId="0">
      <alignment horizontal="left" vertical="center"/>
    </xf>
    <xf numFmtId="0" fontId="23" fillId="5" borderId="1" applyAlignment="1" pivotButton="0" quotePrefix="0" xfId="0">
      <alignment horizontal="left" vertical="center"/>
    </xf>
    <xf numFmtId="0" fontId="27" fillId="4" borderId="1" applyAlignment="1" pivotButton="0" quotePrefix="0" xfId="0">
      <alignment horizontal="center" vertical="center" wrapText="1"/>
    </xf>
    <xf numFmtId="166" fontId="28" fillId="0" borderId="1" applyAlignment="1" pivotButton="0" quotePrefix="0" xfId="0">
      <alignment horizontal="center" vertical="center"/>
    </xf>
    <xf numFmtId="3" fontId="29" fillId="0" borderId="1" applyAlignment="1" pivotButton="0" quotePrefix="0" xfId="0">
      <alignment horizontal="center" vertical="center"/>
    </xf>
    <xf numFmtId="167" fontId="29" fillId="0" borderId="1" applyAlignment="1" pivotButton="0" quotePrefix="0" xfId="0">
      <alignment horizontal="center" vertical="center"/>
    </xf>
    <xf numFmtId="167" fontId="30" fillId="0" borderId="1" applyAlignment="1" pivotButton="0" quotePrefix="0" xfId="0">
      <alignment horizontal="center" vertical="center"/>
    </xf>
    <xf numFmtId="168" fontId="3" fillId="5" borderId="1" applyAlignment="1" pivotButton="0" quotePrefix="0" xfId="0">
      <alignment horizontal="center" vertical="center"/>
    </xf>
    <xf numFmtId="0" fontId="26" fillId="8" borderId="1" applyAlignment="1" pivotButton="0" quotePrefix="0" xfId="0">
      <alignment horizontal="left" vertical="center"/>
    </xf>
    <xf numFmtId="164" fontId="19" fillId="8" borderId="1" applyAlignment="1" pivotButton="0" quotePrefix="0" xfId="0">
      <alignment horizontal="center" vertical="center"/>
    </xf>
    <xf numFmtId="0" fontId="15" fillId="8" borderId="1" applyAlignment="1" pivotButton="0" quotePrefix="0" xfId="0">
      <alignment horizontal="right" vertical="center"/>
    </xf>
    <xf numFmtId="167" fontId="16" fillId="8" borderId="1" applyAlignment="1" pivotButton="0" quotePrefix="0" xfId="0">
      <alignment horizontal="center" vertical="center"/>
    </xf>
    <xf numFmtId="0" fontId="21"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What XGBoost split on most</a:t>
            </a:r>
          </a:p>
        </rich>
      </tx>
    </title>
    <plotArea>
      <barChart>
        <barDir val="bar"/>
        <grouping val="clustered"/>
        <ser>
          <idx val="0"/>
          <order val="0"/>
          <spPr>
            <a:solidFill xmlns:a="http://schemas.openxmlformats.org/drawingml/2006/main">
              <a:srgbClr val="C8102E"/>
            </a:solidFill>
            <a:ln xmlns:a="http://schemas.openxmlformats.org/drawingml/2006/main">
              <a:prstDash val="solid"/>
            </a:ln>
          </spPr>
          <cat>
            <numRef>
              <f>'4 XGBoost'!$F$12:$F$17</f>
            </numRef>
          </cat>
          <val>
            <numRef>
              <f>'4 XGBoost'!$G$12:$G$17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Gini by model — full test set</a:t>
            </a:r>
          </a:p>
        </rich>
      </tx>
    </title>
    <plotArea>
      <barChart>
        <barDir val="col"/>
        <grouping val="clustered"/>
        <ser>
          <idx val="0"/>
          <order val="0"/>
          <spPr>
            <a:solidFill xmlns:a="http://schemas.openxmlformats.org/drawingml/2006/main">
              <a:srgbClr val="1F2937"/>
            </a:solidFill>
            <a:ln xmlns:a="http://schemas.openxmlformats.org/drawingml/2006/main">
              <a:prstDash val="solid"/>
            </a:ln>
          </spPr>
          <cat>
            <numRef>
              <f>'5 Compare'!$B$12:$B$14</f>
            </numRef>
          </cat>
          <val>
            <numRef>
              <f>'5 Compare'!$D$12:$D$14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3.png" Id="rId2"/></Relationships>
</file>

<file path=xl/drawings/_rels/drawing4.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8</col>
      <colOff>0</colOff>
      <row>28</row>
      <rowOff>0</rowOff>
    </from>
    <ext cx="6572250" cy="33623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7</col>
      <colOff>0</colOff>
      <row>15</row>
      <rowOff>0</rowOff>
    </from>
    <ext cx="8953500" cy="4629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8</col>
      <colOff>0</colOff>
      <row>10</row>
      <rowOff>0</rowOff>
    </from>
    <ext cx="39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25</row>
      <rowOff>0</rowOff>
    </from>
    <ext cx="8953500" cy="4324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9</col>
      <colOff>0</colOff>
      <row>10</row>
      <rowOff>0</rowOff>
    </from>
    <ext cx="43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B2:I1011"/>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9" customWidth="1" min="2" max="2"/>
    <col width="15" customWidth="1" min="3" max="3"/>
    <col width="7" customWidth="1" min="4" max="4"/>
    <col width="15" customWidth="1" min="5" max="5"/>
    <col width="15" customWidth="1" min="6" max="6"/>
    <col width="12" customWidth="1" min="7" max="7"/>
    <col width="12" customWidth="1" min="8" max="8"/>
    <col width="13" customWidth="1" min="9" max="9"/>
  </cols>
  <sheetData>
    <row r="2" ht="28" customHeight="1">
      <c r="B2" s="1" t="inlineStr">
        <is>
          <t>Probability of Default — the real data</t>
        </is>
      </c>
    </row>
    <row r="3">
      <c r="B3" s="2" t="inlineStr">
        <is>
          <t>1,000 real credit-card customers of a Taiwanese bank, with what actually happened next month.</t>
        </is>
      </c>
    </row>
    <row r="4" ht="4" customHeight="1">
      <c r="B4" s="3" t="inlineStr"/>
    </row>
    <row r="5" ht="15" customHeight="1">
      <c r="B5" s="4" t="inlineStr">
        <is>
          <t>SOURCE: UCI Machine Learning Repository, dataset 350, "Default of Credit Card Clients". Yeh, I. C., &amp; Lien, C. H. (2009), Expert Systems with Applications 36(2), 2473-2480. 30,000 real customers of a bank in Taiwan, April to September 2005.
The models were fitted on 21,000 training rows. The 1,000 rows below are a random sample of the 9,000 TEST rows, which the models never saw while training. Default rate: 22.12% across all 30,000, 23.70% in this sample.
PAY_0 and PAY_2 are the repayment status last month and two months ago: -2 and -1 mean paid in full or no balance, 0 means paying the minimum, and 1 to 8 is the number of months overdue. UTILISATION is the bill divided by the credit limit. PAY_RATIO is the amount paid divided by the bill.</t>
        </is>
      </c>
    </row>
    <row r="6" ht="15" customHeight="1"/>
    <row r="7" ht="15" customHeight="1"/>
    <row r="8" ht="15" customHeight="1"/>
    <row r="11" ht="30" customHeight="1">
      <c r="B11" s="5" t="inlineStr">
        <is>
          <t>ID</t>
        </is>
      </c>
      <c r="C11" s="5" t="inlineStr">
        <is>
          <t>Credit limit (NT$)</t>
        </is>
      </c>
      <c r="D11" s="5" t="inlineStr">
        <is>
          <t>Age</t>
        </is>
      </c>
      <c r="E11" s="5" t="inlineStr">
        <is>
          <t>PAY_0  repayment status, last month</t>
        </is>
      </c>
      <c r="F11" s="5" t="inlineStr">
        <is>
          <t>PAY_2  repayment status, 2 months ago</t>
        </is>
      </c>
      <c r="G11" s="5" t="inlineStr">
        <is>
          <t>Utilisation  bill / limit</t>
        </is>
      </c>
      <c r="H11" s="5" t="inlineStr">
        <is>
          <t>Pay ratio  paid / bill</t>
        </is>
      </c>
      <c r="I11" s="5" t="inlineStr">
        <is>
          <t>DEFAULTED?  1 = yes</t>
        </is>
      </c>
    </row>
    <row r="12">
      <c r="B12" s="6" t="n">
        <v>18</v>
      </c>
      <c r="C12" s="7" t="n">
        <v>320000</v>
      </c>
      <c r="D12" s="6" t="n">
        <v>49</v>
      </c>
      <c r="E12" s="6" t="n">
        <v>0</v>
      </c>
      <c r="F12" s="6" t="n">
        <v>0</v>
      </c>
      <c r="G12" s="8" t="n">
        <v>0.7915</v>
      </c>
      <c r="H12" s="8" t="n">
        <v>0.0409</v>
      </c>
      <c r="I12" s="9" t="n">
        <v>0</v>
      </c>
    </row>
    <row r="13">
      <c r="B13" s="6" t="n">
        <v>35</v>
      </c>
      <c r="C13" s="7" t="n">
        <v>500000</v>
      </c>
      <c r="D13" s="6" t="n">
        <v>58</v>
      </c>
      <c r="E13" s="6" t="n">
        <v>-2</v>
      </c>
      <c r="F13" s="6" t="n">
        <v>-2</v>
      </c>
      <c r="G13" s="8" t="n">
        <v>0.0274</v>
      </c>
      <c r="H13" s="8" t="n">
        <v>0.3652</v>
      </c>
      <c r="I13" s="9" t="n">
        <v>0</v>
      </c>
    </row>
    <row r="14">
      <c r="B14" s="6" t="n">
        <v>64</v>
      </c>
      <c r="C14" s="7" t="n">
        <v>50000</v>
      </c>
      <c r="D14" s="6" t="n">
        <v>46</v>
      </c>
      <c r="E14" s="6" t="n">
        <v>0</v>
      </c>
      <c r="F14" s="6" t="n">
        <v>0</v>
      </c>
      <c r="G14" s="8" t="n">
        <v>0.5744</v>
      </c>
      <c r="H14" s="8" t="n">
        <v>0.0348</v>
      </c>
      <c r="I14" s="10" t="n">
        <v>1</v>
      </c>
    </row>
    <row r="15">
      <c r="B15" s="6" t="n">
        <v>189</v>
      </c>
      <c r="C15" s="7" t="n">
        <v>130000</v>
      </c>
      <c r="D15" s="6" t="n">
        <v>34</v>
      </c>
      <c r="E15" s="6" t="n">
        <v>1</v>
      </c>
      <c r="F15" s="6" t="n">
        <v>-1</v>
      </c>
      <c r="G15" s="8" t="n">
        <v>0</v>
      </c>
      <c r="H15" s="8" t="n">
        <v>0</v>
      </c>
      <c r="I15" s="9" t="n">
        <v>0</v>
      </c>
    </row>
    <row r="16">
      <c r="B16" s="6" t="n">
        <v>216</v>
      </c>
      <c r="C16" s="7" t="n">
        <v>30000</v>
      </c>
      <c r="D16" s="6" t="n">
        <v>42</v>
      </c>
      <c r="E16" s="6" t="n">
        <v>-1</v>
      </c>
      <c r="F16" s="6" t="n">
        <v>-1</v>
      </c>
      <c r="G16" s="8" t="n">
        <v>0.013</v>
      </c>
      <c r="H16" s="8" t="n">
        <v>1</v>
      </c>
      <c r="I16" s="9" t="n">
        <v>0</v>
      </c>
    </row>
    <row r="17">
      <c r="B17" s="6" t="n">
        <v>224</v>
      </c>
      <c r="C17" s="7" t="n">
        <v>320000</v>
      </c>
      <c r="D17" s="6" t="n">
        <v>33</v>
      </c>
      <c r="E17" s="6" t="n">
        <v>0</v>
      </c>
      <c r="F17" s="6" t="n">
        <v>0</v>
      </c>
      <c r="G17" s="8" t="n">
        <v>0.2864</v>
      </c>
      <c r="H17" s="8" t="n">
        <v>0.1096</v>
      </c>
      <c r="I17" s="9" t="n">
        <v>0</v>
      </c>
    </row>
    <row r="18">
      <c r="B18" s="6" t="n">
        <v>239</v>
      </c>
      <c r="C18" s="7" t="n">
        <v>240000</v>
      </c>
      <c r="D18" s="6" t="n">
        <v>50</v>
      </c>
      <c r="E18" s="6" t="n">
        <v>0</v>
      </c>
      <c r="F18" s="6" t="n">
        <v>0</v>
      </c>
      <c r="G18" s="8" t="n">
        <v>0.9759</v>
      </c>
      <c r="H18" s="8" t="n">
        <v>0.0432</v>
      </c>
      <c r="I18" s="10" t="n">
        <v>1</v>
      </c>
    </row>
    <row r="19">
      <c r="B19" s="6" t="n">
        <v>248</v>
      </c>
      <c r="C19" s="7" t="n">
        <v>100000</v>
      </c>
      <c r="D19" s="6" t="n">
        <v>27</v>
      </c>
      <c r="E19" s="6" t="n">
        <v>0</v>
      </c>
      <c r="F19" s="6" t="n">
        <v>0</v>
      </c>
      <c r="G19" s="8" t="n">
        <v>0.3777</v>
      </c>
      <c r="H19" s="8" t="n">
        <v>0.0473</v>
      </c>
      <c r="I19" s="9" t="n">
        <v>0</v>
      </c>
    </row>
    <row r="20">
      <c r="B20" s="6" t="n">
        <v>288</v>
      </c>
      <c r="C20" s="7" t="n">
        <v>440000</v>
      </c>
      <c r="D20" s="6" t="n">
        <v>46</v>
      </c>
      <c r="E20" s="6" t="n">
        <v>0</v>
      </c>
      <c r="F20" s="6" t="n">
        <v>0</v>
      </c>
      <c r="G20" s="8" t="n">
        <v>0.4105</v>
      </c>
      <c r="H20" s="8" t="n">
        <v>0.0477</v>
      </c>
      <c r="I20" s="9" t="n">
        <v>0</v>
      </c>
    </row>
    <row r="21">
      <c r="B21" s="6" t="n">
        <v>298</v>
      </c>
      <c r="C21" s="7" t="n">
        <v>210000</v>
      </c>
      <c r="D21" s="6" t="n">
        <v>36</v>
      </c>
      <c r="E21" s="6" t="n">
        <v>0</v>
      </c>
      <c r="F21" s="6" t="n">
        <v>0</v>
      </c>
      <c r="G21" s="8" t="n">
        <v>0.6820000000000001</v>
      </c>
      <c r="H21" s="8" t="n">
        <v>0.0453</v>
      </c>
      <c r="I21" s="9" t="n">
        <v>0</v>
      </c>
    </row>
    <row r="22">
      <c r="B22" s="6" t="n">
        <v>343</v>
      </c>
      <c r="C22" s="7" t="n">
        <v>200000</v>
      </c>
      <c r="D22" s="6" t="n">
        <v>29</v>
      </c>
      <c r="E22" s="6" t="n">
        <v>-1</v>
      </c>
      <c r="F22" s="6" t="n">
        <v>2</v>
      </c>
      <c r="G22" s="8" t="n">
        <v>0.012</v>
      </c>
      <c r="H22" s="8" t="n">
        <v>0</v>
      </c>
      <c r="I22" s="9" t="n">
        <v>0</v>
      </c>
    </row>
    <row r="23">
      <c r="B23" s="6" t="n">
        <v>355</v>
      </c>
      <c r="C23" s="7" t="n">
        <v>50000</v>
      </c>
      <c r="D23" s="6" t="n">
        <v>58</v>
      </c>
      <c r="E23" s="6" t="n">
        <v>2</v>
      </c>
      <c r="F23" s="6" t="n">
        <v>2</v>
      </c>
      <c r="G23" s="8" t="n">
        <v>0.318</v>
      </c>
      <c r="H23" s="8" t="n">
        <v>0.2138</v>
      </c>
      <c r="I23" s="9" t="n">
        <v>0</v>
      </c>
    </row>
    <row r="24">
      <c r="B24" s="6" t="n">
        <v>362</v>
      </c>
      <c r="C24" s="7" t="n">
        <v>320000</v>
      </c>
      <c r="D24" s="6" t="n">
        <v>30</v>
      </c>
      <c r="E24" s="6" t="n">
        <v>0</v>
      </c>
      <c r="F24" s="6" t="n">
        <v>0</v>
      </c>
      <c r="G24" s="8" t="n">
        <v>0.2228</v>
      </c>
      <c r="H24" s="8" t="n">
        <v>0.0363</v>
      </c>
      <c r="I24" s="9" t="n">
        <v>0</v>
      </c>
    </row>
    <row r="25">
      <c r="B25" s="6" t="n">
        <v>436</v>
      </c>
      <c r="C25" s="7" t="n">
        <v>270000</v>
      </c>
      <c r="D25" s="6" t="n">
        <v>32</v>
      </c>
      <c r="E25" s="6" t="n">
        <v>1</v>
      </c>
      <c r="F25" s="6" t="n">
        <v>2</v>
      </c>
      <c r="G25" s="8" t="n">
        <v>0.8695000000000001</v>
      </c>
      <c r="H25" s="8" t="n">
        <v>0.0426</v>
      </c>
      <c r="I25" s="10" t="n">
        <v>1</v>
      </c>
    </row>
    <row r="26">
      <c r="B26" s="6" t="n">
        <v>449</v>
      </c>
      <c r="C26" s="7" t="n">
        <v>200000</v>
      </c>
      <c r="D26" s="6" t="n">
        <v>42</v>
      </c>
      <c r="E26" s="6" t="n">
        <v>0</v>
      </c>
      <c r="F26" s="6" t="n">
        <v>0</v>
      </c>
      <c r="G26" s="8" t="n">
        <v>0.1928</v>
      </c>
      <c r="H26" s="8" t="n">
        <v>0.1297</v>
      </c>
      <c r="I26" s="9" t="n">
        <v>0</v>
      </c>
    </row>
    <row r="27">
      <c r="B27" s="6" t="n">
        <v>475</v>
      </c>
      <c r="C27" s="7" t="n">
        <v>120000</v>
      </c>
      <c r="D27" s="6" t="n">
        <v>32</v>
      </c>
      <c r="E27" s="6" t="n">
        <v>-1</v>
      </c>
      <c r="F27" s="6" t="n">
        <v>-1</v>
      </c>
      <c r="G27" s="8" t="n">
        <v>0.0346</v>
      </c>
      <c r="H27" s="8" t="n">
        <v>0.645</v>
      </c>
      <c r="I27" s="9" t="n">
        <v>0</v>
      </c>
    </row>
    <row r="28">
      <c r="B28" s="6" t="n">
        <v>477</v>
      </c>
      <c r="C28" s="7" t="n">
        <v>50000</v>
      </c>
      <c r="D28" s="6" t="n">
        <v>44</v>
      </c>
      <c r="E28" s="6" t="n">
        <v>0</v>
      </c>
      <c r="F28" s="6" t="n">
        <v>0</v>
      </c>
      <c r="G28" s="8" t="n">
        <v>1.0179</v>
      </c>
      <c r="H28" s="8" t="n">
        <v>0.0354</v>
      </c>
      <c r="I28" s="9" t="n">
        <v>0</v>
      </c>
    </row>
    <row r="29">
      <c r="B29" s="6" t="n">
        <v>500</v>
      </c>
      <c r="C29" s="7" t="n">
        <v>20000</v>
      </c>
      <c r="D29" s="6" t="n">
        <v>38</v>
      </c>
      <c r="E29" s="6" t="n">
        <v>0</v>
      </c>
      <c r="F29" s="6" t="n">
        <v>0</v>
      </c>
      <c r="G29" s="8" t="n">
        <v>0.7956</v>
      </c>
      <c r="H29" s="8" t="n">
        <v>0.102</v>
      </c>
      <c r="I29" s="9" t="n">
        <v>0</v>
      </c>
    </row>
    <row r="30">
      <c r="B30" s="6" t="n">
        <v>574</v>
      </c>
      <c r="C30" s="7" t="n">
        <v>160000</v>
      </c>
      <c r="D30" s="6" t="n">
        <v>60</v>
      </c>
      <c r="E30" s="6" t="n">
        <v>-2</v>
      </c>
      <c r="F30" s="6" t="n">
        <v>-1</v>
      </c>
      <c r="G30" s="8" t="n">
        <v>0.0196</v>
      </c>
      <c r="H30" s="8" t="n">
        <v>1.6483</v>
      </c>
      <c r="I30" s="10" t="n">
        <v>1</v>
      </c>
    </row>
    <row r="31">
      <c r="B31" s="6" t="n">
        <v>581</v>
      </c>
      <c r="C31" s="7" t="n">
        <v>30000</v>
      </c>
      <c r="D31" s="6" t="n">
        <v>28</v>
      </c>
      <c r="E31" s="6" t="n">
        <v>1</v>
      </c>
      <c r="F31" s="6" t="n">
        <v>-1</v>
      </c>
      <c r="G31" s="8" t="n">
        <v>0</v>
      </c>
      <c r="H31" s="8" t="n">
        <v>0</v>
      </c>
      <c r="I31" s="10" t="n">
        <v>1</v>
      </c>
    </row>
    <row r="32">
      <c r="B32" s="6" t="n">
        <v>619</v>
      </c>
      <c r="C32" s="7" t="n">
        <v>60000</v>
      </c>
      <c r="D32" s="6" t="n">
        <v>25</v>
      </c>
      <c r="E32" s="6" t="n">
        <v>0</v>
      </c>
      <c r="F32" s="6" t="n">
        <v>0</v>
      </c>
      <c r="G32" s="8" t="n">
        <v>0.9806</v>
      </c>
      <c r="H32" s="8" t="n">
        <v>0.0343</v>
      </c>
      <c r="I32" s="9" t="n">
        <v>0</v>
      </c>
    </row>
    <row r="33">
      <c r="B33" s="6" t="n">
        <v>633</v>
      </c>
      <c r="C33" s="7" t="n">
        <v>20000</v>
      </c>
      <c r="D33" s="6" t="n">
        <v>25</v>
      </c>
      <c r="E33" s="6" t="n">
        <v>0</v>
      </c>
      <c r="F33" s="6" t="n">
        <v>0</v>
      </c>
      <c r="G33" s="8" t="n">
        <v>0.8296</v>
      </c>
      <c r="H33" s="8" t="n">
        <v>0.0696</v>
      </c>
      <c r="I33" s="9" t="n">
        <v>0</v>
      </c>
    </row>
    <row r="34">
      <c r="B34" s="6" t="n">
        <v>670</v>
      </c>
      <c r="C34" s="7" t="n">
        <v>20000</v>
      </c>
      <c r="D34" s="6" t="n">
        <v>30</v>
      </c>
      <c r="E34" s="6" t="n">
        <v>2</v>
      </c>
      <c r="F34" s="6" t="n">
        <v>2</v>
      </c>
      <c r="G34" s="8" t="n">
        <v>0.2883</v>
      </c>
      <c r="H34" s="8" t="n">
        <v>0.3469</v>
      </c>
      <c r="I34" s="10" t="n">
        <v>1</v>
      </c>
    </row>
    <row r="35">
      <c r="B35" s="6" t="n">
        <v>690</v>
      </c>
      <c r="C35" s="7" t="n">
        <v>80000</v>
      </c>
      <c r="D35" s="6" t="n">
        <v>32</v>
      </c>
      <c r="E35" s="6" t="n">
        <v>0</v>
      </c>
      <c r="F35" s="6" t="n">
        <v>0</v>
      </c>
      <c r="G35" s="8" t="n">
        <v>0.6422</v>
      </c>
      <c r="H35" s="8" t="n">
        <v>0.0361</v>
      </c>
      <c r="I35" s="9" t="n">
        <v>0</v>
      </c>
    </row>
    <row r="36">
      <c r="B36" s="6" t="n">
        <v>720</v>
      </c>
      <c r="C36" s="7" t="n">
        <v>80000</v>
      </c>
      <c r="D36" s="6" t="n">
        <v>48</v>
      </c>
      <c r="E36" s="6" t="n">
        <v>0</v>
      </c>
      <c r="F36" s="6" t="n">
        <v>0</v>
      </c>
      <c r="G36" s="8" t="n">
        <v>0.5647</v>
      </c>
      <c r="H36" s="8" t="n">
        <v>0.0664</v>
      </c>
      <c r="I36" s="9" t="n">
        <v>0</v>
      </c>
    </row>
    <row r="37">
      <c r="B37" s="6" t="n">
        <v>750</v>
      </c>
      <c r="C37" s="7" t="n">
        <v>50000</v>
      </c>
      <c r="D37" s="6" t="n">
        <v>25</v>
      </c>
      <c r="E37" s="6" t="n">
        <v>8</v>
      </c>
      <c r="F37" s="6" t="n">
        <v>7</v>
      </c>
      <c r="G37" s="8" t="n">
        <v>0.7529</v>
      </c>
      <c r="H37" s="8" t="n">
        <v>0</v>
      </c>
      <c r="I37" s="10" t="n">
        <v>1</v>
      </c>
    </row>
    <row r="38">
      <c r="B38" s="6" t="n">
        <v>765</v>
      </c>
      <c r="C38" s="7" t="n">
        <v>240000</v>
      </c>
      <c r="D38" s="6" t="n">
        <v>33</v>
      </c>
      <c r="E38" s="6" t="n">
        <v>0</v>
      </c>
      <c r="F38" s="6" t="n">
        <v>0</v>
      </c>
      <c r="G38" s="8" t="n">
        <v>1.0037</v>
      </c>
      <c r="H38" s="8" t="n">
        <v>0.0415</v>
      </c>
      <c r="I38" s="9" t="n">
        <v>0</v>
      </c>
    </row>
    <row r="39">
      <c r="B39" s="6" t="n">
        <v>798</v>
      </c>
      <c r="C39" s="7" t="n">
        <v>50000</v>
      </c>
      <c r="D39" s="6" t="n">
        <v>22</v>
      </c>
      <c r="E39" s="6" t="n">
        <v>0</v>
      </c>
      <c r="F39" s="6" t="n">
        <v>0</v>
      </c>
      <c r="G39" s="8" t="n">
        <v>0.276</v>
      </c>
      <c r="H39" s="8" t="n">
        <v>0.0994</v>
      </c>
      <c r="I39" s="9" t="n">
        <v>0</v>
      </c>
    </row>
    <row r="40">
      <c r="B40" s="6" t="n">
        <v>817</v>
      </c>
      <c r="C40" s="7" t="n">
        <v>70000</v>
      </c>
      <c r="D40" s="6" t="n">
        <v>51</v>
      </c>
      <c r="E40" s="6" t="n">
        <v>2</v>
      </c>
      <c r="F40" s="6" t="n">
        <v>2</v>
      </c>
      <c r="G40" s="8" t="n">
        <v>0.7853</v>
      </c>
      <c r="H40" s="8" t="n">
        <v>0</v>
      </c>
      <c r="I40" s="10" t="n">
        <v>1</v>
      </c>
    </row>
    <row r="41">
      <c r="B41" s="6" t="n">
        <v>825</v>
      </c>
      <c r="C41" s="7" t="n">
        <v>40000</v>
      </c>
      <c r="D41" s="6" t="n">
        <v>27</v>
      </c>
      <c r="E41" s="6" t="n">
        <v>0</v>
      </c>
      <c r="F41" s="6" t="n">
        <v>0</v>
      </c>
      <c r="G41" s="8" t="n">
        <v>0.2764</v>
      </c>
      <c r="H41" s="8" t="n">
        <v>0.1809</v>
      </c>
      <c r="I41" s="10" t="n">
        <v>1</v>
      </c>
    </row>
    <row r="42">
      <c r="B42" s="6" t="n">
        <v>826</v>
      </c>
      <c r="C42" s="7" t="n">
        <v>170000</v>
      </c>
      <c r="D42" s="6" t="n">
        <v>33</v>
      </c>
      <c r="E42" s="6" t="n">
        <v>1</v>
      </c>
      <c r="F42" s="6" t="n">
        <v>-1</v>
      </c>
      <c r="G42" s="8" t="n">
        <v>0</v>
      </c>
      <c r="H42" s="8" t="n">
        <v>0</v>
      </c>
      <c r="I42" s="9" t="n">
        <v>0</v>
      </c>
    </row>
    <row r="43">
      <c r="B43" s="6" t="n">
        <v>846</v>
      </c>
      <c r="C43" s="7" t="n">
        <v>490000</v>
      </c>
      <c r="D43" s="6" t="n">
        <v>38</v>
      </c>
      <c r="E43" s="6" t="n">
        <v>-1</v>
      </c>
      <c r="F43" s="6" t="n">
        <v>-1</v>
      </c>
      <c r="G43" s="8" t="n">
        <v>0.008800000000000001</v>
      </c>
      <c r="H43" s="8" t="n">
        <v>1.1044</v>
      </c>
      <c r="I43" s="9" t="n">
        <v>0</v>
      </c>
    </row>
    <row r="44">
      <c r="B44" s="6" t="n">
        <v>874</v>
      </c>
      <c r="C44" s="7" t="n">
        <v>180000</v>
      </c>
      <c r="D44" s="6" t="n">
        <v>45</v>
      </c>
      <c r="E44" s="6" t="n">
        <v>-1</v>
      </c>
      <c r="F44" s="6" t="n">
        <v>-1</v>
      </c>
      <c r="G44" s="8" t="n">
        <v>0.0247</v>
      </c>
      <c r="H44" s="8" t="n">
        <v>0.7433</v>
      </c>
      <c r="I44" s="9" t="n">
        <v>0</v>
      </c>
    </row>
    <row r="45">
      <c r="B45" s="6" t="n">
        <v>893</v>
      </c>
      <c r="C45" s="7" t="n">
        <v>80000</v>
      </c>
      <c r="D45" s="6" t="n">
        <v>32</v>
      </c>
      <c r="E45" s="6" t="n">
        <v>0</v>
      </c>
      <c r="F45" s="6" t="n">
        <v>0</v>
      </c>
      <c r="G45" s="8" t="n">
        <v>0.3551</v>
      </c>
      <c r="H45" s="8" t="n">
        <v>0.0443</v>
      </c>
      <c r="I45" s="9" t="n">
        <v>0</v>
      </c>
    </row>
    <row r="46">
      <c r="B46" s="6" t="n">
        <v>1100</v>
      </c>
      <c r="C46" s="7" t="n">
        <v>110000</v>
      </c>
      <c r="D46" s="6" t="n">
        <v>50</v>
      </c>
      <c r="E46" s="6" t="n">
        <v>0</v>
      </c>
      <c r="F46" s="6" t="n">
        <v>0</v>
      </c>
      <c r="G46" s="8" t="n">
        <v>0.3346</v>
      </c>
      <c r="H46" s="8" t="n">
        <v>0.0543</v>
      </c>
      <c r="I46" s="9" t="n">
        <v>0</v>
      </c>
    </row>
    <row r="47">
      <c r="B47" s="6" t="n">
        <v>1126</v>
      </c>
      <c r="C47" s="7" t="n">
        <v>300000</v>
      </c>
      <c r="D47" s="6" t="n">
        <v>38</v>
      </c>
      <c r="E47" s="6" t="n">
        <v>-1</v>
      </c>
      <c r="F47" s="6" t="n">
        <v>-1</v>
      </c>
      <c r="G47" s="8" t="n">
        <v>0.0076</v>
      </c>
      <c r="H47" s="8" t="n">
        <v>0</v>
      </c>
      <c r="I47" s="9" t="n">
        <v>0</v>
      </c>
    </row>
    <row r="48">
      <c r="B48" s="6" t="n">
        <v>1147</v>
      </c>
      <c r="C48" s="7" t="n">
        <v>70000</v>
      </c>
      <c r="D48" s="6" t="n">
        <v>31</v>
      </c>
      <c r="E48" s="6" t="n">
        <v>2</v>
      </c>
      <c r="F48" s="6" t="n">
        <v>2</v>
      </c>
      <c r="G48" s="8" t="n">
        <v>0.0343</v>
      </c>
      <c r="H48" s="8" t="n">
        <v>0</v>
      </c>
      <c r="I48" s="10" t="n">
        <v>1</v>
      </c>
    </row>
    <row r="49">
      <c r="B49" s="6" t="n">
        <v>1148</v>
      </c>
      <c r="C49" s="7" t="n">
        <v>360000</v>
      </c>
      <c r="D49" s="6" t="n">
        <v>33</v>
      </c>
      <c r="E49" s="6" t="n">
        <v>1</v>
      </c>
      <c r="F49" s="6" t="n">
        <v>2</v>
      </c>
      <c r="G49" s="8" t="n">
        <v>0.1978</v>
      </c>
      <c r="H49" s="8" t="n">
        <v>0</v>
      </c>
      <c r="I49" s="9" t="n">
        <v>0</v>
      </c>
    </row>
    <row r="50">
      <c r="B50" s="6" t="n">
        <v>1193</v>
      </c>
      <c r="C50" s="7" t="n">
        <v>270000</v>
      </c>
      <c r="D50" s="6" t="n">
        <v>34</v>
      </c>
      <c r="E50" s="6" t="n">
        <v>-1</v>
      </c>
      <c r="F50" s="6" t="n">
        <v>-1</v>
      </c>
      <c r="G50" s="8" t="n">
        <v>0.0014</v>
      </c>
      <c r="H50" s="8" t="n">
        <v>2</v>
      </c>
      <c r="I50" s="10" t="n">
        <v>1</v>
      </c>
    </row>
    <row r="51">
      <c r="B51" s="6" t="n">
        <v>1244</v>
      </c>
      <c r="C51" s="7" t="n">
        <v>100000</v>
      </c>
      <c r="D51" s="6" t="n">
        <v>50</v>
      </c>
      <c r="E51" s="6" t="n">
        <v>2</v>
      </c>
      <c r="F51" s="6" t="n">
        <v>2</v>
      </c>
      <c r="G51" s="8" t="n">
        <v>1.1054</v>
      </c>
      <c r="H51" s="8" t="n">
        <v>0</v>
      </c>
      <c r="I51" s="10" t="n">
        <v>1</v>
      </c>
    </row>
    <row r="52">
      <c r="B52" s="6" t="n">
        <v>1295</v>
      </c>
      <c r="C52" s="7" t="n">
        <v>300000</v>
      </c>
      <c r="D52" s="6" t="n">
        <v>41</v>
      </c>
      <c r="E52" s="6" t="n">
        <v>0</v>
      </c>
      <c r="F52" s="6" t="n">
        <v>0</v>
      </c>
      <c r="G52" s="8" t="n">
        <v>0.1149</v>
      </c>
      <c r="H52" s="8" t="n">
        <v>0.0427</v>
      </c>
      <c r="I52" s="9" t="n">
        <v>0</v>
      </c>
    </row>
    <row r="53">
      <c r="B53" s="6" t="n">
        <v>1316</v>
      </c>
      <c r="C53" s="7" t="n">
        <v>140000</v>
      </c>
      <c r="D53" s="6" t="n">
        <v>48</v>
      </c>
      <c r="E53" s="6" t="n">
        <v>-1</v>
      </c>
      <c r="F53" s="6" t="n">
        <v>-1</v>
      </c>
      <c r="G53" s="8" t="n">
        <v>0.0114</v>
      </c>
      <c r="H53" s="8" t="n">
        <v>2</v>
      </c>
      <c r="I53" s="10" t="n">
        <v>1</v>
      </c>
    </row>
    <row r="54">
      <c r="B54" s="6" t="n">
        <v>1358</v>
      </c>
      <c r="C54" s="7" t="n">
        <v>20000</v>
      </c>
      <c r="D54" s="6" t="n">
        <v>22</v>
      </c>
      <c r="E54" s="6" t="n">
        <v>2</v>
      </c>
      <c r="F54" s="6" t="n">
        <v>2</v>
      </c>
      <c r="G54" s="8" t="n">
        <v>0.8363</v>
      </c>
      <c r="H54" s="8" t="n">
        <v>0.1794</v>
      </c>
      <c r="I54" s="10" t="n">
        <v>1</v>
      </c>
    </row>
    <row r="55">
      <c r="B55" s="6" t="n">
        <v>1385</v>
      </c>
      <c r="C55" s="7" t="n">
        <v>50000</v>
      </c>
      <c r="D55" s="6" t="n">
        <v>22</v>
      </c>
      <c r="E55" s="6" t="n">
        <v>0</v>
      </c>
      <c r="F55" s="6" t="n">
        <v>0</v>
      </c>
      <c r="G55" s="8" t="n">
        <v>0.4571</v>
      </c>
      <c r="H55" s="8" t="n">
        <v>0.3938</v>
      </c>
      <c r="I55" s="9" t="n">
        <v>0</v>
      </c>
    </row>
    <row r="56">
      <c r="B56" s="6" t="n">
        <v>1395</v>
      </c>
      <c r="C56" s="7" t="n">
        <v>140000</v>
      </c>
      <c r="D56" s="6" t="n">
        <v>23</v>
      </c>
      <c r="E56" s="6" t="n">
        <v>-2</v>
      </c>
      <c r="F56" s="6" t="n">
        <v>-2</v>
      </c>
      <c r="G56" s="8" t="n">
        <v>0.4822</v>
      </c>
      <c r="H56" s="8" t="n">
        <v>0.0296</v>
      </c>
      <c r="I56" s="9" t="n">
        <v>0</v>
      </c>
    </row>
    <row r="57">
      <c r="B57" s="6" t="n">
        <v>1429</v>
      </c>
      <c r="C57" s="7" t="n">
        <v>210000</v>
      </c>
      <c r="D57" s="6" t="n">
        <v>37</v>
      </c>
      <c r="E57" s="6" t="n">
        <v>2</v>
      </c>
      <c r="F57" s="6" t="n">
        <v>2</v>
      </c>
      <c r="G57" s="8" t="n">
        <v>0.3623</v>
      </c>
      <c r="H57" s="8" t="n">
        <v>0.0486</v>
      </c>
      <c r="I57" s="10" t="n">
        <v>1</v>
      </c>
    </row>
    <row r="58">
      <c r="B58" s="6" t="n">
        <v>1464</v>
      </c>
      <c r="C58" s="7" t="n">
        <v>300000</v>
      </c>
      <c r="D58" s="6" t="n">
        <v>50</v>
      </c>
      <c r="E58" s="6" t="n">
        <v>-1</v>
      </c>
      <c r="F58" s="6" t="n">
        <v>-1</v>
      </c>
      <c r="G58" s="8" t="n">
        <v>0.0297</v>
      </c>
      <c r="H58" s="8" t="n">
        <v>0.3509</v>
      </c>
      <c r="I58" s="9" t="n">
        <v>0</v>
      </c>
    </row>
    <row r="59">
      <c r="B59" s="6" t="n">
        <v>1465</v>
      </c>
      <c r="C59" s="7" t="n">
        <v>90000</v>
      </c>
      <c r="D59" s="6" t="n">
        <v>24</v>
      </c>
      <c r="E59" s="6" t="n">
        <v>-1</v>
      </c>
      <c r="F59" s="6" t="n">
        <v>0</v>
      </c>
      <c r="G59" s="8" t="n">
        <v>0.1947</v>
      </c>
      <c r="H59" s="8" t="n">
        <v>0.2853</v>
      </c>
      <c r="I59" s="9" t="n">
        <v>0</v>
      </c>
    </row>
    <row r="60">
      <c r="B60" s="6" t="n">
        <v>1483</v>
      </c>
      <c r="C60" s="7" t="n">
        <v>340000</v>
      </c>
      <c r="D60" s="6" t="n">
        <v>36</v>
      </c>
      <c r="E60" s="6" t="n">
        <v>0</v>
      </c>
      <c r="F60" s="6" t="n">
        <v>0</v>
      </c>
      <c r="G60" s="8" t="n">
        <v>0.4926</v>
      </c>
      <c r="H60" s="8" t="n">
        <v>0.0424</v>
      </c>
      <c r="I60" s="9" t="n">
        <v>0</v>
      </c>
    </row>
    <row r="61">
      <c r="B61" s="6" t="n">
        <v>1493</v>
      </c>
      <c r="C61" s="7" t="n">
        <v>60000</v>
      </c>
      <c r="D61" s="6" t="n">
        <v>48</v>
      </c>
      <c r="E61" s="6" t="n">
        <v>2</v>
      </c>
      <c r="F61" s="6" t="n">
        <v>0</v>
      </c>
      <c r="G61" s="8" t="n">
        <v>0.7256</v>
      </c>
      <c r="H61" s="8" t="n">
        <v>0.0391</v>
      </c>
      <c r="I61" s="9" t="n">
        <v>0</v>
      </c>
    </row>
    <row r="62">
      <c r="B62" s="6" t="n">
        <v>1494</v>
      </c>
      <c r="C62" s="7" t="n">
        <v>160000</v>
      </c>
      <c r="D62" s="6" t="n">
        <v>43</v>
      </c>
      <c r="E62" s="6" t="n">
        <v>-1</v>
      </c>
      <c r="F62" s="6" t="n">
        <v>-1</v>
      </c>
      <c r="G62" s="8" t="n">
        <v>0.0779</v>
      </c>
      <c r="H62" s="8" t="n">
        <v>0.6056</v>
      </c>
      <c r="I62" s="9" t="n">
        <v>0</v>
      </c>
    </row>
    <row r="63">
      <c r="B63" s="6" t="n">
        <v>1497</v>
      </c>
      <c r="C63" s="7" t="n">
        <v>360000</v>
      </c>
      <c r="D63" s="6" t="n">
        <v>35</v>
      </c>
      <c r="E63" s="6" t="n">
        <v>2</v>
      </c>
      <c r="F63" s="6" t="n">
        <v>2</v>
      </c>
      <c r="G63" s="8" t="n">
        <v>1.0001</v>
      </c>
      <c r="H63" s="8" t="n">
        <v>0.0408</v>
      </c>
      <c r="I63" s="10" t="n">
        <v>1</v>
      </c>
    </row>
    <row r="64">
      <c r="B64" s="6" t="n">
        <v>1522</v>
      </c>
      <c r="C64" s="7" t="n">
        <v>60000</v>
      </c>
      <c r="D64" s="6" t="n">
        <v>40</v>
      </c>
      <c r="E64" s="6" t="n">
        <v>3</v>
      </c>
      <c r="F64" s="6" t="n">
        <v>3</v>
      </c>
      <c r="G64" s="8" t="n">
        <v>0.1624</v>
      </c>
      <c r="H64" s="8" t="n">
        <v>0.1539</v>
      </c>
      <c r="I64" s="9" t="n">
        <v>0</v>
      </c>
    </row>
    <row r="65">
      <c r="B65" s="6" t="n">
        <v>1527</v>
      </c>
      <c r="C65" s="7" t="n">
        <v>90000</v>
      </c>
      <c r="D65" s="6" t="n">
        <v>25</v>
      </c>
      <c r="E65" s="6" t="n">
        <v>0</v>
      </c>
      <c r="F65" s="6" t="n">
        <v>0</v>
      </c>
      <c r="G65" s="8" t="n">
        <v>0.9725</v>
      </c>
      <c r="H65" s="8" t="n">
        <v>0.048</v>
      </c>
      <c r="I65" s="10" t="n">
        <v>1</v>
      </c>
    </row>
    <row r="66">
      <c r="B66" s="6" t="n">
        <v>1535</v>
      </c>
      <c r="C66" s="7" t="n">
        <v>50000</v>
      </c>
      <c r="D66" s="6" t="n">
        <v>44</v>
      </c>
      <c r="E66" s="6" t="n">
        <v>0</v>
      </c>
      <c r="F66" s="6" t="n">
        <v>0</v>
      </c>
      <c r="G66" s="8" t="n">
        <v>0.3186</v>
      </c>
      <c r="H66" s="8" t="n">
        <v>0.1255</v>
      </c>
      <c r="I66" s="9" t="n">
        <v>0</v>
      </c>
    </row>
    <row r="67">
      <c r="B67" s="6" t="n">
        <v>1540</v>
      </c>
      <c r="C67" s="7" t="n">
        <v>110000</v>
      </c>
      <c r="D67" s="6" t="n">
        <v>28</v>
      </c>
      <c r="E67" s="6" t="n">
        <v>0</v>
      </c>
      <c r="F67" s="6" t="n">
        <v>0</v>
      </c>
      <c r="G67" s="8" t="n">
        <v>0.7811</v>
      </c>
      <c r="H67" s="8" t="n">
        <v>0.0466</v>
      </c>
      <c r="I67" s="9" t="n">
        <v>0</v>
      </c>
    </row>
    <row r="68">
      <c r="B68" s="6" t="n">
        <v>1588</v>
      </c>
      <c r="C68" s="7" t="n">
        <v>550000</v>
      </c>
      <c r="D68" s="6" t="n">
        <v>31</v>
      </c>
      <c r="E68" s="6" t="n">
        <v>0</v>
      </c>
      <c r="F68" s="6" t="n">
        <v>0</v>
      </c>
      <c r="G68" s="8" t="n">
        <v>0.0796</v>
      </c>
      <c r="H68" s="8" t="n">
        <v>0.0461</v>
      </c>
      <c r="I68" s="9" t="n">
        <v>0</v>
      </c>
    </row>
    <row r="69">
      <c r="B69" s="6" t="n">
        <v>1627</v>
      </c>
      <c r="C69" s="7" t="n">
        <v>150000</v>
      </c>
      <c r="D69" s="6" t="n">
        <v>48</v>
      </c>
      <c r="E69" s="6" t="n">
        <v>0</v>
      </c>
      <c r="F69" s="6" t="n">
        <v>0</v>
      </c>
      <c r="G69" s="8" t="n">
        <v>0.252</v>
      </c>
      <c r="H69" s="8" t="n">
        <v>0.1058</v>
      </c>
      <c r="I69" s="9" t="n">
        <v>0</v>
      </c>
    </row>
    <row r="70">
      <c r="B70" s="6" t="n">
        <v>1655</v>
      </c>
      <c r="C70" s="7" t="n">
        <v>50000</v>
      </c>
      <c r="D70" s="6" t="n">
        <v>30</v>
      </c>
      <c r="E70" s="6" t="n">
        <v>0</v>
      </c>
      <c r="F70" s="6" t="n">
        <v>0</v>
      </c>
      <c r="G70" s="8" t="n">
        <v>1.0101</v>
      </c>
      <c r="H70" s="8" t="n">
        <v>0.07920000000000001</v>
      </c>
      <c r="I70" s="9" t="n">
        <v>0</v>
      </c>
    </row>
    <row r="71">
      <c r="B71" s="6" t="n">
        <v>1753</v>
      </c>
      <c r="C71" s="7" t="n">
        <v>60000</v>
      </c>
      <c r="D71" s="6" t="n">
        <v>38</v>
      </c>
      <c r="E71" s="6" t="n">
        <v>-2</v>
      </c>
      <c r="F71" s="6" t="n">
        <v>-2</v>
      </c>
      <c r="G71" s="8" t="n">
        <v>0.0794</v>
      </c>
      <c r="H71" s="8" t="n">
        <v>2</v>
      </c>
      <c r="I71" s="9" t="n">
        <v>0</v>
      </c>
    </row>
    <row r="72">
      <c r="B72" s="6" t="n">
        <v>1756</v>
      </c>
      <c r="C72" s="7" t="n">
        <v>130000</v>
      </c>
      <c r="D72" s="6" t="n">
        <v>34</v>
      </c>
      <c r="E72" s="6" t="n">
        <v>0</v>
      </c>
      <c r="F72" s="6" t="n">
        <v>0</v>
      </c>
      <c r="G72" s="8" t="n">
        <v>0.0419</v>
      </c>
      <c r="H72" s="8" t="n">
        <v>0.2427</v>
      </c>
      <c r="I72" s="9" t="n">
        <v>0</v>
      </c>
    </row>
    <row r="73">
      <c r="B73" s="6" t="n">
        <v>1759</v>
      </c>
      <c r="C73" s="7" t="n">
        <v>80000</v>
      </c>
      <c r="D73" s="6" t="n">
        <v>36</v>
      </c>
      <c r="E73" s="6" t="n">
        <v>0</v>
      </c>
      <c r="F73" s="6" t="n">
        <v>0</v>
      </c>
      <c r="G73" s="8" t="n">
        <v>0.2546</v>
      </c>
      <c r="H73" s="8" t="n">
        <v>0.0664</v>
      </c>
      <c r="I73" s="9" t="n">
        <v>0</v>
      </c>
    </row>
    <row r="74">
      <c r="B74" s="6" t="n">
        <v>1790</v>
      </c>
      <c r="C74" s="7" t="n">
        <v>110000</v>
      </c>
      <c r="D74" s="6" t="n">
        <v>26</v>
      </c>
      <c r="E74" s="6" t="n">
        <v>0</v>
      </c>
      <c r="F74" s="6" t="n">
        <v>0</v>
      </c>
      <c r="G74" s="8" t="n">
        <v>0.9674</v>
      </c>
      <c r="H74" s="8" t="n">
        <v>0.0848</v>
      </c>
      <c r="I74" s="9" t="n">
        <v>0</v>
      </c>
    </row>
    <row r="75">
      <c r="B75" s="6" t="n">
        <v>1814</v>
      </c>
      <c r="C75" s="7" t="n">
        <v>200000</v>
      </c>
      <c r="D75" s="6" t="n">
        <v>27</v>
      </c>
      <c r="E75" s="6" t="n">
        <v>2</v>
      </c>
      <c r="F75" s="6" t="n">
        <v>2</v>
      </c>
      <c r="G75" s="8" t="n">
        <v>0.9340000000000001</v>
      </c>
      <c r="H75" s="8" t="n">
        <v>0</v>
      </c>
      <c r="I75" s="9" t="n">
        <v>0</v>
      </c>
    </row>
    <row r="76">
      <c r="B76" s="6" t="n">
        <v>1841</v>
      </c>
      <c r="C76" s="7" t="n">
        <v>70000</v>
      </c>
      <c r="D76" s="6" t="n">
        <v>31</v>
      </c>
      <c r="E76" s="6" t="n">
        <v>0</v>
      </c>
      <c r="F76" s="6" t="n">
        <v>0</v>
      </c>
      <c r="G76" s="8" t="n">
        <v>0.858</v>
      </c>
      <c r="H76" s="8" t="n">
        <v>0.0305</v>
      </c>
      <c r="I76" s="9" t="n">
        <v>0</v>
      </c>
    </row>
    <row r="77">
      <c r="B77" s="6" t="n">
        <v>1868</v>
      </c>
      <c r="C77" s="7" t="n">
        <v>50000</v>
      </c>
      <c r="D77" s="6" t="n">
        <v>46</v>
      </c>
      <c r="E77" s="6" t="n">
        <v>0</v>
      </c>
      <c r="F77" s="6" t="n">
        <v>0</v>
      </c>
      <c r="G77" s="8" t="n">
        <v>0.0731</v>
      </c>
      <c r="H77" s="8" t="n">
        <v>0.2735</v>
      </c>
      <c r="I77" s="9" t="n">
        <v>0</v>
      </c>
    </row>
    <row r="78">
      <c r="B78" s="6" t="n">
        <v>1872</v>
      </c>
      <c r="C78" s="7" t="n">
        <v>50000</v>
      </c>
      <c r="D78" s="6" t="n">
        <v>26</v>
      </c>
      <c r="E78" s="6" t="n">
        <v>0</v>
      </c>
      <c r="F78" s="6" t="n">
        <v>0</v>
      </c>
      <c r="G78" s="8" t="n">
        <v>0.8201000000000001</v>
      </c>
      <c r="H78" s="8" t="n">
        <v>0.0423</v>
      </c>
      <c r="I78" s="9" t="n">
        <v>0</v>
      </c>
    </row>
    <row r="79">
      <c r="B79" s="6" t="n">
        <v>1967</v>
      </c>
      <c r="C79" s="7" t="n">
        <v>90000</v>
      </c>
      <c r="D79" s="6" t="n">
        <v>29</v>
      </c>
      <c r="E79" s="6" t="n">
        <v>1</v>
      </c>
      <c r="F79" s="6" t="n">
        <v>1</v>
      </c>
      <c r="G79" s="8" t="n">
        <v>0.4564</v>
      </c>
      <c r="H79" s="8" t="n">
        <v>0.0755</v>
      </c>
      <c r="I79" s="9" t="n">
        <v>0</v>
      </c>
    </row>
    <row r="80">
      <c r="B80" s="6" t="n">
        <v>2004</v>
      </c>
      <c r="C80" s="7" t="n">
        <v>50000</v>
      </c>
      <c r="D80" s="6" t="n">
        <v>33</v>
      </c>
      <c r="E80" s="6" t="n">
        <v>2</v>
      </c>
      <c r="F80" s="6" t="n">
        <v>0</v>
      </c>
      <c r="G80" s="8" t="n">
        <v>0.555</v>
      </c>
      <c r="H80" s="8" t="n">
        <v>0.0536</v>
      </c>
      <c r="I80" s="10" t="n">
        <v>1</v>
      </c>
    </row>
    <row r="81">
      <c r="B81" s="6" t="n">
        <v>2016</v>
      </c>
      <c r="C81" s="7" t="n">
        <v>390000</v>
      </c>
      <c r="D81" s="6" t="n">
        <v>38</v>
      </c>
      <c r="E81" s="6" t="n">
        <v>-2</v>
      </c>
      <c r="F81" s="6" t="n">
        <v>-2</v>
      </c>
      <c r="G81" s="8" t="n">
        <v>0.0005999999999999999</v>
      </c>
      <c r="H81" s="8" t="n">
        <v>0</v>
      </c>
      <c r="I81" s="10" t="n">
        <v>1</v>
      </c>
    </row>
    <row r="82">
      <c r="B82" s="6" t="n">
        <v>2031</v>
      </c>
      <c r="C82" s="7" t="n">
        <v>500000</v>
      </c>
      <c r="D82" s="6" t="n">
        <v>39</v>
      </c>
      <c r="E82" s="6" t="n">
        <v>0</v>
      </c>
      <c r="F82" s="6" t="n">
        <v>0</v>
      </c>
      <c r="G82" s="8" t="n">
        <v>0.716</v>
      </c>
      <c r="H82" s="8" t="n">
        <v>0.0419</v>
      </c>
      <c r="I82" s="9" t="n">
        <v>0</v>
      </c>
    </row>
    <row r="83">
      <c r="B83" s="6" t="n">
        <v>2033</v>
      </c>
      <c r="C83" s="7" t="n">
        <v>500000</v>
      </c>
      <c r="D83" s="6" t="n">
        <v>34</v>
      </c>
      <c r="E83" s="6" t="n">
        <v>0</v>
      </c>
      <c r="F83" s="6" t="n">
        <v>0</v>
      </c>
      <c r="G83" s="8" t="n">
        <v>0.0654</v>
      </c>
      <c r="H83" s="8" t="n">
        <v>0.9172</v>
      </c>
      <c r="I83" s="9" t="n">
        <v>0</v>
      </c>
    </row>
    <row r="84">
      <c r="B84" s="6" t="n">
        <v>2046</v>
      </c>
      <c r="C84" s="7" t="n">
        <v>110000</v>
      </c>
      <c r="D84" s="6" t="n">
        <v>26</v>
      </c>
      <c r="E84" s="6" t="n">
        <v>2</v>
      </c>
      <c r="F84" s="6" t="n">
        <v>2</v>
      </c>
      <c r="G84" s="8" t="n">
        <v>0.5283</v>
      </c>
      <c r="H84" s="8" t="n">
        <v>0</v>
      </c>
      <c r="I84" s="10" t="n">
        <v>1</v>
      </c>
    </row>
    <row r="85">
      <c r="B85" s="6" t="n">
        <v>2083</v>
      </c>
      <c r="C85" s="7" t="n">
        <v>50000</v>
      </c>
      <c r="D85" s="6" t="n">
        <v>42</v>
      </c>
      <c r="E85" s="6" t="n">
        <v>1</v>
      </c>
      <c r="F85" s="6" t="n">
        <v>-2</v>
      </c>
      <c r="G85" s="8" t="n">
        <v>0</v>
      </c>
      <c r="H85" s="8" t="n">
        <v>0</v>
      </c>
      <c r="I85" s="9" t="n">
        <v>0</v>
      </c>
    </row>
    <row r="86">
      <c r="B86" s="6" t="n">
        <v>2092</v>
      </c>
      <c r="C86" s="7" t="n">
        <v>270000</v>
      </c>
      <c r="D86" s="6" t="n">
        <v>31</v>
      </c>
      <c r="E86" s="6" t="n">
        <v>1</v>
      </c>
      <c r="F86" s="6" t="n">
        <v>2</v>
      </c>
      <c r="G86" s="8" t="n">
        <v>0.0615</v>
      </c>
      <c r="H86" s="8" t="n">
        <v>0.1505</v>
      </c>
      <c r="I86" s="9" t="n">
        <v>0</v>
      </c>
    </row>
    <row r="87">
      <c r="B87" s="6" t="n">
        <v>2114</v>
      </c>
      <c r="C87" s="7" t="n">
        <v>50000</v>
      </c>
      <c r="D87" s="6" t="n">
        <v>33</v>
      </c>
      <c r="E87" s="6" t="n">
        <v>0</v>
      </c>
      <c r="F87" s="6" t="n">
        <v>0</v>
      </c>
      <c r="G87" s="8" t="n">
        <v>0.9612000000000001</v>
      </c>
      <c r="H87" s="8" t="n">
        <v>0.0436</v>
      </c>
      <c r="I87" s="10" t="n">
        <v>1</v>
      </c>
    </row>
    <row r="88">
      <c r="B88" s="6" t="n">
        <v>2140</v>
      </c>
      <c r="C88" s="7" t="n">
        <v>260000</v>
      </c>
      <c r="D88" s="6" t="n">
        <v>43</v>
      </c>
      <c r="E88" s="6" t="n">
        <v>1</v>
      </c>
      <c r="F88" s="6" t="n">
        <v>-2</v>
      </c>
      <c r="G88" s="8" t="n">
        <v>0</v>
      </c>
      <c r="H88" s="8" t="n">
        <v>0</v>
      </c>
      <c r="I88" s="10" t="n">
        <v>1</v>
      </c>
    </row>
    <row r="89">
      <c r="B89" s="6" t="n">
        <v>2214</v>
      </c>
      <c r="C89" s="7" t="n">
        <v>210000</v>
      </c>
      <c r="D89" s="6" t="n">
        <v>25</v>
      </c>
      <c r="E89" s="6" t="n">
        <v>0</v>
      </c>
      <c r="F89" s="6" t="n">
        <v>0</v>
      </c>
      <c r="G89" s="8" t="n">
        <v>0.06619999999999999</v>
      </c>
      <c r="H89" s="8" t="n">
        <v>0</v>
      </c>
      <c r="I89" s="9" t="n">
        <v>0</v>
      </c>
    </row>
    <row r="90">
      <c r="B90" s="6" t="n">
        <v>2215</v>
      </c>
      <c r="C90" s="7" t="n">
        <v>50000</v>
      </c>
      <c r="D90" s="6" t="n">
        <v>41</v>
      </c>
      <c r="E90" s="6" t="n">
        <v>0</v>
      </c>
      <c r="F90" s="6" t="n">
        <v>0</v>
      </c>
      <c r="G90" s="8" t="n">
        <v>0.4472</v>
      </c>
      <c r="H90" s="8" t="n">
        <v>0.08500000000000001</v>
      </c>
      <c r="I90" s="9" t="n">
        <v>0</v>
      </c>
    </row>
    <row r="91">
      <c r="B91" s="6" t="n">
        <v>2246</v>
      </c>
      <c r="C91" s="7" t="n">
        <v>180000</v>
      </c>
      <c r="D91" s="6" t="n">
        <v>32</v>
      </c>
      <c r="E91" s="6" t="n">
        <v>-1</v>
      </c>
      <c r="F91" s="6" t="n">
        <v>-1</v>
      </c>
      <c r="G91" s="8" t="n">
        <v>0.0022</v>
      </c>
      <c r="H91" s="8" t="n">
        <v>1.798</v>
      </c>
      <c r="I91" s="9" t="n">
        <v>0</v>
      </c>
    </row>
    <row r="92">
      <c r="B92" s="6" t="n">
        <v>2247</v>
      </c>
      <c r="C92" s="7" t="n">
        <v>140000</v>
      </c>
      <c r="D92" s="6" t="n">
        <v>32</v>
      </c>
      <c r="E92" s="6" t="n">
        <v>0</v>
      </c>
      <c r="F92" s="6" t="n">
        <v>0</v>
      </c>
      <c r="G92" s="8" t="n">
        <v>0.7247</v>
      </c>
      <c r="H92" s="8" t="n">
        <v>0.0394</v>
      </c>
      <c r="I92" s="9" t="n">
        <v>0</v>
      </c>
    </row>
    <row r="93">
      <c r="B93" s="6" t="n">
        <v>2254</v>
      </c>
      <c r="C93" s="7" t="n">
        <v>10000</v>
      </c>
      <c r="D93" s="6" t="n">
        <v>48</v>
      </c>
      <c r="E93" s="6" t="n">
        <v>0</v>
      </c>
      <c r="F93" s="6" t="n">
        <v>0</v>
      </c>
      <c r="G93" s="8" t="n">
        <v>0.8858</v>
      </c>
      <c r="H93" s="8" t="n">
        <v>0.1386</v>
      </c>
      <c r="I93" s="9" t="n">
        <v>0</v>
      </c>
    </row>
    <row r="94">
      <c r="B94" s="6" t="n">
        <v>2292</v>
      </c>
      <c r="C94" s="7" t="n">
        <v>90000</v>
      </c>
      <c r="D94" s="6" t="n">
        <v>35</v>
      </c>
      <c r="E94" s="6" t="n">
        <v>1</v>
      </c>
      <c r="F94" s="6" t="n">
        <v>-1</v>
      </c>
      <c r="G94" s="8" t="n">
        <v>0</v>
      </c>
      <c r="H94" s="8" t="n">
        <v>0</v>
      </c>
      <c r="I94" s="9" t="n">
        <v>0</v>
      </c>
    </row>
    <row r="95">
      <c r="B95" s="6" t="n">
        <v>2311</v>
      </c>
      <c r="C95" s="7" t="n">
        <v>30000</v>
      </c>
      <c r="D95" s="6" t="n">
        <v>47</v>
      </c>
      <c r="E95" s="6" t="n">
        <v>1</v>
      </c>
      <c r="F95" s="6" t="n">
        <v>2</v>
      </c>
      <c r="G95" s="8" t="n">
        <v>0.7903</v>
      </c>
      <c r="H95" s="8" t="n">
        <v>0</v>
      </c>
      <c r="I95" s="9" t="n">
        <v>0</v>
      </c>
    </row>
    <row r="96">
      <c r="B96" s="6" t="n">
        <v>2334</v>
      </c>
      <c r="C96" s="7" t="n">
        <v>210000</v>
      </c>
      <c r="D96" s="6" t="n">
        <v>38</v>
      </c>
      <c r="E96" s="6" t="n">
        <v>-1</v>
      </c>
      <c r="F96" s="6" t="n">
        <v>-1</v>
      </c>
      <c r="G96" s="8" t="n">
        <v>0.0112</v>
      </c>
      <c r="H96" s="8" t="n">
        <v>1.8919</v>
      </c>
      <c r="I96" s="9" t="n">
        <v>0</v>
      </c>
    </row>
    <row r="97">
      <c r="B97" s="6" t="n">
        <v>2391</v>
      </c>
      <c r="C97" s="7" t="n">
        <v>180000</v>
      </c>
      <c r="D97" s="6" t="n">
        <v>29</v>
      </c>
      <c r="E97" s="6" t="n">
        <v>1</v>
      </c>
      <c r="F97" s="6" t="n">
        <v>2</v>
      </c>
      <c r="G97" s="8" t="n">
        <v>0.0292</v>
      </c>
      <c r="H97" s="8" t="n">
        <v>0</v>
      </c>
      <c r="I97" s="10" t="n">
        <v>1</v>
      </c>
    </row>
    <row r="98">
      <c r="B98" s="6" t="n">
        <v>2403</v>
      </c>
      <c r="C98" s="7" t="n">
        <v>80000</v>
      </c>
      <c r="D98" s="6" t="n">
        <v>29</v>
      </c>
      <c r="E98" s="6" t="n">
        <v>1</v>
      </c>
      <c r="F98" s="6" t="n">
        <v>2</v>
      </c>
      <c r="G98" s="8" t="n">
        <v>0.6754</v>
      </c>
      <c r="H98" s="8" t="n">
        <v>0</v>
      </c>
      <c r="I98" s="9" t="n">
        <v>0</v>
      </c>
    </row>
    <row r="99">
      <c r="B99" s="6" t="n">
        <v>2404</v>
      </c>
      <c r="C99" s="7" t="n">
        <v>320000</v>
      </c>
      <c r="D99" s="6" t="n">
        <v>32</v>
      </c>
      <c r="E99" s="6" t="n">
        <v>-1</v>
      </c>
      <c r="F99" s="6" t="n">
        <v>2</v>
      </c>
      <c r="G99" s="8" t="n">
        <v>0.0024</v>
      </c>
      <c r="H99" s="8" t="n">
        <v>0</v>
      </c>
      <c r="I99" s="10" t="n">
        <v>1</v>
      </c>
    </row>
    <row r="100">
      <c r="B100" s="6" t="n">
        <v>2482</v>
      </c>
      <c r="C100" s="7" t="n">
        <v>50000</v>
      </c>
      <c r="D100" s="6" t="n">
        <v>51</v>
      </c>
      <c r="E100" s="6" t="n">
        <v>-1</v>
      </c>
      <c r="F100" s="6" t="n">
        <v>-1</v>
      </c>
      <c r="G100" s="8" t="n">
        <v>0.3491</v>
      </c>
      <c r="H100" s="8" t="n">
        <v>0.4777</v>
      </c>
      <c r="I100" s="9" t="n">
        <v>0</v>
      </c>
    </row>
    <row r="101">
      <c r="B101" s="6" t="n">
        <v>2526</v>
      </c>
      <c r="C101" s="7" t="n">
        <v>50000</v>
      </c>
      <c r="D101" s="6" t="n">
        <v>25</v>
      </c>
      <c r="E101" s="6" t="n">
        <v>0</v>
      </c>
      <c r="F101" s="6" t="n">
        <v>0</v>
      </c>
      <c r="G101" s="8" t="n">
        <v>0.4882</v>
      </c>
      <c r="H101" s="8" t="n">
        <v>0.0533</v>
      </c>
      <c r="I101" s="9" t="n">
        <v>0</v>
      </c>
    </row>
    <row r="102">
      <c r="B102" s="6" t="n">
        <v>2544</v>
      </c>
      <c r="C102" s="7" t="n">
        <v>230000</v>
      </c>
      <c r="D102" s="6" t="n">
        <v>34</v>
      </c>
      <c r="E102" s="6" t="n">
        <v>-2</v>
      </c>
      <c r="F102" s="6" t="n">
        <v>-2</v>
      </c>
      <c r="G102" s="8" t="n">
        <v>0.0101</v>
      </c>
      <c r="H102" s="8" t="n">
        <v>0.8132</v>
      </c>
      <c r="I102" s="9" t="n">
        <v>0</v>
      </c>
    </row>
    <row r="103">
      <c r="B103" s="6" t="n">
        <v>2585</v>
      </c>
      <c r="C103" s="7" t="n">
        <v>30000</v>
      </c>
      <c r="D103" s="6" t="n">
        <v>22</v>
      </c>
      <c r="E103" s="6" t="n">
        <v>-1</v>
      </c>
      <c r="F103" s="6" t="n">
        <v>-1</v>
      </c>
      <c r="G103" s="8" t="n">
        <v>0.1321</v>
      </c>
      <c r="H103" s="8" t="n">
        <v>1.57</v>
      </c>
      <c r="I103" s="9" t="n">
        <v>0</v>
      </c>
    </row>
    <row r="104">
      <c r="B104" s="6" t="n">
        <v>2615</v>
      </c>
      <c r="C104" s="7" t="n">
        <v>200000</v>
      </c>
      <c r="D104" s="6" t="n">
        <v>42</v>
      </c>
      <c r="E104" s="6" t="n">
        <v>-1</v>
      </c>
      <c r="F104" s="6" t="n">
        <v>-1</v>
      </c>
      <c r="G104" s="8" t="n">
        <v>0.3652</v>
      </c>
      <c r="H104" s="8" t="n">
        <v>0.177</v>
      </c>
      <c r="I104" s="9" t="n">
        <v>0</v>
      </c>
    </row>
    <row r="105">
      <c r="B105" s="6" t="n">
        <v>2656</v>
      </c>
      <c r="C105" s="7" t="n">
        <v>260000</v>
      </c>
      <c r="D105" s="6" t="n">
        <v>35</v>
      </c>
      <c r="E105" s="6" t="n">
        <v>2</v>
      </c>
      <c r="F105" s="6" t="n">
        <v>2</v>
      </c>
      <c r="G105" s="8" t="n">
        <v>0.0039</v>
      </c>
      <c r="H105" s="8" t="n">
        <v>0</v>
      </c>
      <c r="I105" s="10" t="n">
        <v>1</v>
      </c>
    </row>
    <row r="106">
      <c r="B106" s="6" t="n">
        <v>2706</v>
      </c>
      <c r="C106" s="7" t="n">
        <v>180000</v>
      </c>
      <c r="D106" s="6" t="n">
        <v>25</v>
      </c>
      <c r="E106" s="6" t="n">
        <v>0</v>
      </c>
      <c r="F106" s="6" t="n">
        <v>0</v>
      </c>
      <c r="G106" s="8" t="n">
        <v>0.9868</v>
      </c>
      <c r="H106" s="8" t="n">
        <v>0.0293</v>
      </c>
      <c r="I106" s="9" t="n">
        <v>0</v>
      </c>
    </row>
    <row r="107">
      <c r="B107" s="6" t="n">
        <v>2732</v>
      </c>
      <c r="C107" s="7" t="n">
        <v>250000</v>
      </c>
      <c r="D107" s="6" t="n">
        <v>31</v>
      </c>
      <c r="E107" s="6" t="n">
        <v>-2</v>
      </c>
      <c r="F107" s="6" t="n">
        <v>-2</v>
      </c>
      <c r="G107" s="8" t="n">
        <v>0</v>
      </c>
      <c r="H107" s="8" t="n">
        <v>0</v>
      </c>
      <c r="I107" s="10" t="n">
        <v>1</v>
      </c>
    </row>
    <row r="108">
      <c r="B108" s="6" t="n">
        <v>2767</v>
      </c>
      <c r="C108" s="7" t="n">
        <v>180000</v>
      </c>
      <c r="D108" s="6" t="n">
        <v>36</v>
      </c>
      <c r="E108" s="6" t="n">
        <v>0</v>
      </c>
      <c r="F108" s="6" t="n">
        <v>0</v>
      </c>
      <c r="G108" s="8" t="n">
        <v>0.5485</v>
      </c>
      <c r="H108" s="8" t="n">
        <v>0.061</v>
      </c>
      <c r="I108" s="9" t="n">
        <v>0</v>
      </c>
    </row>
    <row r="109">
      <c r="B109" s="6" t="n">
        <v>2774</v>
      </c>
      <c r="C109" s="7" t="n">
        <v>90000</v>
      </c>
      <c r="D109" s="6" t="n">
        <v>46</v>
      </c>
      <c r="E109" s="6" t="n">
        <v>-1</v>
      </c>
      <c r="F109" s="6" t="n">
        <v>2</v>
      </c>
      <c r="G109" s="8" t="n">
        <v>0.0183</v>
      </c>
      <c r="H109" s="8" t="n">
        <v>0</v>
      </c>
      <c r="I109" s="9" t="n">
        <v>0</v>
      </c>
    </row>
    <row r="110">
      <c r="B110" s="6" t="n">
        <v>2837</v>
      </c>
      <c r="C110" s="7" t="n">
        <v>240000</v>
      </c>
      <c r="D110" s="6" t="n">
        <v>39</v>
      </c>
      <c r="E110" s="6" t="n">
        <v>0</v>
      </c>
      <c r="F110" s="6" t="n">
        <v>0</v>
      </c>
      <c r="G110" s="8" t="n">
        <v>0.7163</v>
      </c>
      <c r="H110" s="8" t="n">
        <v>0.0419</v>
      </c>
      <c r="I110" s="9" t="n">
        <v>0</v>
      </c>
    </row>
    <row r="111">
      <c r="B111" s="6" t="n">
        <v>2908</v>
      </c>
      <c r="C111" s="7" t="n">
        <v>500000</v>
      </c>
      <c r="D111" s="6" t="n">
        <v>38</v>
      </c>
      <c r="E111" s="6" t="n">
        <v>0</v>
      </c>
      <c r="F111" s="6" t="n">
        <v>0</v>
      </c>
      <c r="G111" s="8" t="n">
        <v>0.9985000000000001</v>
      </c>
      <c r="H111" s="8" t="n">
        <v>0.0453</v>
      </c>
      <c r="I111" s="10" t="n">
        <v>1</v>
      </c>
    </row>
    <row r="112">
      <c r="B112" s="6" t="n">
        <v>2910</v>
      </c>
      <c r="C112" s="7" t="n">
        <v>220000</v>
      </c>
      <c r="D112" s="6" t="n">
        <v>25</v>
      </c>
      <c r="E112" s="6" t="n">
        <v>0</v>
      </c>
      <c r="F112" s="6" t="n">
        <v>0</v>
      </c>
      <c r="G112" s="8" t="n">
        <v>0.1348</v>
      </c>
      <c r="H112" s="8" t="n">
        <v>0.0343</v>
      </c>
      <c r="I112" s="9" t="n">
        <v>0</v>
      </c>
    </row>
    <row r="113">
      <c r="B113" s="6" t="n">
        <v>2932</v>
      </c>
      <c r="C113" s="7" t="n">
        <v>230000</v>
      </c>
      <c r="D113" s="6" t="n">
        <v>27</v>
      </c>
      <c r="E113" s="6" t="n">
        <v>1</v>
      </c>
      <c r="F113" s="6" t="n">
        <v>2</v>
      </c>
      <c r="G113" s="8" t="n">
        <v>0.2027</v>
      </c>
      <c r="H113" s="8" t="n">
        <v>0</v>
      </c>
      <c r="I113" s="9" t="n">
        <v>0</v>
      </c>
    </row>
    <row r="114">
      <c r="B114" s="6" t="n">
        <v>3007</v>
      </c>
      <c r="C114" s="7" t="n">
        <v>160000</v>
      </c>
      <c r="D114" s="6" t="n">
        <v>44</v>
      </c>
      <c r="E114" s="6" t="n">
        <v>0</v>
      </c>
      <c r="F114" s="6" t="n">
        <v>0</v>
      </c>
      <c r="G114" s="8" t="n">
        <v>0.9775</v>
      </c>
      <c r="H114" s="8" t="n">
        <v>0.046</v>
      </c>
      <c r="I114" s="9" t="n">
        <v>0</v>
      </c>
    </row>
    <row r="115">
      <c r="B115" s="6" t="n">
        <v>3113</v>
      </c>
      <c r="C115" s="7" t="n">
        <v>440000</v>
      </c>
      <c r="D115" s="6" t="n">
        <v>43</v>
      </c>
      <c r="E115" s="6" t="n">
        <v>0</v>
      </c>
      <c r="F115" s="6" t="n">
        <v>0</v>
      </c>
      <c r="G115" s="8" t="n">
        <v>0.1321</v>
      </c>
      <c r="H115" s="8" t="n">
        <v>0.0413</v>
      </c>
      <c r="I115" s="9" t="n">
        <v>0</v>
      </c>
    </row>
    <row r="116">
      <c r="B116" s="6" t="n">
        <v>3120</v>
      </c>
      <c r="C116" s="7" t="n">
        <v>260000</v>
      </c>
      <c r="D116" s="6" t="n">
        <v>28</v>
      </c>
      <c r="E116" s="6" t="n">
        <v>-1</v>
      </c>
      <c r="F116" s="6" t="n">
        <v>-1</v>
      </c>
      <c r="G116" s="8" t="n">
        <v>0.2961</v>
      </c>
      <c r="H116" s="8" t="n">
        <v>0.1496</v>
      </c>
      <c r="I116" s="9" t="n">
        <v>0</v>
      </c>
    </row>
    <row r="117">
      <c r="B117" s="6" t="n">
        <v>3170</v>
      </c>
      <c r="C117" s="7" t="n">
        <v>50000</v>
      </c>
      <c r="D117" s="6" t="n">
        <v>46</v>
      </c>
      <c r="E117" s="6" t="n">
        <v>0</v>
      </c>
      <c r="F117" s="6" t="n">
        <v>0</v>
      </c>
      <c r="G117" s="8" t="n">
        <v>0.9759</v>
      </c>
      <c r="H117" s="8" t="n">
        <v>0.041</v>
      </c>
      <c r="I117" s="9" t="n">
        <v>0</v>
      </c>
    </row>
    <row r="118">
      <c r="B118" s="6" t="n">
        <v>3200</v>
      </c>
      <c r="C118" s="7" t="n">
        <v>180000</v>
      </c>
      <c r="D118" s="6" t="n">
        <v>34</v>
      </c>
      <c r="E118" s="6" t="n">
        <v>1</v>
      </c>
      <c r="F118" s="6" t="n">
        <v>-2</v>
      </c>
      <c r="G118" s="8" t="n">
        <v>0.8287</v>
      </c>
      <c r="H118" s="8" t="n">
        <v>0.0308</v>
      </c>
      <c r="I118" s="10" t="n">
        <v>1</v>
      </c>
    </row>
    <row r="119">
      <c r="B119" s="6" t="n">
        <v>3257</v>
      </c>
      <c r="C119" s="7" t="n">
        <v>80000</v>
      </c>
      <c r="D119" s="6" t="n">
        <v>24</v>
      </c>
      <c r="E119" s="6" t="n">
        <v>2</v>
      </c>
      <c r="F119" s="6" t="n">
        <v>2</v>
      </c>
      <c r="G119" s="8" t="n">
        <v>0.9429999999999999</v>
      </c>
      <c r="H119" s="8" t="n">
        <v>0.0848</v>
      </c>
      <c r="I119" s="10" t="n">
        <v>1</v>
      </c>
    </row>
    <row r="120">
      <c r="B120" s="6" t="n">
        <v>3274</v>
      </c>
      <c r="C120" s="7" t="n">
        <v>50000</v>
      </c>
      <c r="D120" s="6" t="n">
        <v>35</v>
      </c>
      <c r="E120" s="6" t="n">
        <v>0</v>
      </c>
      <c r="F120" s="6" t="n">
        <v>0</v>
      </c>
      <c r="G120" s="8" t="n">
        <v>0.2907</v>
      </c>
      <c r="H120" s="8" t="n">
        <v>0.1376</v>
      </c>
      <c r="I120" s="9" t="n">
        <v>0</v>
      </c>
    </row>
    <row r="121">
      <c r="B121" s="6" t="n">
        <v>3409</v>
      </c>
      <c r="C121" s="7" t="n">
        <v>430000</v>
      </c>
      <c r="D121" s="6" t="n">
        <v>30</v>
      </c>
      <c r="E121" s="6" t="n">
        <v>-1</v>
      </c>
      <c r="F121" s="6" t="n">
        <v>-1</v>
      </c>
      <c r="G121" s="8" t="n">
        <v>0.0051</v>
      </c>
      <c r="H121" s="8" t="n">
        <v>2</v>
      </c>
      <c r="I121" s="9" t="n">
        <v>0</v>
      </c>
    </row>
    <row r="122">
      <c r="B122" s="6" t="n">
        <v>3423</v>
      </c>
      <c r="C122" s="7" t="n">
        <v>80000</v>
      </c>
      <c r="D122" s="6" t="n">
        <v>35</v>
      </c>
      <c r="E122" s="6" t="n">
        <v>0</v>
      </c>
      <c r="F122" s="6" t="n">
        <v>0</v>
      </c>
      <c r="G122" s="8" t="n">
        <v>0.3374</v>
      </c>
      <c r="H122" s="8" t="n">
        <v>0.0741</v>
      </c>
      <c r="I122" s="9" t="n">
        <v>0</v>
      </c>
    </row>
    <row r="123">
      <c r="B123" s="6" t="n">
        <v>3429</v>
      </c>
      <c r="C123" s="7" t="n">
        <v>150000</v>
      </c>
      <c r="D123" s="6" t="n">
        <v>42</v>
      </c>
      <c r="E123" s="6" t="n">
        <v>1</v>
      </c>
      <c r="F123" s="6" t="n">
        <v>-2</v>
      </c>
      <c r="G123" s="8" t="n">
        <v>0</v>
      </c>
      <c r="H123" s="8" t="n">
        <v>0</v>
      </c>
      <c r="I123" s="9" t="n">
        <v>0</v>
      </c>
    </row>
    <row r="124">
      <c r="B124" s="6" t="n">
        <v>3464</v>
      </c>
      <c r="C124" s="7" t="n">
        <v>30000</v>
      </c>
      <c r="D124" s="6" t="n">
        <v>22</v>
      </c>
      <c r="E124" s="6" t="n">
        <v>-1</v>
      </c>
      <c r="F124" s="6" t="n">
        <v>-1</v>
      </c>
      <c r="G124" s="8" t="n">
        <v>0</v>
      </c>
      <c r="H124" s="8" t="n">
        <v>0</v>
      </c>
      <c r="I124" s="9" t="n">
        <v>0</v>
      </c>
    </row>
    <row r="125">
      <c r="B125" s="6" t="n">
        <v>3476</v>
      </c>
      <c r="C125" s="7" t="n">
        <v>20000</v>
      </c>
      <c r="D125" s="6" t="n">
        <v>28</v>
      </c>
      <c r="E125" s="6" t="n">
        <v>0</v>
      </c>
      <c r="F125" s="6" t="n">
        <v>0</v>
      </c>
      <c r="G125" s="8" t="n">
        <v>0.8986</v>
      </c>
      <c r="H125" s="8" t="n">
        <v>0.0733</v>
      </c>
      <c r="I125" s="9" t="n">
        <v>0</v>
      </c>
    </row>
    <row r="126">
      <c r="B126" s="6" t="n">
        <v>3531</v>
      </c>
      <c r="C126" s="7" t="n">
        <v>100000</v>
      </c>
      <c r="D126" s="6" t="n">
        <v>24</v>
      </c>
      <c r="E126" s="6" t="n">
        <v>-1</v>
      </c>
      <c r="F126" s="6" t="n">
        <v>-1</v>
      </c>
      <c r="G126" s="8" t="n">
        <v>0.0044</v>
      </c>
      <c r="H126" s="8" t="n">
        <v>1.1364</v>
      </c>
      <c r="I126" s="9" t="n">
        <v>0</v>
      </c>
    </row>
    <row r="127">
      <c r="B127" s="6" t="n">
        <v>3623</v>
      </c>
      <c r="C127" s="7" t="n">
        <v>100000</v>
      </c>
      <c r="D127" s="6" t="n">
        <v>55</v>
      </c>
      <c r="E127" s="6" t="n">
        <v>0</v>
      </c>
      <c r="F127" s="6" t="n">
        <v>0</v>
      </c>
      <c r="G127" s="8" t="n">
        <v>0.1814</v>
      </c>
      <c r="H127" s="8" t="n">
        <v>0.1103</v>
      </c>
      <c r="I127" s="9" t="n">
        <v>0</v>
      </c>
    </row>
    <row r="128">
      <c r="B128" s="6" t="n">
        <v>3650</v>
      </c>
      <c r="C128" s="7" t="n">
        <v>20000</v>
      </c>
      <c r="D128" s="6" t="n">
        <v>44</v>
      </c>
      <c r="E128" s="6" t="n">
        <v>-1</v>
      </c>
      <c r="F128" s="6" t="n">
        <v>2</v>
      </c>
      <c r="G128" s="8" t="n">
        <v>0.039</v>
      </c>
      <c r="H128" s="8" t="n">
        <v>0</v>
      </c>
      <c r="I128" s="9" t="n">
        <v>0</v>
      </c>
    </row>
    <row r="129">
      <c r="B129" s="6" t="n">
        <v>3688</v>
      </c>
      <c r="C129" s="7" t="n">
        <v>50000</v>
      </c>
      <c r="D129" s="6" t="n">
        <v>23</v>
      </c>
      <c r="E129" s="6" t="n">
        <v>0</v>
      </c>
      <c r="F129" s="6" t="n">
        <v>0</v>
      </c>
      <c r="G129" s="8" t="n">
        <v>0.2526</v>
      </c>
      <c r="H129" s="8" t="n">
        <v>0.0959</v>
      </c>
      <c r="I129" s="10" t="n">
        <v>1</v>
      </c>
    </row>
    <row r="130">
      <c r="B130" s="6" t="n">
        <v>3710</v>
      </c>
      <c r="C130" s="7" t="n">
        <v>50000</v>
      </c>
      <c r="D130" s="6" t="n">
        <v>29</v>
      </c>
      <c r="E130" s="6" t="n">
        <v>0</v>
      </c>
      <c r="F130" s="6" t="n">
        <v>0</v>
      </c>
      <c r="G130" s="8" t="n">
        <v>0.9482</v>
      </c>
      <c r="H130" s="8" t="n">
        <v>0.0274</v>
      </c>
      <c r="I130" s="10" t="n">
        <v>1</v>
      </c>
    </row>
    <row r="131">
      <c r="B131" s="6" t="n">
        <v>3712</v>
      </c>
      <c r="C131" s="7" t="n">
        <v>290000</v>
      </c>
      <c r="D131" s="6" t="n">
        <v>39</v>
      </c>
      <c r="E131" s="6" t="n">
        <v>0</v>
      </c>
      <c r="F131" s="6" t="n">
        <v>0</v>
      </c>
      <c r="G131" s="8" t="n">
        <v>0.7343</v>
      </c>
      <c r="H131" s="8" t="n">
        <v>0.0795</v>
      </c>
      <c r="I131" s="9" t="n">
        <v>0</v>
      </c>
    </row>
    <row r="132">
      <c r="B132" s="6" t="n">
        <v>3719</v>
      </c>
      <c r="C132" s="7" t="n">
        <v>20000</v>
      </c>
      <c r="D132" s="6" t="n">
        <v>47</v>
      </c>
      <c r="E132" s="6" t="n">
        <v>0</v>
      </c>
      <c r="F132" s="6" t="n">
        <v>-1</v>
      </c>
      <c r="G132" s="8" t="n">
        <v>0.0672</v>
      </c>
      <c r="H132" s="8" t="n">
        <v>1.1519</v>
      </c>
      <c r="I132" s="9" t="n">
        <v>0</v>
      </c>
    </row>
    <row r="133">
      <c r="B133" s="6" t="n">
        <v>3752</v>
      </c>
      <c r="C133" s="7" t="n">
        <v>180000</v>
      </c>
      <c r="D133" s="6" t="n">
        <v>29</v>
      </c>
      <c r="E133" s="6" t="n">
        <v>-1</v>
      </c>
      <c r="F133" s="6" t="n">
        <v>-1</v>
      </c>
      <c r="G133" s="8" t="n">
        <v>0.0056</v>
      </c>
      <c r="H133" s="8" t="n">
        <v>2</v>
      </c>
      <c r="I133" s="9" t="n">
        <v>0</v>
      </c>
    </row>
    <row r="134">
      <c r="B134" s="6" t="n">
        <v>3781</v>
      </c>
      <c r="C134" s="7" t="n">
        <v>140000</v>
      </c>
      <c r="D134" s="6" t="n">
        <v>39</v>
      </c>
      <c r="E134" s="6" t="n">
        <v>-2</v>
      </c>
      <c r="F134" s="6" t="n">
        <v>-2</v>
      </c>
      <c r="G134" s="8" t="n">
        <v>0.0332</v>
      </c>
      <c r="H134" s="8" t="n">
        <v>1.1872</v>
      </c>
      <c r="I134" s="9" t="n">
        <v>0</v>
      </c>
    </row>
    <row r="135">
      <c r="B135" s="6" t="n">
        <v>3783</v>
      </c>
      <c r="C135" s="7" t="n">
        <v>120000</v>
      </c>
      <c r="D135" s="6" t="n">
        <v>28</v>
      </c>
      <c r="E135" s="6" t="n">
        <v>-1</v>
      </c>
      <c r="F135" s="6" t="n">
        <v>-1</v>
      </c>
      <c r="G135" s="8" t="n">
        <v>0.0017</v>
      </c>
      <c r="H135" s="8" t="n">
        <v>2</v>
      </c>
      <c r="I135" s="10" t="n">
        <v>1</v>
      </c>
    </row>
    <row r="136">
      <c r="B136" s="6" t="n">
        <v>3808</v>
      </c>
      <c r="C136" s="7" t="n">
        <v>100000</v>
      </c>
      <c r="D136" s="6" t="n">
        <v>46</v>
      </c>
      <c r="E136" s="6" t="n">
        <v>0</v>
      </c>
      <c r="F136" s="6" t="n">
        <v>0</v>
      </c>
      <c r="G136" s="8" t="n">
        <v>0.9466</v>
      </c>
      <c r="H136" s="8" t="n">
        <v>0.0317</v>
      </c>
      <c r="I136" s="9" t="n">
        <v>0</v>
      </c>
    </row>
    <row r="137">
      <c r="B137" s="6" t="n">
        <v>3814</v>
      </c>
      <c r="C137" s="7" t="n">
        <v>60000</v>
      </c>
      <c r="D137" s="6" t="n">
        <v>42</v>
      </c>
      <c r="E137" s="6" t="n">
        <v>0</v>
      </c>
      <c r="F137" s="6" t="n">
        <v>0</v>
      </c>
      <c r="G137" s="8" t="n">
        <v>0.9711</v>
      </c>
      <c r="H137" s="8" t="n">
        <v>0.0549</v>
      </c>
      <c r="I137" s="9" t="n">
        <v>0</v>
      </c>
    </row>
    <row r="138">
      <c r="B138" s="6" t="n">
        <v>3841</v>
      </c>
      <c r="C138" s="7" t="n">
        <v>240000</v>
      </c>
      <c r="D138" s="6" t="n">
        <v>54</v>
      </c>
      <c r="E138" s="6" t="n">
        <v>0</v>
      </c>
      <c r="F138" s="6" t="n">
        <v>0</v>
      </c>
      <c r="G138" s="8" t="n">
        <v>0.2516</v>
      </c>
      <c r="H138" s="8" t="n">
        <v>0.0828</v>
      </c>
      <c r="I138" s="9" t="n">
        <v>0</v>
      </c>
    </row>
    <row r="139">
      <c r="B139" s="6" t="n">
        <v>3868</v>
      </c>
      <c r="C139" s="7" t="n">
        <v>450000</v>
      </c>
      <c r="D139" s="6" t="n">
        <v>31</v>
      </c>
      <c r="E139" s="6" t="n">
        <v>2</v>
      </c>
      <c r="F139" s="6" t="n">
        <v>-1</v>
      </c>
      <c r="G139" s="8" t="n">
        <v>0.0036</v>
      </c>
      <c r="H139" s="8" t="n">
        <v>2</v>
      </c>
      <c r="I139" s="9" t="n">
        <v>0</v>
      </c>
    </row>
    <row r="140">
      <c r="B140" s="6" t="n">
        <v>3873</v>
      </c>
      <c r="C140" s="7" t="n">
        <v>30000</v>
      </c>
      <c r="D140" s="6" t="n">
        <v>49</v>
      </c>
      <c r="E140" s="6" t="n">
        <v>2</v>
      </c>
      <c r="F140" s="6" t="n">
        <v>2</v>
      </c>
      <c r="G140" s="8" t="n">
        <v>0.8781</v>
      </c>
      <c r="H140" s="8" t="n">
        <v>0.0569</v>
      </c>
      <c r="I140" s="9" t="n">
        <v>0</v>
      </c>
    </row>
    <row r="141">
      <c r="B141" s="6" t="n">
        <v>3912</v>
      </c>
      <c r="C141" s="7" t="n">
        <v>90000</v>
      </c>
      <c r="D141" s="6" t="n">
        <v>27</v>
      </c>
      <c r="E141" s="6" t="n">
        <v>1</v>
      </c>
      <c r="F141" s="6" t="n">
        <v>-2</v>
      </c>
      <c r="G141" s="8" t="n">
        <v>0</v>
      </c>
      <c r="H141" s="8" t="n">
        <v>0</v>
      </c>
      <c r="I141" s="9" t="n">
        <v>0</v>
      </c>
    </row>
    <row r="142">
      <c r="B142" s="6" t="n">
        <v>4027</v>
      </c>
      <c r="C142" s="7" t="n">
        <v>260000</v>
      </c>
      <c r="D142" s="6" t="n">
        <v>29</v>
      </c>
      <c r="E142" s="6" t="n">
        <v>-1</v>
      </c>
      <c r="F142" s="6" t="n">
        <v>-1</v>
      </c>
      <c r="G142" s="8" t="n">
        <v>0.0049</v>
      </c>
      <c r="H142" s="8" t="n">
        <v>0.4365</v>
      </c>
      <c r="I142" s="9" t="n">
        <v>0</v>
      </c>
    </row>
    <row r="143">
      <c r="B143" s="6" t="n">
        <v>4042</v>
      </c>
      <c r="C143" s="7" t="n">
        <v>20000</v>
      </c>
      <c r="D143" s="6" t="n">
        <v>36</v>
      </c>
      <c r="E143" s="6" t="n">
        <v>0</v>
      </c>
      <c r="F143" s="6" t="n">
        <v>0</v>
      </c>
      <c r="G143" s="8" t="n">
        <v>0.5712</v>
      </c>
      <c r="H143" s="8" t="n">
        <v>0.2407</v>
      </c>
      <c r="I143" s="9" t="n">
        <v>0</v>
      </c>
    </row>
    <row r="144">
      <c r="B144" s="6" t="n">
        <v>4049</v>
      </c>
      <c r="C144" s="7" t="n">
        <v>150000</v>
      </c>
      <c r="D144" s="6" t="n">
        <v>39</v>
      </c>
      <c r="E144" s="6" t="n">
        <v>0</v>
      </c>
      <c r="F144" s="6" t="n">
        <v>0</v>
      </c>
      <c r="G144" s="8" t="n">
        <v>0.5094</v>
      </c>
      <c r="H144" s="8" t="n">
        <v>0.0543</v>
      </c>
      <c r="I144" s="10" t="n">
        <v>1</v>
      </c>
    </row>
    <row r="145">
      <c r="B145" s="6" t="n">
        <v>4068</v>
      </c>
      <c r="C145" s="7" t="n">
        <v>50000</v>
      </c>
      <c r="D145" s="6" t="n">
        <v>24</v>
      </c>
      <c r="E145" s="6" t="n">
        <v>-1</v>
      </c>
      <c r="F145" s="6" t="n">
        <v>0</v>
      </c>
      <c r="G145" s="8" t="n">
        <v>0.5087</v>
      </c>
      <c r="H145" s="8" t="n">
        <v>0.0786</v>
      </c>
      <c r="I145" s="10" t="n">
        <v>1</v>
      </c>
    </row>
    <row r="146">
      <c r="B146" s="6" t="n">
        <v>4187</v>
      </c>
      <c r="C146" s="7" t="n">
        <v>180000</v>
      </c>
      <c r="D146" s="6" t="n">
        <v>46</v>
      </c>
      <c r="E146" s="6" t="n">
        <v>0</v>
      </c>
      <c r="F146" s="6" t="n">
        <v>0</v>
      </c>
      <c r="G146" s="8" t="n">
        <v>0.6062</v>
      </c>
      <c r="H146" s="8" t="n">
        <v>0.026</v>
      </c>
      <c r="I146" s="9" t="n">
        <v>0</v>
      </c>
    </row>
    <row r="147">
      <c r="B147" s="6" t="n">
        <v>4210</v>
      </c>
      <c r="C147" s="7" t="n">
        <v>480000</v>
      </c>
      <c r="D147" s="6" t="n">
        <v>30</v>
      </c>
      <c r="E147" s="6" t="n">
        <v>1</v>
      </c>
      <c r="F147" s="6" t="n">
        <v>-2</v>
      </c>
      <c r="G147" s="8" t="n">
        <v>0</v>
      </c>
      <c r="H147" s="8" t="n">
        <v>0</v>
      </c>
      <c r="I147" s="9" t="n">
        <v>0</v>
      </c>
    </row>
    <row r="148">
      <c r="B148" s="6" t="n">
        <v>4262</v>
      </c>
      <c r="C148" s="7" t="n">
        <v>30000</v>
      </c>
      <c r="D148" s="6" t="n">
        <v>50</v>
      </c>
      <c r="E148" s="6" t="n">
        <v>0</v>
      </c>
      <c r="F148" s="6" t="n">
        <v>0</v>
      </c>
      <c r="G148" s="8" t="n">
        <v>0.9095</v>
      </c>
      <c r="H148" s="8" t="n">
        <v>0.1709</v>
      </c>
      <c r="I148" s="9" t="n">
        <v>0</v>
      </c>
    </row>
    <row r="149">
      <c r="B149" s="6" t="n">
        <v>4275</v>
      </c>
      <c r="C149" s="7" t="n">
        <v>160000</v>
      </c>
      <c r="D149" s="6" t="n">
        <v>35</v>
      </c>
      <c r="E149" s="6" t="n">
        <v>0</v>
      </c>
      <c r="F149" s="6" t="n">
        <v>0</v>
      </c>
      <c r="G149" s="8" t="n">
        <v>0.3818</v>
      </c>
      <c r="H149" s="8" t="n">
        <v>0.0322</v>
      </c>
      <c r="I149" s="9" t="n">
        <v>0</v>
      </c>
    </row>
    <row r="150">
      <c r="B150" s="6" t="n">
        <v>4290</v>
      </c>
      <c r="C150" s="7" t="n">
        <v>100000</v>
      </c>
      <c r="D150" s="6" t="n">
        <v>52</v>
      </c>
      <c r="E150" s="6" t="n">
        <v>0</v>
      </c>
      <c r="F150" s="6" t="n">
        <v>0</v>
      </c>
      <c r="G150" s="8" t="n">
        <v>0.8138</v>
      </c>
      <c r="H150" s="8" t="n">
        <v>0.0567</v>
      </c>
      <c r="I150" s="9" t="n">
        <v>0</v>
      </c>
    </row>
    <row r="151">
      <c r="B151" s="6" t="n">
        <v>4328</v>
      </c>
      <c r="C151" s="7" t="n">
        <v>180000</v>
      </c>
      <c r="D151" s="6" t="n">
        <v>35</v>
      </c>
      <c r="E151" s="6" t="n">
        <v>-1</v>
      </c>
      <c r="F151" s="6" t="n">
        <v>-1</v>
      </c>
      <c r="G151" s="8" t="n">
        <v>0.0061</v>
      </c>
      <c r="H151" s="8" t="n">
        <v>1</v>
      </c>
      <c r="I151" s="9" t="n">
        <v>0</v>
      </c>
    </row>
    <row r="152">
      <c r="B152" s="6" t="n">
        <v>4358</v>
      </c>
      <c r="C152" s="7" t="n">
        <v>30000</v>
      </c>
      <c r="D152" s="6" t="n">
        <v>43</v>
      </c>
      <c r="E152" s="6" t="n">
        <v>0</v>
      </c>
      <c r="F152" s="6" t="n">
        <v>0</v>
      </c>
      <c r="G152" s="8" t="n">
        <v>0.9287</v>
      </c>
      <c r="H152" s="8" t="n">
        <v>0.0718</v>
      </c>
      <c r="I152" s="9" t="n">
        <v>0</v>
      </c>
    </row>
    <row r="153">
      <c r="B153" s="6" t="n">
        <v>4385</v>
      </c>
      <c r="C153" s="7" t="n">
        <v>140000</v>
      </c>
      <c r="D153" s="6" t="n">
        <v>28</v>
      </c>
      <c r="E153" s="6" t="n">
        <v>-1</v>
      </c>
      <c r="F153" s="6" t="n">
        <v>0</v>
      </c>
      <c r="G153" s="8" t="n">
        <v>0.094</v>
      </c>
      <c r="H153" s="8" t="n">
        <v>2</v>
      </c>
      <c r="I153" s="9" t="n">
        <v>0</v>
      </c>
    </row>
    <row r="154">
      <c r="B154" s="6" t="n">
        <v>4388</v>
      </c>
      <c r="C154" s="7" t="n">
        <v>90000</v>
      </c>
      <c r="D154" s="6" t="n">
        <v>35</v>
      </c>
      <c r="E154" s="6" t="n">
        <v>8</v>
      </c>
      <c r="F154" s="6" t="n">
        <v>7</v>
      </c>
      <c r="G154" s="8" t="n">
        <v>1.2518</v>
      </c>
      <c r="H154" s="8" t="n">
        <v>0</v>
      </c>
      <c r="I154" s="10" t="n">
        <v>1</v>
      </c>
    </row>
    <row r="155">
      <c r="B155" s="6" t="n">
        <v>4410</v>
      </c>
      <c r="C155" s="7" t="n">
        <v>20000</v>
      </c>
      <c r="D155" s="6" t="n">
        <v>50</v>
      </c>
      <c r="E155" s="6" t="n">
        <v>1</v>
      </c>
      <c r="F155" s="6" t="n">
        <v>-1</v>
      </c>
      <c r="G155" s="8" t="n">
        <v>0</v>
      </c>
      <c r="H155" s="8" t="n">
        <v>0</v>
      </c>
      <c r="I155" s="9" t="n">
        <v>0</v>
      </c>
    </row>
    <row r="156">
      <c r="B156" s="6" t="n">
        <v>4416</v>
      </c>
      <c r="C156" s="7" t="n">
        <v>170000</v>
      </c>
      <c r="D156" s="6" t="n">
        <v>48</v>
      </c>
      <c r="E156" s="6" t="n">
        <v>-1</v>
      </c>
      <c r="F156" s="6" t="n">
        <v>-1</v>
      </c>
      <c r="G156" s="8" t="n">
        <v>0.0023</v>
      </c>
      <c r="H156" s="8" t="n">
        <v>1</v>
      </c>
      <c r="I156" s="9" t="n">
        <v>0</v>
      </c>
    </row>
    <row r="157">
      <c r="B157" s="6" t="n">
        <v>4463</v>
      </c>
      <c r="C157" s="7" t="n">
        <v>50000</v>
      </c>
      <c r="D157" s="6" t="n">
        <v>27</v>
      </c>
      <c r="E157" s="6" t="n">
        <v>0</v>
      </c>
      <c r="F157" s="6" t="n">
        <v>0</v>
      </c>
      <c r="G157" s="8" t="n">
        <v>0.1967</v>
      </c>
      <c r="H157" s="8" t="n">
        <v>0.1027</v>
      </c>
      <c r="I157" s="9" t="n">
        <v>0</v>
      </c>
    </row>
    <row r="158">
      <c r="B158" s="6" t="n">
        <v>4488</v>
      </c>
      <c r="C158" s="7" t="n">
        <v>20000</v>
      </c>
      <c r="D158" s="6" t="n">
        <v>24</v>
      </c>
      <c r="E158" s="6" t="n">
        <v>-1</v>
      </c>
      <c r="F158" s="6" t="n">
        <v>-1</v>
      </c>
      <c r="G158" s="8" t="n">
        <v>0.1904</v>
      </c>
      <c r="H158" s="8" t="n">
        <v>1.1857</v>
      </c>
      <c r="I158" s="9" t="n">
        <v>0</v>
      </c>
    </row>
    <row r="159">
      <c r="B159" s="6" t="n">
        <v>4536</v>
      </c>
      <c r="C159" s="7" t="n">
        <v>230000</v>
      </c>
      <c r="D159" s="6" t="n">
        <v>37</v>
      </c>
      <c r="E159" s="6" t="n">
        <v>1</v>
      </c>
      <c r="F159" s="6" t="n">
        <v>-2</v>
      </c>
      <c r="G159" s="8" t="n">
        <v>0</v>
      </c>
      <c r="H159" s="8" t="n">
        <v>0</v>
      </c>
      <c r="I159" s="10" t="n">
        <v>1</v>
      </c>
    </row>
    <row r="160">
      <c r="B160" s="6" t="n">
        <v>4540</v>
      </c>
      <c r="C160" s="7" t="n">
        <v>140000</v>
      </c>
      <c r="D160" s="6" t="n">
        <v>24</v>
      </c>
      <c r="E160" s="6" t="n">
        <v>0</v>
      </c>
      <c r="F160" s="6" t="n">
        <v>0</v>
      </c>
      <c r="G160" s="8" t="n">
        <v>0.0334</v>
      </c>
      <c r="H160" s="8" t="n">
        <v>0.2137</v>
      </c>
      <c r="I160" s="9" t="n">
        <v>0</v>
      </c>
    </row>
    <row r="161">
      <c r="B161" s="6" t="n">
        <v>4566</v>
      </c>
      <c r="C161" s="7" t="n">
        <v>100000</v>
      </c>
      <c r="D161" s="6" t="n">
        <v>60</v>
      </c>
      <c r="E161" s="6" t="n">
        <v>0</v>
      </c>
      <c r="F161" s="6" t="n">
        <v>0</v>
      </c>
      <c r="G161" s="8" t="n">
        <v>1.0176</v>
      </c>
      <c r="H161" s="8" t="n">
        <v>0.0379</v>
      </c>
      <c r="I161" s="10" t="n">
        <v>1</v>
      </c>
    </row>
    <row r="162">
      <c r="B162" s="6" t="n">
        <v>4591</v>
      </c>
      <c r="C162" s="7" t="n">
        <v>200000</v>
      </c>
      <c r="D162" s="6" t="n">
        <v>45</v>
      </c>
      <c r="E162" s="6" t="n">
        <v>1</v>
      </c>
      <c r="F162" s="6" t="n">
        <v>-1</v>
      </c>
      <c r="G162" s="8" t="n">
        <v>0</v>
      </c>
      <c r="H162" s="8" t="n">
        <v>0</v>
      </c>
      <c r="I162" s="10" t="n">
        <v>1</v>
      </c>
    </row>
    <row r="163">
      <c r="B163" s="6" t="n">
        <v>4660</v>
      </c>
      <c r="C163" s="7" t="n">
        <v>100000</v>
      </c>
      <c r="D163" s="6" t="n">
        <v>50</v>
      </c>
      <c r="E163" s="6" t="n">
        <v>2</v>
      </c>
      <c r="F163" s="6" t="n">
        <v>2</v>
      </c>
      <c r="G163" s="8" t="n">
        <v>0.4408</v>
      </c>
      <c r="H163" s="8" t="n">
        <v>0.0454</v>
      </c>
      <c r="I163" s="10" t="n">
        <v>1</v>
      </c>
    </row>
    <row r="164">
      <c r="B164" s="6" t="n">
        <v>4708</v>
      </c>
      <c r="C164" s="7" t="n">
        <v>50000</v>
      </c>
      <c r="D164" s="6" t="n">
        <v>36</v>
      </c>
      <c r="E164" s="6" t="n">
        <v>2</v>
      </c>
      <c r="F164" s="6" t="n">
        <v>0</v>
      </c>
      <c r="G164" s="8" t="n">
        <v>0.8476</v>
      </c>
      <c r="H164" s="8" t="n">
        <v>0.0449</v>
      </c>
      <c r="I164" s="10" t="n">
        <v>1</v>
      </c>
    </row>
    <row r="165">
      <c r="B165" s="6" t="n">
        <v>4735</v>
      </c>
      <c r="C165" s="7" t="n">
        <v>420000</v>
      </c>
      <c r="D165" s="6" t="n">
        <v>43</v>
      </c>
      <c r="E165" s="6" t="n">
        <v>0</v>
      </c>
      <c r="F165" s="6" t="n">
        <v>0</v>
      </c>
      <c r="G165" s="8" t="n">
        <v>0.1064</v>
      </c>
      <c r="H165" s="8" t="n">
        <v>0.6773</v>
      </c>
      <c r="I165" s="9" t="n">
        <v>0</v>
      </c>
    </row>
    <row r="166">
      <c r="B166" s="6" t="n">
        <v>4784</v>
      </c>
      <c r="C166" s="7" t="n">
        <v>360000</v>
      </c>
      <c r="D166" s="6" t="n">
        <v>34</v>
      </c>
      <c r="E166" s="6" t="n">
        <v>1</v>
      </c>
      <c r="F166" s="6" t="n">
        <v>-2</v>
      </c>
      <c r="G166" s="8" t="n">
        <v>0</v>
      </c>
      <c r="H166" s="8" t="n">
        <v>0</v>
      </c>
      <c r="I166" s="9" t="n">
        <v>0</v>
      </c>
    </row>
    <row r="167">
      <c r="B167" s="6" t="n">
        <v>4800</v>
      </c>
      <c r="C167" s="7" t="n">
        <v>20000</v>
      </c>
      <c r="D167" s="6" t="n">
        <v>24</v>
      </c>
      <c r="E167" s="6" t="n">
        <v>0</v>
      </c>
      <c r="F167" s="6" t="n">
        <v>0</v>
      </c>
      <c r="G167" s="8" t="n">
        <v>0.8099</v>
      </c>
      <c r="H167" s="8" t="n">
        <v>0</v>
      </c>
      <c r="I167" s="9" t="n">
        <v>0</v>
      </c>
    </row>
    <row r="168">
      <c r="B168" s="6" t="n">
        <v>4815</v>
      </c>
      <c r="C168" s="7" t="n">
        <v>80000</v>
      </c>
      <c r="D168" s="6" t="n">
        <v>38</v>
      </c>
      <c r="E168" s="6" t="n">
        <v>-1</v>
      </c>
      <c r="F168" s="6" t="n">
        <v>-1</v>
      </c>
      <c r="G168" s="8" t="n">
        <v>0.0076</v>
      </c>
      <c r="H168" s="8" t="n">
        <v>0</v>
      </c>
      <c r="I168" s="9" t="n">
        <v>0</v>
      </c>
    </row>
    <row r="169">
      <c r="B169" s="6" t="n">
        <v>4828</v>
      </c>
      <c r="C169" s="7" t="n">
        <v>60000</v>
      </c>
      <c r="D169" s="6" t="n">
        <v>31</v>
      </c>
      <c r="E169" s="6" t="n">
        <v>0</v>
      </c>
      <c r="F169" s="6" t="n">
        <v>0</v>
      </c>
      <c r="G169" s="8" t="n">
        <v>0.9696</v>
      </c>
      <c r="H169" s="8" t="n">
        <v>0.0584</v>
      </c>
      <c r="I169" s="9" t="n">
        <v>0</v>
      </c>
    </row>
    <row r="170">
      <c r="B170" s="6" t="n">
        <v>4835</v>
      </c>
      <c r="C170" s="7" t="n">
        <v>120000</v>
      </c>
      <c r="D170" s="6" t="n">
        <v>26</v>
      </c>
      <c r="E170" s="6" t="n">
        <v>0</v>
      </c>
      <c r="F170" s="6" t="n">
        <v>0</v>
      </c>
      <c r="G170" s="8" t="n">
        <v>0.1874</v>
      </c>
      <c r="H170" s="8" t="n">
        <v>0.0682</v>
      </c>
      <c r="I170" s="9" t="n">
        <v>0</v>
      </c>
    </row>
    <row r="171">
      <c r="B171" s="6" t="n">
        <v>4862</v>
      </c>
      <c r="C171" s="7" t="n">
        <v>60000</v>
      </c>
      <c r="D171" s="6" t="n">
        <v>27</v>
      </c>
      <c r="E171" s="6" t="n">
        <v>0</v>
      </c>
      <c r="F171" s="6" t="n">
        <v>0</v>
      </c>
      <c r="G171" s="8" t="n">
        <v>0.7292999999999999</v>
      </c>
      <c r="H171" s="8" t="n">
        <v>0.0457</v>
      </c>
      <c r="I171" s="9" t="n">
        <v>0</v>
      </c>
    </row>
    <row r="172">
      <c r="B172" s="6" t="n">
        <v>4864</v>
      </c>
      <c r="C172" s="7" t="n">
        <v>290000</v>
      </c>
      <c r="D172" s="6" t="n">
        <v>37</v>
      </c>
      <c r="E172" s="6" t="n">
        <v>-1</v>
      </c>
      <c r="F172" s="6" t="n">
        <v>-1</v>
      </c>
      <c r="G172" s="8" t="n">
        <v>0.012</v>
      </c>
      <c r="H172" s="8" t="n">
        <v>0.1578</v>
      </c>
      <c r="I172" s="10" t="n">
        <v>1</v>
      </c>
    </row>
    <row r="173">
      <c r="B173" s="6" t="n">
        <v>4887</v>
      </c>
      <c r="C173" s="7" t="n">
        <v>360000</v>
      </c>
      <c r="D173" s="6" t="n">
        <v>31</v>
      </c>
      <c r="E173" s="6" t="n">
        <v>-1</v>
      </c>
      <c r="F173" s="6" t="n">
        <v>-1</v>
      </c>
      <c r="G173" s="8" t="n">
        <v>0.0041</v>
      </c>
      <c r="H173" s="8" t="n">
        <v>2</v>
      </c>
      <c r="I173" s="9" t="n">
        <v>0</v>
      </c>
    </row>
    <row r="174">
      <c r="B174" s="6" t="n">
        <v>4905</v>
      </c>
      <c r="C174" s="7" t="n">
        <v>30000</v>
      </c>
      <c r="D174" s="6" t="n">
        <v>22</v>
      </c>
      <c r="E174" s="6" t="n">
        <v>0</v>
      </c>
      <c r="F174" s="6" t="n">
        <v>0</v>
      </c>
      <c r="G174" s="8" t="n">
        <v>0.8512</v>
      </c>
      <c r="H174" s="8" t="n">
        <v>0.07049999999999999</v>
      </c>
      <c r="I174" s="9" t="n">
        <v>0</v>
      </c>
    </row>
    <row r="175">
      <c r="B175" s="6" t="n">
        <v>4935</v>
      </c>
      <c r="C175" s="7" t="n">
        <v>30000</v>
      </c>
      <c r="D175" s="6" t="n">
        <v>22</v>
      </c>
      <c r="E175" s="6" t="n">
        <v>2</v>
      </c>
      <c r="F175" s="6" t="n">
        <v>2</v>
      </c>
      <c r="G175" s="8" t="n">
        <v>0.8835</v>
      </c>
      <c r="H175" s="8" t="n">
        <v>0</v>
      </c>
      <c r="I175" s="9" t="n">
        <v>0</v>
      </c>
    </row>
    <row r="176">
      <c r="B176" s="6" t="n">
        <v>4950</v>
      </c>
      <c r="C176" s="7" t="n">
        <v>50000</v>
      </c>
      <c r="D176" s="6" t="n">
        <v>51</v>
      </c>
      <c r="E176" s="6" t="n">
        <v>0</v>
      </c>
      <c r="F176" s="6" t="n">
        <v>0</v>
      </c>
      <c r="G176" s="8" t="n">
        <v>1.0077</v>
      </c>
      <c r="H176" s="8" t="n">
        <v>0.0457</v>
      </c>
      <c r="I176" s="9" t="n">
        <v>0</v>
      </c>
    </row>
    <row r="177">
      <c r="B177" s="6" t="n">
        <v>5016</v>
      </c>
      <c r="C177" s="7" t="n">
        <v>290000</v>
      </c>
      <c r="D177" s="6" t="n">
        <v>24</v>
      </c>
      <c r="E177" s="6" t="n">
        <v>1</v>
      </c>
      <c r="F177" s="6" t="n">
        <v>-2</v>
      </c>
      <c r="G177" s="8" t="n">
        <v>0</v>
      </c>
      <c r="H177" s="8" t="n">
        <v>0</v>
      </c>
      <c r="I177" s="9" t="n">
        <v>0</v>
      </c>
    </row>
    <row r="178">
      <c r="B178" s="6" t="n">
        <v>5037</v>
      </c>
      <c r="C178" s="7" t="n">
        <v>320000</v>
      </c>
      <c r="D178" s="6" t="n">
        <v>33</v>
      </c>
      <c r="E178" s="6" t="n">
        <v>-1</v>
      </c>
      <c r="F178" s="6" t="n">
        <v>-1</v>
      </c>
      <c r="G178" s="8" t="n">
        <v>0.0012</v>
      </c>
      <c r="H178" s="8" t="n">
        <v>2</v>
      </c>
      <c r="I178" s="9" t="n">
        <v>0</v>
      </c>
    </row>
    <row r="179">
      <c r="B179" s="6" t="n">
        <v>5044</v>
      </c>
      <c r="C179" s="7" t="n">
        <v>90000</v>
      </c>
      <c r="D179" s="6" t="n">
        <v>45</v>
      </c>
      <c r="E179" s="6" t="n">
        <v>0</v>
      </c>
      <c r="F179" s="6" t="n">
        <v>0</v>
      </c>
      <c r="G179" s="8" t="n">
        <v>0.9613</v>
      </c>
      <c r="H179" s="8" t="n">
        <v>0.0474</v>
      </c>
      <c r="I179" s="9" t="n">
        <v>0</v>
      </c>
    </row>
    <row r="180">
      <c r="B180" s="6" t="n">
        <v>5057</v>
      </c>
      <c r="C180" s="7" t="n">
        <v>120000</v>
      </c>
      <c r="D180" s="6" t="n">
        <v>34</v>
      </c>
      <c r="E180" s="6" t="n">
        <v>2</v>
      </c>
      <c r="F180" s="6" t="n">
        <v>2</v>
      </c>
      <c r="G180" s="8" t="n">
        <v>0.5345</v>
      </c>
      <c r="H180" s="8" t="n">
        <v>0.0452</v>
      </c>
      <c r="I180" s="10" t="n">
        <v>1</v>
      </c>
    </row>
    <row r="181">
      <c r="B181" s="6" t="n">
        <v>5108</v>
      </c>
      <c r="C181" s="7" t="n">
        <v>180000</v>
      </c>
      <c r="D181" s="6" t="n">
        <v>29</v>
      </c>
      <c r="E181" s="6" t="n">
        <v>0</v>
      </c>
      <c r="F181" s="6" t="n">
        <v>0</v>
      </c>
      <c r="G181" s="8" t="n">
        <v>0.9571</v>
      </c>
      <c r="H181" s="8" t="n">
        <v>0.0673</v>
      </c>
      <c r="I181" s="10" t="n">
        <v>1</v>
      </c>
    </row>
    <row r="182">
      <c r="B182" s="6" t="n">
        <v>5146</v>
      </c>
      <c r="C182" s="7" t="n">
        <v>240000</v>
      </c>
      <c r="D182" s="6" t="n">
        <v>36</v>
      </c>
      <c r="E182" s="6" t="n">
        <v>1</v>
      </c>
      <c r="F182" s="6" t="n">
        <v>-2</v>
      </c>
      <c r="G182" s="8" t="n">
        <v>0</v>
      </c>
      <c r="H182" s="8" t="n">
        <v>0</v>
      </c>
      <c r="I182" s="9" t="n">
        <v>0</v>
      </c>
    </row>
    <row r="183">
      <c r="B183" s="6" t="n">
        <v>5148</v>
      </c>
      <c r="C183" s="7" t="n">
        <v>50000</v>
      </c>
      <c r="D183" s="6" t="n">
        <v>25</v>
      </c>
      <c r="E183" s="6" t="n">
        <v>1</v>
      </c>
      <c r="F183" s="6" t="n">
        <v>2</v>
      </c>
      <c r="G183" s="8" t="n">
        <v>0.275</v>
      </c>
      <c r="H183" s="8" t="n">
        <v>0.1455</v>
      </c>
      <c r="I183" s="10" t="n">
        <v>1</v>
      </c>
    </row>
    <row r="184">
      <c r="B184" s="6" t="n">
        <v>5160</v>
      </c>
      <c r="C184" s="7" t="n">
        <v>400000</v>
      </c>
      <c r="D184" s="6" t="n">
        <v>28</v>
      </c>
      <c r="E184" s="6" t="n">
        <v>-1</v>
      </c>
      <c r="F184" s="6" t="n">
        <v>0</v>
      </c>
      <c r="G184" s="8" t="n">
        <v>0.0035</v>
      </c>
      <c r="H184" s="8" t="n">
        <v>0.7429</v>
      </c>
      <c r="I184" s="9" t="n">
        <v>0</v>
      </c>
    </row>
    <row r="185">
      <c r="B185" s="6" t="n">
        <v>5279</v>
      </c>
      <c r="C185" s="7" t="n">
        <v>320000</v>
      </c>
      <c r="D185" s="6" t="n">
        <v>27</v>
      </c>
      <c r="E185" s="6" t="n">
        <v>0</v>
      </c>
      <c r="F185" s="6" t="n">
        <v>0</v>
      </c>
      <c r="G185" s="8" t="n">
        <v>0.9971</v>
      </c>
      <c r="H185" s="8" t="n">
        <v>0.0397</v>
      </c>
      <c r="I185" s="9" t="n">
        <v>0</v>
      </c>
    </row>
    <row r="186">
      <c r="B186" s="6" t="n">
        <v>5334</v>
      </c>
      <c r="C186" s="7" t="n">
        <v>580000</v>
      </c>
      <c r="D186" s="6" t="n">
        <v>31</v>
      </c>
      <c r="E186" s="6" t="n">
        <v>0</v>
      </c>
      <c r="F186" s="6" t="n">
        <v>0</v>
      </c>
      <c r="G186" s="8" t="n">
        <v>0.8359</v>
      </c>
      <c r="H186" s="8" t="n">
        <v>0.0392</v>
      </c>
      <c r="I186" s="9" t="n">
        <v>0</v>
      </c>
    </row>
    <row r="187">
      <c r="B187" s="6" t="n">
        <v>5338</v>
      </c>
      <c r="C187" s="7" t="n">
        <v>50000</v>
      </c>
      <c r="D187" s="6" t="n">
        <v>31</v>
      </c>
      <c r="E187" s="6" t="n">
        <v>0</v>
      </c>
      <c r="F187" s="6" t="n">
        <v>0</v>
      </c>
      <c r="G187" s="8" t="n">
        <v>0.9123</v>
      </c>
      <c r="H187" s="8" t="n">
        <v>0.0537</v>
      </c>
      <c r="I187" s="10" t="n">
        <v>1</v>
      </c>
    </row>
    <row r="188">
      <c r="B188" s="6" t="n">
        <v>5347</v>
      </c>
      <c r="C188" s="7" t="n">
        <v>140000</v>
      </c>
      <c r="D188" s="6" t="n">
        <v>23</v>
      </c>
      <c r="E188" s="6" t="n">
        <v>0</v>
      </c>
      <c r="F188" s="6" t="n">
        <v>0</v>
      </c>
      <c r="G188" s="8" t="n">
        <v>0.7175</v>
      </c>
      <c r="H188" s="8" t="n">
        <v>0.0543</v>
      </c>
      <c r="I188" s="9" t="n">
        <v>0</v>
      </c>
    </row>
    <row r="189">
      <c r="B189" s="6" t="n">
        <v>5370</v>
      </c>
      <c r="C189" s="7" t="n">
        <v>390000</v>
      </c>
      <c r="D189" s="6" t="n">
        <v>44</v>
      </c>
      <c r="E189" s="6" t="n">
        <v>0</v>
      </c>
      <c r="F189" s="6" t="n">
        <v>0</v>
      </c>
      <c r="G189" s="8" t="n">
        <v>0.435</v>
      </c>
      <c r="H189" s="8" t="n">
        <v>0.0472</v>
      </c>
      <c r="I189" s="9" t="n">
        <v>0</v>
      </c>
    </row>
    <row r="190">
      <c r="B190" s="6" t="n">
        <v>5557</v>
      </c>
      <c r="C190" s="7" t="n">
        <v>50000</v>
      </c>
      <c r="D190" s="6" t="n">
        <v>33</v>
      </c>
      <c r="E190" s="6" t="n">
        <v>0</v>
      </c>
      <c r="F190" s="6" t="n">
        <v>0</v>
      </c>
      <c r="G190" s="8" t="n">
        <v>1.0289</v>
      </c>
      <c r="H190" s="8" t="n">
        <v>0.0389</v>
      </c>
      <c r="I190" s="9" t="n">
        <v>0</v>
      </c>
    </row>
    <row r="191">
      <c r="B191" s="6" t="n">
        <v>5604</v>
      </c>
      <c r="C191" s="7" t="n">
        <v>220000</v>
      </c>
      <c r="D191" s="6" t="n">
        <v>38</v>
      </c>
      <c r="E191" s="6" t="n">
        <v>0</v>
      </c>
      <c r="F191" s="6" t="n">
        <v>0</v>
      </c>
      <c r="G191" s="8" t="n">
        <v>0.6493</v>
      </c>
      <c r="H191" s="8" t="n">
        <v>0.042</v>
      </c>
      <c r="I191" s="9" t="n">
        <v>0</v>
      </c>
    </row>
    <row r="192">
      <c r="B192" s="6" t="n">
        <v>5615</v>
      </c>
      <c r="C192" s="7" t="n">
        <v>30000</v>
      </c>
      <c r="D192" s="6" t="n">
        <v>23</v>
      </c>
      <c r="E192" s="6" t="n">
        <v>0</v>
      </c>
      <c r="F192" s="6" t="n">
        <v>0</v>
      </c>
      <c r="G192" s="8" t="n">
        <v>0.8908</v>
      </c>
      <c r="H192" s="8" t="n">
        <v>0.07480000000000001</v>
      </c>
      <c r="I192" s="9" t="n">
        <v>0</v>
      </c>
    </row>
    <row r="193">
      <c r="B193" s="6" t="n">
        <v>5616</v>
      </c>
      <c r="C193" s="7" t="n">
        <v>500000</v>
      </c>
      <c r="D193" s="6" t="n">
        <v>33</v>
      </c>
      <c r="E193" s="6" t="n">
        <v>-2</v>
      </c>
      <c r="F193" s="6" t="n">
        <v>-2</v>
      </c>
      <c r="G193" s="8" t="n">
        <v>0.0266</v>
      </c>
      <c r="H193" s="8" t="n">
        <v>1.3031</v>
      </c>
      <c r="I193" s="9" t="n">
        <v>0</v>
      </c>
    </row>
    <row r="194">
      <c r="B194" s="6" t="n">
        <v>5671</v>
      </c>
      <c r="C194" s="7" t="n">
        <v>340000</v>
      </c>
      <c r="D194" s="6" t="n">
        <v>40</v>
      </c>
      <c r="E194" s="6" t="n">
        <v>-2</v>
      </c>
      <c r="F194" s="6" t="n">
        <v>-2</v>
      </c>
      <c r="G194" s="8" t="n">
        <v>0</v>
      </c>
      <c r="H194" s="8" t="n">
        <v>0</v>
      </c>
      <c r="I194" s="9" t="n">
        <v>0</v>
      </c>
    </row>
    <row r="195">
      <c r="B195" s="6" t="n">
        <v>5678</v>
      </c>
      <c r="C195" s="7" t="n">
        <v>50000</v>
      </c>
      <c r="D195" s="6" t="n">
        <v>55</v>
      </c>
      <c r="E195" s="6" t="n">
        <v>0</v>
      </c>
      <c r="F195" s="6" t="n">
        <v>0</v>
      </c>
      <c r="G195" s="8" t="n">
        <v>0.8852</v>
      </c>
      <c r="H195" s="8" t="n">
        <v>0.0562</v>
      </c>
      <c r="I195" s="9" t="n">
        <v>0</v>
      </c>
    </row>
    <row r="196">
      <c r="B196" s="6" t="n">
        <v>5727</v>
      </c>
      <c r="C196" s="7" t="n">
        <v>120000</v>
      </c>
      <c r="D196" s="6" t="n">
        <v>37</v>
      </c>
      <c r="E196" s="6" t="n">
        <v>2</v>
      </c>
      <c r="F196" s="6" t="n">
        <v>2</v>
      </c>
      <c r="G196" s="8" t="n">
        <v>0.2204</v>
      </c>
      <c r="H196" s="8" t="n">
        <v>0.0756</v>
      </c>
      <c r="I196" s="10" t="n">
        <v>1</v>
      </c>
    </row>
    <row r="197">
      <c r="B197" s="6" t="n">
        <v>5754</v>
      </c>
      <c r="C197" s="7" t="n">
        <v>330000</v>
      </c>
      <c r="D197" s="6" t="n">
        <v>30</v>
      </c>
      <c r="E197" s="6" t="n">
        <v>-2</v>
      </c>
      <c r="F197" s="6" t="n">
        <v>-2</v>
      </c>
      <c r="G197" s="8" t="n">
        <v>0</v>
      </c>
      <c r="H197" s="8" t="n">
        <v>0</v>
      </c>
      <c r="I197" s="10" t="n">
        <v>1</v>
      </c>
    </row>
    <row r="198">
      <c r="B198" s="6" t="n">
        <v>5769</v>
      </c>
      <c r="C198" s="7" t="n">
        <v>320000</v>
      </c>
      <c r="D198" s="6" t="n">
        <v>32</v>
      </c>
      <c r="E198" s="6" t="n">
        <v>-1</v>
      </c>
      <c r="F198" s="6" t="n">
        <v>-1</v>
      </c>
      <c r="G198" s="8" t="n">
        <v>0.0025</v>
      </c>
      <c r="H198" s="8" t="n">
        <v>2</v>
      </c>
      <c r="I198" s="9" t="n">
        <v>0</v>
      </c>
    </row>
    <row r="199">
      <c r="B199" s="6" t="n">
        <v>5770</v>
      </c>
      <c r="C199" s="7" t="n">
        <v>360000</v>
      </c>
      <c r="D199" s="6" t="n">
        <v>45</v>
      </c>
      <c r="E199" s="6" t="n">
        <v>2</v>
      </c>
      <c r="F199" s="6" t="n">
        <v>2</v>
      </c>
      <c r="G199" s="8" t="n">
        <v>0.0069</v>
      </c>
      <c r="H199" s="8" t="n">
        <v>0</v>
      </c>
      <c r="I199" s="9" t="n">
        <v>0</v>
      </c>
    </row>
    <row r="200">
      <c r="B200" s="6" t="n">
        <v>5814</v>
      </c>
      <c r="C200" s="7" t="n">
        <v>150000</v>
      </c>
      <c r="D200" s="6" t="n">
        <v>44</v>
      </c>
      <c r="E200" s="6" t="n">
        <v>-1</v>
      </c>
      <c r="F200" s="6" t="n">
        <v>-1</v>
      </c>
      <c r="G200" s="8" t="n">
        <v>0.0091</v>
      </c>
      <c r="H200" s="8" t="n">
        <v>0</v>
      </c>
      <c r="I200" s="9" t="n">
        <v>0</v>
      </c>
    </row>
    <row r="201">
      <c r="B201" s="6" t="n">
        <v>5876</v>
      </c>
      <c r="C201" s="7" t="n">
        <v>340000</v>
      </c>
      <c r="D201" s="6" t="n">
        <v>33</v>
      </c>
      <c r="E201" s="6" t="n">
        <v>0</v>
      </c>
      <c r="F201" s="6" t="n">
        <v>0</v>
      </c>
      <c r="G201" s="8" t="n">
        <v>0.9888</v>
      </c>
      <c r="H201" s="8" t="n">
        <v>0.0306</v>
      </c>
      <c r="I201" s="10" t="n">
        <v>1</v>
      </c>
    </row>
    <row r="202">
      <c r="B202" s="6" t="n">
        <v>5894</v>
      </c>
      <c r="C202" s="7" t="n">
        <v>110000</v>
      </c>
      <c r="D202" s="6" t="n">
        <v>38</v>
      </c>
      <c r="E202" s="6" t="n">
        <v>0</v>
      </c>
      <c r="F202" s="6" t="n">
        <v>0</v>
      </c>
      <c r="G202" s="8" t="n">
        <v>0.9154</v>
      </c>
      <c r="H202" s="8" t="n">
        <v>0.0351</v>
      </c>
      <c r="I202" s="9" t="n">
        <v>0</v>
      </c>
    </row>
    <row r="203">
      <c r="B203" s="6" t="n">
        <v>5914</v>
      </c>
      <c r="C203" s="7" t="n">
        <v>150000</v>
      </c>
      <c r="D203" s="6" t="n">
        <v>26</v>
      </c>
      <c r="E203" s="6" t="n">
        <v>0</v>
      </c>
      <c r="F203" s="6" t="n">
        <v>0</v>
      </c>
      <c r="G203" s="8" t="n">
        <v>0.629</v>
      </c>
      <c r="H203" s="8" t="n">
        <v>0.053</v>
      </c>
      <c r="I203" s="9" t="n">
        <v>0</v>
      </c>
    </row>
    <row r="204">
      <c r="B204" s="6" t="n">
        <v>5920</v>
      </c>
      <c r="C204" s="7" t="n">
        <v>90000</v>
      </c>
      <c r="D204" s="6" t="n">
        <v>29</v>
      </c>
      <c r="E204" s="6" t="n">
        <v>-1</v>
      </c>
      <c r="F204" s="6" t="n">
        <v>-1</v>
      </c>
      <c r="G204" s="8" t="n">
        <v>0.0683</v>
      </c>
      <c r="H204" s="8" t="n">
        <v>1.0085</v>
      </c>
      <c r="I204" s="9" t="n">
        <v>0</v>
      </c>
    </row>
    <row r="205">
      <c r="B205" s="6" t="n">
        <v>5922</v>
      </c>
      <c r="C205" s="7" t="n">
        <v>230000</v>
      </c>
      <c r="D205" s="6" t="n">
        <v>45</v>
      </c>
      <c r="E205" s="6" t="n">
        <v>-1</v>
      </c>
      <c r="F205" s="6" t="n">
        <v>-1</v>
      </c>
      <c r="G205" s="8" t="n">
        <v>0.0005</v>
      </c>
      <c r="H205" s="8" t="n">
        <v>1</v>
      </c>
      <c r="I205" s="9" t="n">
        <v>0</v>
      </c>
    </row>
    <row r="206">
      <c r="B206" s="6" t="n">
        <v>5936</v>
      </c>
      <c r="C206" s="7" t="n">
        <v>200000</v>
      </c>
      <c r="D206" s="6" t="n">
        <v>34</v>
      </c>
      <c r="E206" s="6" t="n">
        <v>0</v>
      </c>
      <c r="F206" s="6" t="n">
        <v>0</v>
      </c>
      <c r="G206" s="8" t="n">
        <v>0.024</v>
      </c>
      <c r="H206" s="8" t="n">
        <v>0.2345</v>
      </c>
      <c r="I206" s="9" t="n">
        <v>0</v>
      </c>
    </row>
    <row r="207">
      <c r="B207" s="6" t="n">
        <v>5959</v>
      </c>
      <c r="C207" s="7" t="n">
        <v>350000</v>
      </c>
      <c r="D207" s="6" t="n">
        <v>55</v>
      </c>
      <c r="E207" s="6" t="n">
        <v>-1</v>
      </c>
      <c r="F207" s="6" t="n">
        <v>-1</v>
      </c>
      <c r="G207" s="8" t="n">
        <v>0.017</v>
      </c>
      <c r="H207" s="8" t="n">
        <v>1.0612</v>
      </c>
      <c r="I207" s="9" t="n">
        <v>0</v>
      </c>
    </row>
    <row r="208">
      <c r="B208" s="6" t="n">
        <v>5973</v>
      </c>
      <c r="C208" s="7" t="n">
        <v>80000</v>
      </c>
      <c r="D208" s="6" t="n">
        <v>26</v>
      </c>
      <c r="E208" s="6" t="n">
        <v>0</v>
      </c>
      <c r="F208" s="6" t="n">
        <v>0</v>
      </c>
      <c r="G208" s="8" t="n">
        <v>0.9956</v>
      </c>
      <c r="H208" s="8" t="n">
        <v>0.0441</v>
      </c>
      <c r="I208" s="10" t="n">
        <v>1</v>
      </c>
    </row>
    <row r="209">
      <c r="B209" s="6" t="n">
        <v>6036</v>
      </c>
      <c r="C209" s="7" t="n">
        <v>280000</v>
      </c>
      <c r="D209" s="6" t="n">
        <v>45</v>
      </c>
      <c r="E209" s="6" t="n">
        <v>-1</v>
      </c>
      <c r="F209" s="6" t="n">
        <v>-1</v>
      </c>
      <c r="G209" s="8" t="n">
        <v>0.0081</v>
      </c>
      <c r="H209" s="8" t="n">
        <v>0.7502</v>
      </c>
      <c r="I209" s="10" t="n">
        <v>1</v>
      </c>
    </row>
    <row r="210">
      <c r="B210" s="6" t="n">
        <v>6037</v>
      </c>
      <c r="C210" s="7" t="n">
        <v>80000</v>
      </c>
      <c r="D210" s="6" t="n">
        <v>39</v>
      </c>
      <c r="E210" s="6" t="n">
        <v>-1</v>
      </c>
      <c r="F210" s="6" t="n">
        <v>-1</v>
      </c>
      <c r="G210" s="8" t="n">
        <v>0.066</v>
      </c>
      <c r="H210" s="8" t="n">
        <v>0.947</v>
      </c>
      <c r="I210" s="9" t="n">
        <v>0</v>
      </c>
    </row>
    <row r="211">
      <c r="B211" s="6" t="n">
        <v>6086</v>
      </c>
      <c r="C211" s="7" t="n">
        <v>140000</v>
      </c>
      <c r="D211" s="6" t="n">
        <v>37</v>
      </c>
      <c r="E211" s="6" t="n">
        <v>0</v>
      </c>
      <c r="F211" s="6" t="n">
        <v>0</v>
      </c>
      <c r="G211" s="8" t="n">
        <v>0.8884</v>
      </c>
      <c r="H211" s="8" t="n">
        <v>0.08840000000000001</v>
      </c>
      <c r="I211" s="10" t="n">
        <v>1</v>
      </c>
    </row>
    <row r="212">
      <c r="B212" s="6" t="n">
        <v>6096</v>
      </c>
      <c r="C212" s="7" t="n">
        <v>460000</v>
      </c>
      <c r="D212" s="6" t="n">
        <v>31</v>
      </c>
      <c r="E212" s="6" t="n">
        <v>0</v>
      </c>
      <c r="F212" s="6" t="n">
        <v>0</v>
      </c>
      <c r="G212" s="8" t="n">
        <v>0.2618</v>
      </c>
      <c r="H212" s="8" t="n">
        <v>0.0498</v>
      </c>
      <c r="I212" s="9" t="n">
        <v>0</v>
      </c>
    </row>
    <row r="213">
      <c r="B213" s="6" t="n">
        <v>6116</v>
      </c>
      <c r="C213" s="7" t="n">
        <v>240000</v>
      </c>
      <c r="D213" s="6" t="n">
        <v>35</v>
      </c>
      <c r="E213" s="6" t="n">
        <v>-2</v>
      </c>
      <c r="F213" s="6" t="n">
        <v>-2</v>
      </c>
      <c r="G213" s="8" t="n">
        <v>0.008399999999999999</v>
      </c>
      <c r="H213" s="8" t="n">
        <v>2</v>
      </c>
      <c r="I213" s="9" t="n">
        <v>0</v>
      </c>
    </row>
    <row r="214">
      <c r="B214" s="6" t="n">
        <v>6130</v>
      </c>
      <c r="C214" s="7" t="n">
        <v>20000</v>
      </c>
      <c r="D214" s="6" t="n">
        <v>33</v>
      </c>
      <c r="E214" s="6" t="n">
        <v>2</v>
      </c>
      <c r="F214" s="6" t="n">
        <v>0</v>
      </c>
      <c r="G214" s="8" t="n">
        <v>0.8169</v>
      </c>
      <c r="H214" s="8" t="n">
        <v>0.306</v>
      </c>
      <c r="I214" s="10" t="n">
        <v>1</v>
      </c>
    </row>
    <row r="215">
      <c r="B215" s="6" t="n">
        <v>6168</v>
      </c>
      <c r="C215" s="7" t="n">
        <v>500000</v>
      </c>
      <c r="D215" s="6" t="n">
        <v>33</v>
      </c>
      <c r="E215" s="6" t="n">
        <v>1</v>
      </c>
      <c r="F215" s="6" t="n">
        <v>-2</v>
      </c>
      <c r="G215" s="8" t="n">
        <v>0.0058</v>
      </c>
      <c r="H215" s="8" t="n">
        <v>0.0031</v>
      </c>
      <c r="I215" s="9" t="n">
        <v>0</v>
      </c>
    </row>
    <row r="216">
      <c r="B216" s="6" t="n">
        <v>6170</v>
      </c>
      <c r="C216" s="7" t="n">
        <v>360000</v>
      </c>
      <c r="D216" s="6" t="n">
        <v>29</v>
      </c>
      <c r="E216" s="6" t="n">
        <v>-2</v>
      </c>
      <c r="F216" s="6" t="n">
        <v>-2</v>
      </c>
      <c r="G216" s="8" t="n">
        <v>0</v>
      </c>
      <c r="H216" s="8" t="n">
        <v>0</v>
      </c>
      <c r="I216" s="10" t="n">
        <v>1</v>
      </c>
    </row>
    <row r="217">
      <c r="B217" s="6" t="n">
        <v>6179</v>
      </c>
      <c r="C217" s="7" t="n">
        <v>240000</v>
      </c>
      <c r="D217" s="6" t="n">
        <v>37</v>
      </c>
      <c r="E217" s="6" t="n">
        <v>-2</v>
      </c>
      <c r="F217" s="6" t="n">
        <v>-2</v>
      </c>
      <c r="G217" s="8" t="n">
        <v>0</v>
      </c>
      <c r="H217" s="8" t="n">
        <v>0</v>
      </c>
      <c r="I217" s="9" t="n">
        <v>0</v>
      </c>
    </row>
    <row r="218">
      <c r="B218" s="6" t="n">
        <v>6186</v>
      </c>
      <c r="C218" s="7" t="n">
        <v>50000</v>
      </c>
      <c r="D218" s="6" t="n">
        <v>48</v>
      </c>
      <c r="E218" s="6" t="n">
        <v>0</v>
      </c>
      <c r="F218" s="6" t="n">
        <v>0</v>
      </c>
      <c r="G218" s="8" t="n">
        <v>1.0708</v>
      </c>
      <c r="H218" s="8" t="n">
        <v>0.0199</v>
      </c>
      <c r="I218" s="9" t="n">
        <v>0</v>
      </c>
    </row>
    <row r="219">
      <c r="B219" s="6" t="n">
        <v>6238</v>
      </c>
      <c r="C219" s="7" t="n">
        <v>210000</v>
      </c>
      <c r="D219" s="6" t="n">
        <v>30</v>
      </c>
      <c r="E219" s="6" t="n">
        <v>0</v>
      </c>
      <c r="F219" s="6" t="n">
        <v>0</v>
      </c>
      <c r="G219" s="8" t="n">
        <v>0.1567</v>
      </c>
      <c r="H219" s="8" t="n">
        <v>0.0486</v>
      </c>
      <c r="I219" s="10" t="n">
        <v>1</v>
      </c>
    </row>
    <row r="220">
      <c r="B220" s="6" t="n">
        <v>6353</v>
      </c>
      <c r="C220" s="7" t="n">
        <v>50000</v>
      </c>
      <c r="D220" s="6" t="n">
        <v>33</v>
      </c>
      <c r="E220" s="6" t="n">
        <v>2</v>
      </c>
      <c r="F220" s="6" t="n">
        <v>4</v>
      </c>
      <c r="G220" s="8" t="n">
        <v>0.4989</v>
      </c>
      <c r="H220" s="8" t="n">
        <v>0.01</v>
      </c>
      <c r="I220" s="9" t="n">
        <v>0</v>
      </c>
    </row>
    <row r="221">
      <c r="B221" s="6" t="n">
        <v>6355</v>
      </c>
      <c r="C221" s="7" t="n">
        <v>170000</v>
      </c>
      <c r="D221" s="6" t="n">
        <v>53</v>
      </c>
      <c r="E221" s="6" t="n">
        <v>-2</v>
      </c>
      <c r="F221" s="6" t="n">
        <v>-2</v>
      </c>
      <c r="G221" s="8" t="n">
        <v>0</v>
      </c>
      <c r="H221" s="8" t="n">
        <v>0</v>
      </c>
      <c r="I221" s="9" t="n">
        <v>0</v>
      </c>
    </row>
    <row r="222">
      <c r="B222" s="6" t="n">
        <v>6387</v>
      </c>
      <c r="C222" s="7" t="n">
        <v>50000</v>
      </c>
      <c r="D222" s="6" t="n">
        <v>29</v>
      </c>
      <c r="E222" s="6" t="n">
        <v>2</v>
      </c>
      <c r="F222" s="6" t="n">
        <v>2</v>
      </c>
      <c r="G222" s="8" t="n">
        <v>0.6022999999999999</v>
      </c>
      <c r="H222" s="8" t="n">
        <v>0.0455</v>
      </c>
      <c r="I222" s="10" t="n">
        <v>1</v>
      </c>
    </row>
    <row r="223">
      <c r="B223" s="6" t="n">
        <v>6415</v>
      </c>
      <c r="C223" s="7" t="n">
        <v>140000</v>
      </c>
      <c r="D223" s="6" t="n">
        <v>33</v>
      </c>
      <c r="E223" s="6" t="n">
        <v>1</v>
      </c>
      <c r="F223" s="6" t="n">
        <v>-1</v>
      </c>
      <c r="G223" s="8" t="n">
        <v>0</v>
      </c>
      <c r="H223" s="8" t="n">
        <v>0</v>
      </c>
      <c r="I223" s="9" t="n">
        <v>0</v>
      </c>
    </row>
    <row r="224">
      <c r="B224" s="6" t="n">
        <v>6422</v>
      </c>
      <c r="C224" s="7" t="n">
        <v>290000</v>
      </c>
      <c r="D224" s="6" t="n">
        <v>28</v>
      </c>
      <c r="E224" s="6" t="n">
        <v>0</v>
      </c>
      <c r="F224" s="6" t="n">
        <v>0</v>
      </c>
      <c r="G224" s="8" t="n">
        <v>0.4613</v>
      </c>
      <c r="H224" s="8" t="n">
        <v>0.0471</v>
      </c>
      <c r="I224" s="9" t="n">
        <v>0</v>
      </c>
    </row>
    <row r="225">
      <c r="B225" s="6" t="n">
        <v>6424</v>
      </c>
      <c r="C225" s="7" t="n">
        <v>180000</v>
      </c>
      <c r="D225" s="6" t="n">
        <v>28</v>
      </c>
      <c r="E225" s="6" t="n">
        <v>0</v>
      </c>
      <c r="F225" s="6" t="n">
        <v>0</v>
      </c>
      <c r="G225" s="8" t="n">
        <v>0.0547</v>
      </c>
      <c r="H225" s="8" t="n">
        <v>1.0892</v>
      </c>
      <c r="I225" s="9" t="n">
        <v>0</v>
      </c>
    </row>
    <row r="226">
      <c r="B226" s="6" t="n">
        <v>6472</v>
      </c>
      <c r="C226" s="7" t="n">
        <v>500000</v>
      </c>
      <c r="D226" s="6" t="n">
        <v>48</v>
      </c>
      <c r="E226" s="6" t="n">
        <v>-1</v>
      </c>
      <c r="F226" s="6" t="n">
        <v>-1</v>
      </c>
      <c r="G226" s="8" t="n">
        <v>0.1549</v>
      </c>
      <c r="H226" s="8" t="n">
        <v>0.8879</v>
      </c>
      <c r="I226" s="9" t="n">
        <v>0</v>
      </c>
    </row>
    <row r="227">
      <c r="B227" s="6" t="n">
        <v>6498</v>
      </c>
      <c r="C227" s="7" t="n">
        <v>190000</v>
      </c>
      <c r="D227" s="6" t="n">
        <v>40</v>
      </c>
      <c r="E227" s="6" t="n">
        <v>0</v>
      </c>
      <c r="F227" s="6" t="n">
        <v>0</v>
      </c>
      <c r="G227" s="8" t="n">
        <v>0.9699</v>
      </c>
      <c r="H227" s="8" t="n">
        <v>0.0814</v>
      </c>
      <c r="I227" s="9" t="n">
        <v>0</v>
      </c>
    </row>
    <row r="228">
      <c r="B228" s="6" t="n">
        <v>6499</v>
      </c>
      <c r="C228" s="7" t="n">
        <v>200000</v>
      </c>
      <c r="D228" s="6" t="n">
        <v>32</v>
      </c>
      <c r="E228" s="6" t="n">
        <v>-2</v>
      </c>
      <c r="F228" s="6" t="n">
        <v>-2</v>
      </c>
      <c r="G228" s="8" t="n">
        <v>0.0047</v>
      </c>
      <c r="H228" s="8" t="n">
        <v>0.1851</v>
      </c>
      <c r="I228" s="9" t="n">
        <v>0</v>
      </c>
    </row>
    <row r="229">
      <c r="B229" s="6" t="n">
        <v>6516</v>
      </c>
      <c r="C229" s="7" t="n">
        <v>50000</v>
      </c>
      <c r="D229" s="6" t="n">
        <v>41</v>
      </c>
      <c r="E229" s="6" t="n">
        <v>0</v>
      </c>
      <c r="F229" s="6" t="n">
        <v>0</v>
      </c>
      <c r="G229" s="8" t="n">
        <v>0.9605</v>
      </c>
      <c r="H229" s="8" t="n">
        <v>0.0625</v>
      </c>
      <c r="I229" s="10" t="n">
        <v>1</v>
      </c>
    </row>
    <row r="230">
      <c r="B230" s="6" t="n">
        <v>6525</v>
      </c>
      <c r="C230" s="7" t="n">
        <v>30000</v>
      </c>
      <c r="D230" s="6" t="n">
        <v>33</v>
      </c>
      <c r="E230" s="6" t="n">
        <v>0</v>
      </c>
      <c r="F230" s="6" t="n">
        <v>0</v>
      </c>
      <c r="G230" s="8" t="n">
        <v>0.7822</v>
      </c>
      <c r="H230" s="8" t="n">
        <v>0.06</v>
      </c>
      <c r="I230" s="9" t="n">
        <v>0</v>
      </c>
    </row>
    <row r="231">
      <c r="B231" s="6" t="n">
        <v>6526</v>
      </c>
      <c r="C231" s="7" t="n">
        <v>330000</v>
      </c>
      <c r="D231" s="6" t="n">
        <v>30</v>
      </c>
      <c r="E231" s="6" t="n">
        <v>0</v>
      </c>
      <c r="F231" s="6" t="n">
        <v>0</v>
      </c>
      <c r="G231" s="8" t="n">
        <v>0.4706</v>
      </c>
      <c r="H231" s="8" t="n">
        <v>0.0644</v>
      </c>
      <c r="I231" s="9" t="n">
        <v>0</v>
      </c>
    </row>
    <row r="232">
      <c r="B232" s="6" t="n">
        <v>6538</v>
      </c>
      <c r="C232" s="7" t="n">
        <v>360000</v>
      </c>
      <c r="D232" s="6" t="n">
        <v>40</v>
      </c>
      <c r="E232" s="6" t="n">
        <v>-1</v>
      </c>
      <c r="F232" s="6" t="n">
        <v>-1</v>
      </c>
      <c r="G232" s="8" t="n">
        <v>0.0459</v>
      </c>
      <c r="H232" s="8" t="n">
        <v>0.0701</v>
      </c>
      <c r="I232" s="9" t="n">
        <v>0</v>
      </c>
    </row>
    <row r="233">
      <c r="B233" s="6" t="n">
        <v>6548</v>
      </c>
      <c r="C233" s="7" t="n">
        <v>150000</v>
      </c>
      <c r="D233" s="6" t="n">
        <v>36</v>
      </c>
      <c r="E233" s="6" t="n">
        <v>0</v>
      </c>
      <c r="F233" s="6" t="n">
        <v>0</v>
      </c>
      <c r="G233" s="8" t="n">
        <v>0.4667</v>
      </c>
      <c r="H233" s="8" t="n">
        <v>0.0357</v>
      </c>
      <c r="I233" s="9" t="n">
        <v>0</v>
      </c>
    </row>
    <row r="234">
      <c r="B234" s="6" t="n">
        <v>6560</v>
      </c>
      <c r="C234" s="7" t="n">
        <v>230000</v>
      </c>
      <c r="D234" s="6" t="n">
        <v>32</v>
      </c>
      <c r="E234" s="6" t="n">
        <v>0</v>
      </c>
      <c r="F234" s="6" t="n">
        <v>0</v>
      </c>
      <c r="G234" s="8" t="n">
        <v>0.249</v>
      </c>
      <c r="H234" s="8" t="n">
        <v>0.0437</v>
      </c>
      <c r="I234" s="10" t="n">
        <v>1</v>
      </c>
    </row>
    <row r="235">
      <c r="B235" s="6" t="n">
        <v>6564</v>
      </c>
      <c r="C235" s="7" t="n">
        <v>70000</v>
      </c>
      <c r="D235" s="6" t="n">
        <v>39</v>
      </c>
      <c r="E235" s="6" t="n">
        <v>0</v>
      </c>
      <c r="F235" s="6" t="n">
        <v>0</v>
      </c>
      <c r="G235" s="8" t="n">
        <v>0.9639</v>
      </c>
      <c r="H235" s="8" t="n">
        <v>0.0459</v>
      </c>
      <c r="I235" s="9" t="n">
        <v>0</v>
      </c>
    </row>
    <row r="236">
      <c r="B236" s="6" t="n">
        <v>6672</v>
      </c>
      <c r="C236" s="7" t="n">
        <v>230000</v>
      </c>
      <c r="D236" s="6" t="n">
        <v>42</v>
      </c>
      <c r="E236" s="6" t="n">
        <v>-1</v>
      </c>
      <c r="F236" s="6" t="n">
        <v>-1</v>
      </c>
      <c r="G236" s="8" t="n">
        <v>0.0014</v>
      </c>
      <c r="H236" s="8" t="n">
        <v>1</v>
      </c>
      <c r="I236" s="9" t="n">
        <v>0</v>
      </c>
    </row>
    <row r="237">
      <c r="B237" s="6" t="n">
        <v>6738</v>
      </c>
      <c r="C237" s="7" t="n">
        <v>390000</v>
      </c>
      <c r="D237" s="6" t="n">
        <v>47</v>
      </c>
      <c r="E237" s="6" t="n">
        <v>1</v>
      </c>
      <c r="F237" s="6" t="n">
        <v>-1</v>
      </c>
      <c r="G237" s="8" t="n">
        <v>0</v>
      </c>
      <c r="H237" s="8" t="n">
        <v>0</v>
      </c>
      <c r="I237" s="9" t="n">
        <v>0</v>
      </c>
    </row>
    <row r="238">
      <c r="B238" s="6" t="n">
        <v>6751</v>
      </c>
      <c r="C238" s="7" t="n">
        <v>30000</v>
      </c>
      <c r="D238" s="6" t="n">
        <v>46</v>
      </c>
      <c r="E238" s="6" t="n">
        <v>2</v>
      </c>
      <c r="F238" s="6" t="n">
        <v>2</v>
      </c>
      <c r="G238" s="8" t="n">
        <v>0.7451</v>
      </c>
      <c r="H238" s="8" t="n">
        <v>0.0761</v>
      </c>
      <c r="I238" s="10" t="n">
        <v>1</v>
      </c>
    </row>
    <row r="239">
      <c r="B239" s="6" t="n">
        <v>6835</v>
      </c>
      <c r="C239" s="7" t="n">
        <v>50000</v>
      </c>
      <c r="D239" s="6" t="n">
        <v>24</v>
      </c>
      <c r="E239" s="6" t="n">
        <v>-2</v>
      </c>
      <c r="F239" s="6" t="n">
        <v>-2</v>
      </c>
      <c r="G239" s="8" t="n">
        <v>0.0179</v>
      </c>
      <c r="H239" s="8" t="n">
        <v>1.1409</v>
      </c>
      <c r="I239" s="9" t="n">
        <v>0</v>
      </c>
    </row>
    <row r="240">
      <c r="B240" s="6" t="n">
        <v>6850</v>
      </c>
      <c r="C240" s="7" t="n">
        <v>70000</v>
      </c>
      <c r="D240" s="6" t="n">
        <v>55</v>
      </c>
      <c r="E240" s="6" t="n">
        <v>0</v>
      </c>
      <c r="F240" s="6" t="n">
        <v>0</v>
      </c>
      <c r="G240" s="8" t="n">
        <v>0.9653</v>
      </c>
      <c r="H240" s="8" t="n">
        <v>0.0314</v>
      </c>
      <c r="I240" s="9" t="n">
        <v>0</v>
      </c>
    </row>
    <row r="241">
      <c r="B241" s="6" t="n">
        <v>6901</v>
      </c>
      <c r="C241" s="7" t="n">
        <v>230000</v>
      </c>
      <c r="D241" s="6" t="n">
        <v>31</v>
      </c>
      <c r="E241" s="6" t="n">
        <v>-1</v>
      </c>
      <c r="F241" s="6" t="n">
        <v>-1</v>
      </c>
      <c r="G241" s="8" t="n">
        <v>0.022</v>
      </c>
      <c r="H241" s="8" t="n">
        <v>0.8515</v>
      </c>
      <c r="I241" s="9" t="n">
        <v>0</v>
      </c>
    </row>
    <row r="242">
      <c r="B242" s="6" t="n">
        <v>6939</v>
      </c>
      <c r="C242" s="7" t="n">
        <v>260000</v>
      </c>
      <c r="D242" s="6" t="n">
        <v>51</v>
      </c>
      <c r="E242" s="6" t="n">
        <v>1</v>
      </c>
      <c r="F242" s="6" t="n">
        <v>-2</v>
      </c>
      <c r="G242" s="8" t="n">
        <v>0</v>
      </c>
      <c r="H242" s="8" t="n">
        <v>0</v>
      </c>
      <c r="I242" s="9" t="n">
        <v>0</v>
      </c>
    </row>
    <row r="243">
      <c r="B243" s="6" t="n">
        <v>6974</v>
      </c>
      <c r="C243" s="7" t="n">
        <v>50000</v>
      </c>
      <c r="D243" s="6" t="n">
        <v>24</v>
      </c>
      <c r="E243" s="6" t="n">
        <v>1</v>
      </c>
      <c r="F243" s="6" t="n">
        <v>3</v>
      </c>
      <c r="G243" s="8" t="n">
        <v>1.0778</v>
      </c>
      <c r="H243" s="8" t="n">
        <v>0.0408</v>
      </c>
      <c r="I243" s="9" t="n">
        <v>0</v>
      </c>
    </row>
    <row r="244">
      <c r="B244" s="6" t="n">
        <v>7139</v>
      </c>
      <c r="C244" s="7" t="n">
        <v>50000</v>
      </c>
      <c r="D244" s="6" t="n">
        <v>22</v>
      </c>
      <c r="E244" s="6" t="n">
        <v>0</v>
      </c>
      <c r="F244" s="6" t="n">
        <v>0</v>
      </c>
      <c r="G244" s="8" t="n">
        <v>1.102</v>
      </c>
      <c r="H244" s="8" t="n">
        <v>0.043</v>
      </c>
      <c r="I244" s="9" t="n">
        <v>0</v>
      </c>
    </row>
    <row r="245">
      <c r="B245" s="6" t="n">
        <v>7162</v>
      </c>
      <c r="C245" s="7" t="n">
        <v>100000</v>
      </c>
      <c r="D245" s="6" t="n">
        <v>37</v>
      </c>
      <c r="E245" s="6" t="n">
        <v>0</v>
      </c>
      <c r="F245" s="6" t="n">
        <v>0</v>
      </c>
      <c r="G245" s="8" t="n">
        <v>1.7796</v>
      </c>
      <c r="H245" s="8" t="n">
        <v>0.0173</v>
      </c>
      <c r="I245" s="10" t="n">
        <v>1</v>
      </c>
    </row>
    <row r="246">
      <c r="B246" s="6" t="n">
        <v>7165</v>
      </c>
      <c r="C246" s="7" t="n">
        <v>320000</v>
      </c>
      <c r="D246" s="6" t="n">
        <v>32</v>
      </c>
      <c r="E246" s="6" t="n">
        <v>-2</v>
      </c>
      <c r="F246" s="6" t="n">
        <v>-2</v>
      </c>
      <c r="G246" s="8" t="n">
        <v>0</v>
      </c>
      <c r="H246" s="8" t="n">
        <v>0</v>
      </c>
      <c r="I246" s="10" t="n">
        <v>1</v>
      </c>
    </row>
    <row r="247">
      <c r="B247" s="6" t="n">
        <v>7168</v>
      </c>
      <c r="C247" s="7" t="n">
        <v>210000</v>
      </c>
      <c r="D247" s="6" t="n">
        <v>37</v>
      </c>
      <c r="E247" s="6" t="n">
        <v>-1</v>
      </c>
      <c r="F247" s="6" t="n">
        <v>-1</v>
      </c>
      <c r="G247" s="8" t="n">
        <v>0.0147</v>
      </c>
      <c r="H247" s="8" t="n">
        <v>0.1826</v>
      </c>
      <c r="I247" s="9" t="n">
        <v>0</v>
      </c>
    </row>
    <row r="248">
      <c r="B248" s="6" t="n">
        <v>7170</v>
      </c>
      <c r="C248" s="7" t="n">
        <v>20000</v>
      </c>
      <c r="D248" s="6" t="n">
        <v>51</v>
      </c>
      <c r="E248" s="6" t="n">
        <v>0</v>
      </c>
      <c r="F248" s="6" t="n">
        <v>0</v>
      </c>
      <c r="G248" s="8" t="n">
        <v>0.52</v>
      </c>
      <c r="H248" s="8" t="n">
        <v>0</v>
      </c>
      <c r="I248" s="10" t="n">
        <v>1</v>
      </c>
    </row>
    <row r="249">
      <c r="B249" s="6" t="n">
        <v>7175</v>
      </c>
      <c r="C249" s="7" t="n">
        <v>20000</v>
      </c>
      <c r="D249" s="6" t="n">
        <v>36</v>
      </c>
      <c r="E249" s="6" t="n">
        <v>2</v>
      </c>
      <c r="F249" s="6" t="n">
        <v>2</v>
      </c>
      <c r="G249" s="8" t="n">
        <v>1.2637</v>
      </c>
      <c r="H249" s="8" t="n">
        <v>0.0673</v>
      </c>
      <c r="I249" s="9" t="n">
        <v>0</v>
      </c>
    </row>
    <row r="250">
      <c r="B250" s="6" t="n">
        <v>7180</v>
      </c>
      <c r="C250" s="7" t="n">
        <v>160000</v>
      </c>
      <c r="D250" s="6" t="n">
        <v>62</v>
      </c>
      <c r="E250" s="6" t="n">
        <v>-2</v>
      </c>
      <c r="F250" s="6" t="n">
        <v>-2</v>
      </c>
      <c r="G250" s="8" t="n">
        <v>0</v>
      </c>
      <c r="H250" s="8" t="n">
        <v>0</v>
      </c>
      <c r="I250" s="9" t="n">
        <v>0</v>
      </c>
    </row>
    <row r="251">
      <c r="B251" s="6" t="n">
        <v>7194</v>
      </c>
      <c r="C251" s="7" t="n">
        <v>150000</v>
      </c>
      <c r="D251" s="6" t="n">
        <v>26</v>
      </c>
      <c r="E251" s="6" t="n">
        <v>0</v>
      </c>
      <c r="F251" s="6" t="n">
        <v>0</v>
      </c>
      <c r="G251" s="8" t="n">
        <v>0.0713</v>
      </c>
      <c r="H251" s="8" t="n">
        <v>0.2806</v>
      </c>
      <c r="I251" s="10" t="n">
        <v>1</v>
      </c>
    </row>
    <row r="252">
      <c r="B252" s="6" t="n">
        <v>7233</v>
      </c>
      <c r="C252" s="7" t="n">
        <v>30000</v>
      </c>
      <c r="D252" s="6" t="n">
        <v>36</v>
      </c>
      <c r="E252" s="6" t="n">
        <v>-1</v>
      </c>
      <c r="F252" s="6" t="n">
        <v>-1</v>
      </c>
      <c r="G252" s="8" t="n">
        <v>0.013</v>
      </c>
      <c r="H252" s="8" t="n">
        <v>1</v>
      </c>
      <c r="I252" s="9" t="n">
        <v>0</v>
      </c>
    </row>
    <row r="253">
      <c r="B253" s="6" t="n">
        <v>7247</v>
      </c>
      <c r="C253" s="7" t="n">
        <v>180000</v>
      </c>
      <c r="D253" s="6" t="n">
        <v>25</v>
      </c>
      <c r="E253" s="6" t="n">
        <v>-2</v>
      </c>
      <c r="F253" s="6" t="n">
        <v>-2</v>
      </c>
      <c r="G253" s="8" t="n">
        <v>0</v>
      </c>
      <c r="H253" s="8" t="n">
        <v>0</v>
      </c>
      <c r="I253" s="9" t="n">
        <v>0</v>
      </c>
    </row>
    <row r="254">
      <c r="B254" s="6" t="n">
        <v>7269</v>
      </c>
      <c r="C254" s="7" t="n">
        <v>20000</v>
      </c>
      <c r="D254" s="6" t="n">
        <v>36</v>
      </c>
      <c r="E254" s="6" t="n">
        <v>2</v>
      </c>
      <c r="F254" s="6" t="n">
        <v>2</v>
      </c>
      <c r="G254" s="8" t="n">
        <v>0.518</v>
      </c>
      <c r="H254" s="8" t="n">
        <v>0.3347</v>
      </c>
      <c r="I254" s="9" t="n">
        <v>0</v>
      </c>
    </row>
    <row r="255">
      <c r="B255" s="6" t="n">
        <v>7312</v>
      </c>
      <c r="C255" s="7" t="n">
        <v>80000</v>
      </c>
      <c r="D255" s="6" t="n">
        <v>30</v>
      </c>
      <c r="E255" s="6" t="n">
        <v>0</v>
      </c>
      <c r="F255" s="6" t="n">
        <v>0</v>
      </c>
      <c r="G255" s="8" t="n">
        <v>0.1497</v>
      </c>
      <c r="H255" s="8" t="n">
        <v>0.0989</v>
      </c>
      <c r="I255" s="9" t="n">
        <v>0</v>
      </c>
    </row>
    <row r="256">
      <c r="B256" s="6" t="n">
        <v>7317</v>
      </c>
      <c r="C256" s="7" t="n">
        <v>230000</v>
      </c>
      <c r="D256" s="6" t="n">
        <v>50</v>
      </c>
      <c r="E256" s="6" t="n">
        <v>0</v>
      </c>
      <c r="F256" s="6" t="n">
        <v>0</v>
      </c>
      <c r="G256" s="8" t="n">
        <v>0.4101</v>
      </c>
      <c r="H256" s="8" t="n">
        <v>0.0433</v>
      </c>
      <c r="I256" s="10" t="n">
        <v>1</v>
      </c>
    </row>
    <row r="257">
      <c r="B257" s="6" t="n">
        <v>7336</v>
      </c>
      <c r="C257" s="7" t="n">
        <v>580000</v>
      </c>
      <c r="D257" s="6" t="n">
        <v>31</v>
      </c>
      <c r="E257" s="6" t="n">
        <v>-1</v>
      </c>
      <c r="F257" s="6" t="n">
        <v>-1</v>
      </c>
      <c r="G257" s="8" t="n">
        <v>0.0043</v>
      </c>
      <c r="H257" s="8" t="n">
        <v>0.8736</v>
      </c>
      <c r="I257" s="9" t="n">
        <v>0</v>
      </c>
    </row>
    <row r="258">
      <c r="B258" s="6" t="n">
        <v>7359</v>
      </c>
      <c r="C258" s="7" t="n">
        <v>150000</v>
      </c>
      <c r="D258" s="6" t="n">
        <v>27</v>
      </c>
      <c r="E258" s="6" t="n">
        <v>0</v>
      </c>
      <c r="F258" s="6" t="n">
        <v>0</v>
      </c>
      <c r="G258" s="8" t="n">
        <v>0.9785</v>
      </c>
      <c r="H258" s="8" t="n">
        <v>0.0447</v>
      </c>
      <c r="I258" s="9" t="n">
        <v>0</v>
      </c>
    </row>
    <row r="259">
      <c r="B259" s="6" t="n">
        <v>7421</v>
      </c>
      <c r="C259" s="7" t="n">
        <v>280000</v>
      </c>
      <c r="D259" s="6" t="n">
        <v>31</v>
      </c>
      <c r="E259" s="6" t="n">
        <v>1</v>
      </c>
      <c r="F259" s="6" t="n">
        <v>-2</v>
      </c>
      <c r="G259" s="8" t="n">
        <v>0</v>
      </c>
      <c r="H259" s="8" t="n">
        <v>0</v>
      </c>
      <c r="I259" s="9" t="n">
        <v>0</v>
      </c>
    </row>
    <row r="260">
      <c r="B260" s="6" t="n">
        <v>7473</v>
      </c>
      <c r="C260" s="7" t="n">
        <v>90000</v>
      </c>
      <c r="D260" s="6" t="n">
        <v>33</v>
      </c>
      <c r="E260" s="6" t="n">
        <v>0</v>
      </c>
      <c r="F260" s="6" t="n">
        <v>0</v>
      </c>
      <c r="G260" s="8" t="n">
        <v>0.2975</v>
      </c>
      <c r="H260" s="8" t="n">
        <v>2</v>
      </c>
      <c r="I260" s="9" t="n">
        <v>0</v>
      </c>
    </row>
    <row r="261">
      <c r="B261" s="6" t="n">
        <v>7517</v>
      </c>
      <c r="C261" s="7" t="n">
        <v>80000</v>
      </c>
      <c r="D261" s="6" t="n">
        <v>52</v>
      </c>
      <c r="E261" s="6" t="n">
        <v>1</v>
      </c>
      <c r="F261" s="6" t="n">
        <v>-2</v>
      </c>
      <c r="G261" s="8" t="n">
        <v>0</v>
      </c>
      <c r="H261" s="8" t="n">
        <v>0</v>
      </c>
      <c r="I261" s="9" t="n">
        <v>0</v>
      </c>
    </row>
    <row r="262">
      <c r="B262" s="6" t="n">
        <v>7531</v>
      </c>
      <c r="C262" s="7" t="n">
        <v>270000</v>
      </c>
      <c r="D262" s="6" t="n">
        <v>28</v>
      </c>
      <c r="E262" s="6" t="n">
        <v>4</v>
      </c>
      <c r="F262" s="6" t="n">
        <v>4</v>
      </c>
      <c r="G262" s="8" t="n">
        <v>0.881</v>
      </c>
      <c r="H262" s="8" t="n">
        <v>0</v>
      </c>
      <c r="I262" s="10" t="n">
        <v>1</v>
      </c>
    </row>
    <row r="263">
      <c r="B263" s="6" t="n">
        <v>7619</v>
      </c>
      <c r="C263" s="7" t="n">
        <v>130000</v>
      </c>
      <c r="D263" s="6" t="n">
        <v>47</v>
      </c>
      <c r="E263" s="6" t="n">
        <v>0</v>
      </c>
      <c r="F263" s="6" t="n">
        <v>0</v>
      </c>
      <c r="G263" s="8" t="n">
        <v>0.8434</v>
      </c>
      <c r="H263" s="8" t="n">
        <v>0.0769</v>
      </c>
      <c r="I263" s="9" t="n">
        <v>0</v>
      </c>
    </row>
    <row r="264">
      <c r="B264" s="6" t="n">
        <v>7661</v>
      </c>
      <c r="C264" s="7" t="n">
        <v>80000</v>
      </c>
      <c r="D264" s="6" t="n">
        <v>44</v>
      </c>
      <c r="E264" s="6" t="n">
        <v>2</v>
      </c>
      <c r="F264" s="6" t="n">
        <v>0</v>
      </c>
      <c r="G264" s="8" t="n">
        <v>0.9869</v>
      </c>
      <c r="H264" s="8" t="n">
        <v>0.0357</v>
      </c>
      <c r="I264" s="10" t="n">
        <v>1</v>
      </c>
    </row>
    <row r="265">
      <c r="B265" s="6" t="n">
        <v>7682</v>
      </c>
      <c r="C265" s="7" t="n">
        <v>60000</v>
      </c>
      <c r="D265" s="6" t="n">
        <v>64</v>
      </c>
      <c r="E265" s="6" t="n">
        <v>2</v>
      </c>
      <c r="F265" s="6" t="n">
        <v>0</v>
      </c>
      <c r="G265" s="8" t="n">
        <v>0.409</v>
      </c>
      <c r="H265" s="8" t="n">
        <v>0.0815</v>
      </c>
      <c r="I265" s="10" t="n">
        <v>1</v>
      </c>
    </row>
    <row r="266">
      <c r="B266" s="6" t="n">
        <v>7693</v>
      </c>
      <c r="C266" s="7" t="n">
        <v>230000</v>
      </c>
      <c r="D266" s="6" t="n">
        <v>45</v>
      </c>
      <c r="E266" s="6" t="n">
        <v>2</v>
      </c>
      <c r="F266" s="6" t="n">
        <v>2</v>
      </c>
      <c r="G266" s="8" t="n">
        <v>0.9639</v>
      </c>
      <c r="H266" s="8" t="n">
        <v>0.0451</v>
      </c>
      <c r="I266" s="9" t="n">
        <v>0</v>
      </c>
    </row>
    <row r="267">
      <c r="B267" s="6" t="n">
        <v>7712</v>
      </c>
      <c r="C267" s="7" t="n">
        <v>50000</v>
      </c>
      <c r="D267" s="6" t="n">
        <v>23</v>
      </c>
      <c r="E267" s="6" t="n">
        <v>1</v>
      </c>
      <c r="F267" s="6" t="n">
        <v>2</v>
      </c>
      <c r="G267" s="8" t="n">
        <v>0.944</v>
      </c>
      <c r="H267" s="8" t="n">
        <v>0.0297</v>
      </c>
      <c r="I267" s="9" t="n">
        <v>0</v>
      </c>
    </row>
    <row r="268">
      <c r="B268" s="6" t="n">
        <v>7959</v>
      </c>
      <c r="C268" s="7" t="n">
        <v>320000</v>
      </c>
      <c r="D268" s="6" t="n">
        <v>33</v>
      </c>
      <c r="E268" s="6" t="n">
        <v>-1</v>
      </c>
      <c r="F268" s="6" t="n">
        <v>-1</v>
      </c>
      <c r="G268" s="8" t="n">
        <v>0.05</v>
      </c>
      <c r="H268" s="8" t="n">
        <v>0.1212</v>
      </c>
      <c r="I268" s="9" t="n">
        <v>0</v>
      </c>
    </row>
    <row r="269">
      <c r="B269" s="6" t="n">
        <v>8026</v>
      </c>
      <c r="C269" s="7" t="n">
        <v>30000</v>
      </c>
      <c r="D269" s="6" t="n">
        <v>23</v>
      </c>
      <c r="E269" s="6" t="n">
        <v>0</v>
      </c>
      <c r="F269" s="6" t="n">
        <v>0</v>
      </c>
      <c r="G269" s="8" t="n">
        <v>0.3602</v>
      </c>
      <c r="H269" s="8" t="n">
        <v>0.1096</v>
      </c>
      <c r="I269" s="9" t="n">
        <v>0</v>
      </c>
    </row>
    <row r="270">
      <c r="B270" s="6" t="n">
        <v>8067</v>
      </c>
      <c r="C270" s="7" t="n">
        <v>180000</v>
      </c>
      <c r="D270" s="6" t="n">
        <v>29</v>
      </c>
      <c r="E270" s="6" t="n">
        <v>0</v>
      </c>
      <c r="F270" s="6" t="n">
        <v>0</v>
      </c>
      <c r="G270" s="8" t="n">
        <v>0.6778999999999999</v>
      </c>
      <c r="H270" s="8" t="n">
        <v>0.0369</v>
      </c>
      <c r="I270" s="9" t="n">
        <v>0</v>
      </c>
    </row>
    <row r="271">
      <c r="B271" s="6" t="n">
        <v>8092</v>
      </c>
      <c r="C271" s="7" t="n">
        <v>290000</v>
      </c>
      <c r="D271" s="6" t="n">
        <v>35</v>
      </c>
      <c r="E271" s="6" t="n">
        <v>1</v>
      </c>
      <c r="F271" s="6" t="n">
        <v>-2</v>
      </c>
      <c r="G271" s="8" t="n">
        <v>0</v>
      </c>
      <c r="H271" s="8" t="n">
        <v>0</v>
      </c>
      <c r="I271" s="9" t="n">
        <v>0</v>
      </c>
    </row>
    <row r="272">
      <c r="B272" s="6" t="n">
        <v>8121</v>
      </c>
      <c r="C272" s="7" t="n">
        <v>90000</v>
      </c>
      <c r="D272" s="6" t="n">
        <v>53</v>
      </c>
      <c r="E272" s="6" t="n">
        <v>0</v>
      </c>
      <c r="F272" s="6" t="n">
        <v>0</v>
      </c>
      <c r="G272" s="8" t="n">
        <v>0.3338</v>
      </c>
      <c r="H272" s="8" t="n">
        <v>0.0333</v>
      </c>
      <c r="I272" s="9" t="n">
        <v>0</v>
      </c>
    </row>
    <row r="273">
      <c r="B273" s="6" t="n">
        <v>8274</v>
      </c>
      <c r="C273" s="7" t="n">
        <v>80000</v>
      </c>
      <c r="D273" s="6" t="n">
        <v>28</v>
      </c>
      <c r="E273" s="6" t="n">
        <v>0</v>
      </c>
      <c r="F273" s="6" t="n">
        <v>0</v>
      </c>
      <c r="G273" s="8" t="n">
        <v>0.5992</v>
      </c>
      <c r="H273" s="8" t="n">
        <v>0.0438</v>
      </c>
      <c r="I273" s="9" t="n">
        <v>0</v>
      </c>
    </row>
    <row r="274">
      <c r="B274" s="6" t="n">
        <v>8350</v>
      </c>
      <c r="C274" s="7" t="n">
        <v>80000</v>
      </c>
      <c r="D274" s="6" t="n">
        <v>29</v>
      </c>
      <c r="E274" s="6" t="n">
        <v>0</v>
      </c>
      <c r="F274" s="6" t="n">
        <v>0</v>
      </c>
      <c r="G274" s="8" t="n">
        <v>0.7696</v>
      </c>
      <c r="H274" s="8" t="n">
        <v>0.0371</v>
      </c>
      <c r="I274" s="9" t="n">
        <v>0</v>
      </c>
    </row>
    <row r="275">
      <c r="B275" s="6" t="n">
        <v>8464</v>
      </c>
      <c r="C275" s="7" t="n">
        <v>260000</v>
      </c>
      <c r="D275" s="6" t="n">
        <v>28</v>
      </c>
      <c r="E275" s="6" t="n">
        <v>0</v>
      </c>
      <c r="F275" s="6" t="n">
        <v>0</v>
      </c>
      <c r="G275" s="8" t="n">
        <v>0.9675</v>
      </c>
      <c r="H275" s="8" t="n">
        <v>0.0363</v>
      </c>
      <c r="I275" s="9" t="n">
        <v>0</v>
      </c>
    </row>
    <row r="276">
      <c r="B276" s="6" t="n">
        <v>8470</v>
      </c>
      <c r="C276" s="7" t="n">
        <v>180000</v>
      </c>
      <c r="D276" s="6" t="n">
        <v>37</v>
      </c>
      <c r="E276" s="6" t="n">
        <v>0</v>
      </c>
      <c r="F276" s="6" t="n">
        <v>0</v>
      </c>
      <c r="G276" s="8" t="n">
        <v>0.08169999999999999</v>
      </c>
      <c r="H276" s="8" t="n">
        <v>0.08459999999999999</v>
      </c>
      <c r="I276" s="10" t="n">
        <v>1</v>
      </c>
    </row>
    <row r="277">
      <c r="B277" s="6" t="n">
        <v>8550</v>
      </c>
      <c r="C277" s="7" t="n">
        <v>500000</v>
      </c>
      <c r="D277" s="6" t="n">
        <v>38</v>
      </c>
      <c r="E277" s="6" t="n">
        <v>-2</v>
      </c>
      <c r="F277" s="6" t="n">
        <v>-2</v>
      </c>
      <c r="G277" s="8" t="n">
        <v>0</v>
      </c>
      <c r="H277" s="8" t="n">
        <v>0</v>
      </c>
      <c r="I277" s="9" t="n">
        <v>0</v>
      </c>
    </row>
    <row r="278">
      <c r="B278" s="6" t="n">
        <v>8574</v>
      </c>
      <c r="C278" s="7" t="n">
        <v>20000</v>
      </c>
      <c r="D278" s="6" t="n">
        <v>25</v>
      </c>
      <c r="E278" s="6" t="n">
        <v>1</v>
      </c>
      <c r="F278" s="6" t="n">
        <v>2</v>
      </c>
      <c r="G278" s="8" t="n">
        <v>0.4242</v>
      </c>
      <c r="H278" s="8" t="n">
        <v>0.2358</v>
      </c>
      <c r="I278" s="10" t="n">
        <v>1</v>
      </c>
    </row>
    <row r="279">
      <c r="B279" s="6" t="n">
        <v>8604</v>
      </c>
      <c r="C279" s="7" t="n">
        <v>90000</v>
      </c>
      <c r="D279" s="6" t="n">
        <v>47</v>
      </c>
      <c r="E279" s="6" t="n">
        <v>0</v>
      </c>
      <c r="F279" s="6" t="n">
        <v>0</v>
      </c>
      <c r="G279" s="8" t="n">
        <v>0.3164</v>
      </c>
      <c r="H279" s="8" t="n">
        <v>0.0702</v>
      </c>
      <c r="I279" s="9" t="n">
        <v>0</v>
      </c>
    </row>
    <row r="280">
      <c r="B280" s="6" t="n">
        <v>8639</v>
      </c>
      <c r="C280" s="7" t="n">
        <v>50000</v>
      </c>
      <c r="D280" s="6" t="n">
        <v>39</v>
      </c>
      <c r="E280" s="6" t="n">
        <v>0</v>
      </c>
      <c r="F280" s="6" t="n">
        <v>0</v>
      </c>
      <c r="G280" s="8" t="n">
        <v>0.4437</v>
      </c>
      <c r="H280" s="8" t="n">
        <v>0.2254</v>
      </c>
      <c r="I280" s="9" t="n">
        <v>0</v>
      </c>
    </row>
    <row r="281">
      <c r="B281" s="6" t="n">
        <v>8684</v>
      </c>
      <c r="C281" s="7" t="n">
        <v>380000</v>
      </c>
      <c r="D281" s="6" t="n">
        <v>34</v>
      </c>
      <c r="E281" s="6" t="n">
        <v>0</v>
      </c>
      <c r="F281" s="6" t="n">
        <v>0</v>
      </c>
      <c r="G281" s="8" t="n">
        <v>0.2791</v>
      </c>
      <c r="H281" s="8" t="n">
        <v>0.0319</v>
      </c>
      <c r="I281" s="9" t="n">
        <v>0</v>
      </c>
    </row>
    <row r="282">
      <c r="B282" s="6" t="n">
        <v>8729</v>
      </c>
      <c r="C282" s="7" t="n">
        <v>370000</v>
      </c>
      <c r="D282" s="6" t="n">
        <v>29</v>
      </c>
      <c r="E282" s="6" t="n">
        <v>-1</v>
      </c>
      <c r="F282" s="6" t="n">
        <v>-1</v>
      </c>
      <c r="G282" s="8" t="n">
        <v>0.0767</v>
      </c>
      <c r="H282" s="8" t="n">
        <v>0.6845</v>
      </c>
      <c r="I282" s="9" t="n">
        <v>0</v>
      </c>
    </row>
    <row r="283">
      <c r="B283" s="6" t="n">
        <v>8841</v>
      </c>
      <c r="C283" s="7" t="n">
        <v>120000</v>
      </c>
      <c r="D283" s="6" t="n">
        <v>31</v>
      </c>
      <c r="E283" s="6" t="n">
        <v>-1</v>
      </c>
      <c r="F283" s="6" t="n">
        <v>-1</v>
      </c>
      <c r="G283" s="8" t="n">
        <v>0.0195</v>
      </c>
      <c r="H283" s="8" t="n">
        <v>2</v>
      </c>
      <c r="I283" s="9" t="n">
        <v>0</v>
      </c>
    </row>
    <row r="284">
      <c r="B284" s="6" t="n">
        <v>8890</v>
      </c>
      <c r="C284" s="7" t="n">
        <v>280000</v>
      </c>
      <c r="D284" s="6" t="n">
        <v>26</v>
      </c>
      <c r="E284" s="6" t="n">
        <v>-2</v>
      </c>
      <c r="F284" s="6" t="n">
        <v>-2</v>
      </c>
      <c r="G284" s="8" t="n">
        <v>0.0075</v>
      </c>
      <c r="H284" s="8" t="n">
        <v>1.3224</v>
      </c>
      <c r="I284" s="9" t="n">
        <v>0</v>
      </c>
    </row>
    <row r="285">
      <c r="B285" s="6" t="n">
        <v>8898</v>
      </c>
      <c r="C285" s="7" t="n">
        <v>20000</v>
      </c>
      <c r="D285" s="6" t="n">
        <v>24</v>
      </c>
      <c r="E285" s="6" t="n">
        <v>-1</v>
      </c>
      <c r="F285" s="6" t="n">
        <v>2</v>
      </c>
      <c r="G285" s="8" t="n">
        <v>0.9607</v>
      </c>
      <c r="H285" s="8" t="n">
        <v>0</v>
      </c>
      <c r="I285" s="9" t="n">
        <v>0</v>
      </c>
    </row>
    <row r="286">
      <c r="B286" s="6" t="n">
        <v>8915</v>
      </c>
      <c r="C286" s="7" t="n">
        <v>330000</v>
      </c>
      <c r="D286" s="6" t="n">
        <v>28</v>
      </c>
      <c r="E286" s="6" t="n">
        <v>0</v>
      </c>
      <c r="F286" s="6" t="n">
        <v>0</v>
      </c>
      <c r="G286" s="8" t="n">
        <v>0.1614</v>
      </c>
      <c r="H286" s="8" t="n">
        <v>0.0376</v>
      </c>
      <c r="I286" s="9" t="n">
        <v>0</v>
      </c>
    </row>
    <row r="287">
      <c r="B287" s="6" t="n">
        <v>8925</v>
      </c>
      <c r="C287" s="7" t="n">
        <v>200000</v>
      </c>
      <c r="D287" s="6" t="n">
        <v>34</v>
      </c>
      <c r="E287" s="6" t="n">
        <v>0</v>
      </c>
      <c r="F287" s="6" t="n">
        <v>0</v>
      </c>
      <c r="G287" s="8" t="n">
        <v>0.3413</v>
      </c>
      <c r="H287" s="8" t="n">
        <v>0.0409</v>
      </c>
      <c r="I287" s="9" t="n">
        <v>0</v>
      </c>
    </row>
    <row r="288">
      <c r="B288" s="6" t="n">
        <v>8933</v>
      </c>
      <c r="C288" s="7" t="n">
        <v>240000</v>
      </c>
      <c r="D288" s="6" t="n">
        <v>42</v>
      </c>
      <c r="E288" s="6" t="n">
        <v>1</v>
      </c>
      <c r="F288" s="6" t="n">
        <v>2</v>
      </c>
      <c r="G288" s="8" t="n">
        <v>0.7815</v>
      </c>
      <c r="H288" s="8" t="n">
        <v>0.0357</v>
      </c>
      <c r="I288" s="10" t="n">
        <v>1</v>
      </c>
    </row>
    <row r="289">
      <c r="B289" s="6" t="n">
        <v>8948</v>
      </c>
      <c r="C289" s="7" t="n">
        <v>180000</v>
      </c>
      <c r="D289" s="6" t="n">
        <v>40</v>
      </c>
      <c r="E289" s="6" t="n">
        <v>-2</v>
      </c>
      <c r="F289" s="6" t="n">
        <v>-2</v>
      </c>
      <c r="G289" s="8" t="n">
        <v>0</v>
      </c>
      <c r="H289" s="8" t="n">
        <v>0</v>
      </c>
      <c r="I289" s="10" t="n">
        <v>1</v>
      </c>
    </row>
    <row r="290">
      <c r="B290" s="6" t="n">
        <v>9014</v>
      </c>
      <c r="C290" s="7" t="n">
        <v>20000</v>
      </c>
      <c r="D290" s="6" t="n">
        <v>43</v>
      </c>
      <c r="E290" s="6" t="n">
        <v>0</v>
      </c>
      <c r="F290" s="6" t="n">
        <v>0</v>
      </c>
      <c r="G290" s="8" t="n">
        <v>0.9554</v>
      </c>
      <c r="H290" s="8" t="n">
        <v>0.0696</v>
      </c>
      <c r="I290" s="9" t="n">
        <v>0</v>
      </c>
    </row>
    <row r="291">
      <c r="B291" s="6" t="n">
        <v>9021</v>
      </c>
      <c r="C291" s="7" t="n">
        <v>170000</v>
      </c>
      <c r="D291" s="6" t="n">
        <v>42</v>
      </c>
      <c r="E291" s="6" t="n">
        <v>0</v>
      </c>
      <c r="F291" s="6" t="n">
        <v>0</v>
      </c>
      <c r="G291" s="8" t="n">
        <v>0.2222</v>
      </c>
      <c r="H291" s="8" t="n">
        <v>0.0529</v>
      </c>
      <c r="I291" s="9" t="n">
        <v>0</v>
      </c>
    </row>
    <row r="292">
      <c r="B292" s="6" t="n">
        <v>9062</v>
      </c>
      <c r="C292" s="7" t="n">
        <v>220000</v>
      </c>
      <c r="D292" s="6" t="n">
        <v>46</v>
      </c>
      <c r="E292" s="6" t="n">
        <v>2</v>
      </c>
      <c r="F292" s="6" t="n">
        <v>2</v>
      </c>
      <c r="G292" s="8" t="n">
        <v>1.1069</v>
      </c>
      <c r="H292" s="8" t="n">
        <v>0</v>
      </c>
      <c r="I292" s="9" t="n">
        <v>0</v>
      </c>
    </row>
    <row r="293">
      <c r="B293" s="6" t="n">
        <v>9080</v>
      </c>
      <c r="C293" s="7" t="n">
        <v>50000</v>
      </c>
      <c r="D293" s="6" t="n">
        <v>26</v>
      </c>
      <c r="E293" s="6" t="n">
        <v>1</v>
      </c>
      <c r="F293" s="6" t="n">
        <v>5</v>
      </c>
      <c r="G293" s="8" t="n">
        <v>0.9696</v>
      </c>
      <c r="H293" s="8" t="n">
        <v>0</v>
      </c>
      <c r="I293" s="9" t="n">
        <v>0</v>
      </c>
    </row>
    <row r="294">
      <c r="B294" s="6" t="n">
        <v>9133</v>
      </c>
      <c r="C294" s="7" t="n">
        <v>250000</v>
      </c>
      <c r="D294" s="6" t="n">
        <v>36</v>
      </c>
      <c r="E294" s="6" t="n">
        <v>0</v>
      </c>
      <c r="F294" s="6" t="n">
        <v>0</v>
      </c>
      <c r="G294" s="8" t="n">
        <v>0.6756</v>
      </c>
      <c r="H294" s="8" t="n">
        <v>0.0592</v>
      </c>
      <c r="I294" s="9" t="n">
        <v>0</v>
      </c>
    </row>
    <row r="295">
      <c r="B295" s="6" t="n">
        <v>9143</v>
      </c>
      <c r="C295" s="7" t="n">
        <v>80000</v>
      </c>
      <c r="D295" s="6" t="n">
        <v>34</v>
      </c>
      <c r="E295" s="6" t="n">
        <v>1</v>
      </c>
      <c r="F295" s="6" t="n">
        <v>2</v>
      </c>
      <c r="G295" s="8" t="n">
        <v>0.5808</v>
      </c>
      <c r="H295" s="8" t="n">
        <v>0.0452</v>
      </c>
      <c r="I295" s="10" t="n">
        <v>1</v>
      </c>
    </row>
    <row r="296">
      <c r="B296" s="6" t="n">
        <v>9182</v>
      </c>
      <c r="C296" s="7" t="n">
        <v>140000</v>
      </c>
      <c r="D296" s="6" t="n">
        <v>25</v>
      </c>
      <c r="E296" s="6" t="n">
        <v>0</v>
      </c>
      <c r="F296" s="6" t="n">
        <v>0</v>
      </c>
      <c r="G296" s="8" t="n">
        <v>0.9828</v>
      </c>
      <c r="H296" s="8" t="n">
        <v>0.0451</v>
      </c>
      <c r="I296" s="9" t="n">
        <v>0</v>
      </c>
    </row>
    <row r="297">
      <c r="B297" s="6" t="n">
        <v>9251</v>
      </c>
      <c r="C297" s="7" t="n">
        <v>180000</v>
      </c>
      <c r="D297" s="6" t="n">
        <v>30</v>
      </c>
      <c r="E297" s="6" t="n">
        <v>0</v>
      </c>
      <c r="F297" s="6" t="n">
        <v>0</v>
      </c>
      <c r="G297" s="8" t="n">
        <v>0.829</v>
      </c>
      <c r="H297" s="8" t="n">
        <v>0.0731</v>
      </c>
      <c r="I297" s="9" t="n">
        <v>0</v>
      </c>
    </row>
    <row r="298">
      <c r="B298" s="6" t="n">
        <v>9258</v>
      </c>
      <c r="C298" s="7" t="n">
        <v>210000</v>
      </c>
      <c r="D298" s="6" t="n">
        <v>30</v>
      </c>
      <c r="E298" s="6" t="n">
        <v>-1</v>
      </c>
      <c r="F298" s="6" t="n">
        <v>-1</v>
      </c>
      <c r="G298" s="8" t="n">
        <v>0.0336</v>
      </c>
      <c r="H298" s="8" t="n">
        <v>0.4298</v>
      </c>
      <c r="I298" s="9" t="n">
        <v>0</v>
      </c>
    </row>
    <row r="299">
      <c r="B299" s="6" t="n">
        <v>9277</v>
      </c>
      <c r="C299" s="7" t="n">
        <v>450000</v>
      </c>
      <c r="D299" s="6" t="n">
        <v>31</v>
      </c>
      <c r="E299" s="6" t="n">
        <v>-1</v>
      </c>
      <c r="F299" s="6" t="n">
        <v>-1</v>
      </c>
      <c r="G299" s="8" t="n">
        <v>0.008800000000000001</v>
      </c>
      <c r="H299" s="8" t="n">
        <v>1.1141</v>
      </c>
      <c r="I299" s="9" t="n">
        <v>0</v>
      </c>
    </row>
    <row r="300">
      <c r="B300" s="6" t="n">
        <v>9310</v>
      </c>
      <c r="C300" s="7" t="n">
        <v>380000</v>
      </c>
      <c r="D300" s="6" t="n">
        <v>38</v>
      </c>
      <c r="E300" s="6" t="n">
        <v>0</v>
      </c>
      <c r="F300" s="6" t="n">
        <v>0</v>
      </c>
      <c r="G300" s="8" t="n">
        <v>0.2319</v>
      </c>
      <c r="H300" s="8" t="n">
        <v>0.0519</v>
      </c>
      <c r="I300" s="9" t="n">
        <v>0</v>
      </c>
    </row>
    <row r="301">
      <c r="B301" s="6" t="n">
        <v>9315</v>
      </c>
      <c r="C301" s="7" t="n">
        <v>170000</v>
      </c>
      <c r="D301" s="6" t="n">
        <v>29</v>
      </c>
      <c r="E301" s="6" t="n">
        <v>-1</v>
      </c>
      <c r="F301" s="6" t="n">
        <v>-1</v>
      </c>
      <c r="G301" s="8" t="n">
        <v>0.0326</v>
      </c>
      <c r="H301" s="8" t="n">
        <v>0.2071</v>
      </c>
      <c r="I301" s="10" t="n">
        <v>1</v>
      </c>
    </row>
    <row r="302">
      <c r="B302" s="6" t="n">
        <v>9410</v>
      </c>
      <c r="C302" s="7" t="n">
        <v>440000</v>
      </c>
      <c r="D302" s="6" t="n">
        <v>28</v>
      </c>
      <c r="E302" s="6" t="n">
        <v>-2</v>
      </c>
      <c r="F302" s="6" t="n">
        <v>-2</v>
      </c>
      <c r="G302" s="8" t="n">
        <v>0.0189</v>
      </c>
      <c r="H302" s="8" t="n">
        <v>0</v>
      </c>
      <c r="I302" s="9" t="n">
        <v>0</v>
      </c>
    </row>
    <row r="303">
      <c r="B303" s="6" t="n">
        <v>9521</v>
      </c>
      <c r="C303" s="7" t="n">
        <v>190000</v>
      </c>
      <c r="D303" s="6" t="n">
        <v>39</v>
      </c>
      <c r="E303" s="6" t="n">
        <v>-1</v>
      </c>
      <c r="F303" s="6" t="n">
        <v>-1</v>
      </c>
      <c r="G303" s="8" t="n">
        <v>0.0008</v>
      </c>
      <c r="H303" s="8" t="n">
        <v>0</v>
      </c>
      <c r="I303" s="9" t="n">
        <v>0</v>
      </c>
    </row>
    <row r="304">
      <c r="B304" s="6" t="n">
        <v>9557</v>
      </c>
      <c r="C304" s="7" t="n">
        <v>280000</v>
      </c>
      <c r="D304" s="6" t="n">
        <v>29</v>
      </c>
      <c r="E304" s="6" t="n">
        <v>0</v>
      </c>
      <c r="F304" s="6" t="n">
        <v>0</v>
      </c>
      <c r="G304" s="8" t="n">
        <v>0.9118000000000001</v>
      </c>
      <c r="H304" s="8" t="n">
        <v>0.037</v>
      </c>
      <c r="I304" s="10" t="n">
        <v>1</v>
      </c>
    </row>
    <row r="305">
      <c r="B305" s="6" t="n">
        <v>9599</v>
      </c>
      <c r="C305" s="7" t="n">
        <v>340000</v>
      </c>
      <c r="D305" s="6" t="n">
        <v>33</v>
      </c>
      <c r="E305" s="6" t="n">
        <v>-1</v>
      </c>
      <c r="F305" s="6" t="n">
        <v>-1</v>
      </c>
      <c r="G305" s="8" t="n">
        <v>0.0248</v>
      </c>
      <c r="H305" s="8" t="n">
        <v>1.2223</v>
      </c>
      <c r="I305" s="9" t="n">
        <v>0</v>
      </c>
    </row>
    <row r="306">
      <c r="B306" s="6" t="n">
        <v>9602</v>
      </c>
      <c r="C306" s="7" t="n">
        <v>140000</v>
      </c>
      <c r="D306" s="6" t="n">
        <v>24</v>
      </c>
      <c r="E306" s="6" t="n">
        <v>0</v>
      </c>
      <c r="F306" s="6" t="n">
        <v>0</v>
      </c>
      <c r="G306" s="8" t="n">
        <v>0.1494</v>
      </c>
      <c r="H306" s="8" t="n">
        <v>0.078</v>
      </c>
      <c r="I306" s="9" t="n">
        <v>0</v>
      </c>
    </row>
    <row r="307">
      <c r="B307" s="6" t="n">
        <v>9612</v>
      </c>
      <c r="C307" s="7" t="n">
        <v>240000</v>
      </c>
      <c r="D307" s="6" t="n">
        <v>44</v>
      </c>
      <c r="E307" s="6" t="n">
        <v>-1</v>
      </c>
      <c r="F307" s="6" t="n">
        <v>-1</v>
      </c>
      <c r="G307" s="8" t="n">
        <v>0.102</v>
      </c>
      <c r="H307" s="8" t="n">
        <v>0.4704</v>
      </c>
      <c r="I307" s="9" t="n">
        <v>0</v>
      </c>
    </row>
    <row r="308">
      <c r="B308" s="6" t="n">
        <v>9625</v>
      </c>
      <c r="C308" s="7" t="n">
        <v>50000</v>
      </c>
      <c r="D308" s="6" t="n">
        <v>47</v>
      </c>
      <c r="E308" s="6" t="n">
        <v>1</v>
      </c>
      <c r="F308" s="6" t="n">
        <v>-1</v>
      </c>
      <c r="G308" s="8" t="n">
        <v>0</v>
      </c>
      <c r="H308" s="8" t="n">
        <v>0</v>
      </c>
      <c r="I308" s="9" t="n">
        <v>0</v>
      </c>
    </row>
    <row r="309">
      <c r="B309" s="6" t="n">
        <v>9634</v>
      </c>
      <c r="C309" s="7" t="n">
        <v>50000</v>
      </c>
      <c r="D309" s="6" t="n">
        <v>27</v>
      </c>
      <c r="E309" s="6" t="n">
        <v>0</v>
      </c>
      <c r="F309" s="6" t="n">
        <v>0</v>
      </c>
      <c r="G309" s="8" t="n">
        <v>0.9293</v>
      </c>
      <c r="H309" s="8" t="n">
        <v>0.0509</v>
      </c>
      <c r="I309" s="9" t="n">
        <v>0</v>
      </c>
    </row>
    <row r="310">
      <c r="B310" s="6" t="n">
        <v>9635</v>
      </c>
      <c r="C310" s="7" t="n">
        <v>240000</v>
      </c>
      <c r="D310" s="6" t="n">
        <v>34</v>
      </c>
      <c r="E310" s="6" t="n">
        <v>-1</v>
      </c>
      <c r="F310" s="6" t="n">
        <v>-1</v>
      </c>
      <c r="G310" s="8" t="n">
        <v>0.0207</v>
      </c>
      <c r="H310" s="8" t="n">
        <v>0</v>
      </c>
      <c r="I310" s="9" t="n">
        <v>0</v>
      </c>
    </row>
    <row r="311">
      <c r="B311" s="6" t="n">
        <v>9681</v>
      </c>
      <c r="C311" s="7" t="n">
        <v>200000</v>
      </c>
      <c r="D311" s="6" t="n">
        <v>37</v>
      </c>
      <c r="E311" s="6" t="n">
        <v>2</v>
      </c>
      <c r="F311" s="6" t="n">
        <v>0</v>
      </c>
      <c r="G311" s="8" t="n">
        <v>1.0713</v>
      </c>
      <c r="H311" s="8" t="n">
        <v>0.0373</v>
      </c>
      <c r="I311" s="9" t="n">
        <v>0</v>
      </c>
    </row>
    <row r="312">
      <c r="B312" s="6" t="n">
        <v>9682</v>
      </c>
      <c r="C312" s="7" t="n">
        <v>460000</v>
      </c>
      <c r="D312" s="6" t="n">
        <v>36</v>
      </c>
      <c r="E312" s="6" t="n">
        <v>-1</v>
      </c>
      <c r="F312" s="6" t="n">
        <v>-1</v>
      </c>
      <c r="G312" s="8" t="n">
        <v>0.1268</v>
      </c>
      <c r="H312" s="8" t="n">
        <v>0.6271</v>
      </c>
      <c r="I312" s="9" t="n">
        <v>0</v>
      </c>
    </row>
    <row r="313">
      <c r="B313" s="6" t="n">
        <v>9722</v>
      </c>
      <c r="C313" s="7" t="n">
        <v>70000</v>
      </c>
      <c r="D313" s="6" t="n">
        <v>26</v>
      </c>
      <c r="E313" s="6" t="n">
        <v>0</v>
      </c>
      <c r="F313" s="6" t="n">
        <v>0</v>
      </c>
      <c r="G313" s="8" t="n">
        <v>0.9695</v>
      </c>
      <c r="H313" s="8" t="n">
        <v>0.0518</v>
      </c>
      <c r="I313" s="10" t="n">
        <v>1</v>
      </c>
    </row>
    <row r="314">
      <c r="B314" s="6" t="n">
        <v>9744</v>
      </c>
      <c r="C314" s="7" t="n">
        <v>10000</v>
      </c>
      <c r="D314" s="6" t="n">
        <v>24</v>
      </c>
      <c r="E314" s="6" t="n">
        <v>-1</v>
      </c>
      <c r="F314" s="6" t="n">
        <v>-1</v>
      </c>
      <c r="G314" s="8" t="n">
        <v>0.0273</v>
      </c>
      <c r="H314" s="8" t="n">
        <v>2</v>
      </c>
      <c r="I314" s="9" t="n">
        <v>0</v>
      </c>
    </row>
    <row r="315">
      <c r="B315" s="6" t="n">
        <v>9784</v>
      </c>
      <c r="C315" s="7" t="n">
        <v>120000</v>
      </c>
      <c r="D315" s="6" t="n">
        <v>34</v>
      </c>
      <c r="E315" s="6" t="n">
        <v>-1</v>
      </c>
      <c r="F315" s="6" t="n">
        <v>-1</v>
      </c>
      <c r="G315" s="8" t="n">
        <v>0.0071</v>
      </c>
      <c r="H315" s="8" t="n">
        <v>1</v>
      </c>
      <c r="I315" s="9" t="n">
        <v>0</v>
      </c>
    </row>
    <row r="316">
      <c r="B316" s="6" t="n">
        <v>9796</v>
      </c>
      <c r="C316" s="7" t="n">
        <v>250000</v>
      </c>
      <c r="D316" s="6" t="n">
        <v>40</v>
      </c>
      <c r="E316" s="6" t="n">
        <v>0</v>
      </c>
      <c r="F316" s="6" t="n">
        <v>0</v>
      </c>
      <c r="G316" s="8" t="n">
        <v>0.5699</v>
      </c>
      <c r="H316" s="8" t="n">
        <v>0.0491</v>
      </c>
      <c r="I316" s="10" t="n">
        <v>1</v>
      </c>
    </row>
    <row r="317">
      <c r="B317" s="6" t="n">
        <v>9883</v>
      </c>
      <c r="C317" s="7" t="n">
        <v>70000</v>
      </c>
      <c r="D317" s="6" t="n">
        <v>47</v>
      </c>
      <c r="E317" s="6" t="n">
        <v>1</v>
      </c>
      <c r="F317" s="6" t="n">
        <v>-2</v>
      </c>
      <c r="G317" s="8" t="n">
        <v>0.4421</v>
      </c>
      <c r="H317" s="8" t="n">
        <v>0.1004</v>
      </c>
      <c r="I317" s="9" t="n">
        <v>0</v>
      </c>
    </row>
    <row r="318">
      <c r="B318" s="6" t="n">
        <v>9891</v>
      </c>
      <c r="C318" s="7" t="n">
        <v>50000</v>
      </c>
      <c r="D318" s="6" t="n">
        <v>42</v>
      </c>
      <c r="E318" s="6" t="n">
        <v>-1</v>
      </c>
      <c r="F318" s="6" t="n">
        <v>-1</v>
      </c>
      <c r="G318" s="8" t="n">
        <v>0.255</v>
      </c>
      <c r="H318" s="8" t="n">
        <v>1.7771</v>
      </c>
      <c r="I318" s="9" t="n">
        <v>0</v>
      </c>
    </row>
    <row r="319">
      <c r="B319" s="6" t="n">
        <v>9902</v>
      </c>
      <c r="C319" s="7" t="n">
        <v>250000</v>
      </c>
      <c r="D319" s="6" t="n">
        <v>28</v>
      </c>
      <c r="E319" s="6" t="n">
        <v>2</v>
      </c>
      <c r="F319" s="6" t="n">
        <v>2</v>
      </c>
      <c r="G319" s="8" t="n">
        <v>0.0856</v>
      </c>
      <c r="H319" s="8" t="n">
        <v>1.3411</v>
      </c>
      <c r="I319" s="10" t="n">
        <v>1</v>
      </c>
    </row>
    <row r="320">
      <c r="B320" s="6" t="n">
        <v>9912</v>
      </c>
      <c r="C320" s="7" t="n">
        <v>110000</v>
      </c>
      <c r="D320" s="6" t="n">
        <v>42</v>
      </c>
      <c r="E320" s="6" t="n">
        <v>-2</v>
      </c>
      <c r="F320" s="6" t="n">
        <v>-2</v>
      </c>
      <c r="G320" s="8" t="n">
        <v>0.9139</v>
      </c>
      <c r="H320" s="8" t="n">
        <v>0.0366</v>
      </c>
      <c r="I320" s="9" t="n">
        <v>0</v>
      </c>
    </row>
    <row r="321">
      <c r="B321" s="6" t="n">
        <v>9924</v>
      </c>
      <c r="C321" s="7" t="n">
        <v>60000</v>
      </c>
      <c r="D321" s="6" t="n">
        <v>22</v>
      </c>
      <c r="E321" s="6" t="n">
        <v>0</v>
      </c>
      <c r="F321" s="6" t="n">
        <v>0</v>
      </c>
      <c r="G321" s="8" t="n">
        <v>0.9929</v>
      </c>
      <c r="H321" s="8" t="n">
        <v>0.0344</v>
      </c>
      <c r="I321" s="9" t="n">
        <v>0</v>
      </c>
    </row>
    <row r="322">
      <c r="B322" s="6" t="n">
        <v>9936</v>
      </c>
      <c r="C322" s="7" t="n">
        <v>50000</v>
      </c>
      <c r="D322" s="6" t="n">
        <v>38</v>
      </c>
      <c r="E322" s="6" t="n">
        <v>0</v>
      </c>
      <c r="F322" s="6" t="n">
        <v>0</v>
      </c>
      <c r="G322" s="8" t="n">
        <v>0.2165</v>
      </c>
      <c r="H322" s="8" t="n">
        <v>0.1386</v>
      </c>
      <c r="I322" s="9" t="n">
        <v>0</v>
      </c>
    </row>
    <row r="323">
      <c r="B323" s="6" t="n">
        <v>9961</v>
      </c>
      <c r="C323" s="7" t="n">
        <v>140000</v>
      </c>
      <c r="D323" s="6" t="n">
        <v>27</v>
      </c>
      <c r="E323" s="6" t="n">
        <v>0</v>
      </c>
      <c r="F323" s="6" t="n">
        <v>0</v>
      </c>
      <c r="G323" s="8" t="n">
        <v>0.9778</v>
      </c>
      <c r="H323" s="8" t="n">
        <v>0.038</v>
      </c>
      <c r="I323" s="9" t="n">
        <v>0</v>
      </c>
    </row>
    <row r="324">
      <c r="B324" s="6" t="n">
        <v>10041</v>
      </c>
      <c r="C324" s="7" t="n">
        <v>230000</v>
      </c>
      <c r="D324" s="6" t="n">
        <v>43</v>
      </c>
      <c r="E324" s="6" t="n">
        <v>-2</v>
      </c>
      <c r="F324" s="6" t="n">
        <v>-2</v>
      </c>
      <c r="G324" s="8" t="n">
        <v>0</v>
      </c>
      <c r="H324" s="8" t="n">
        <v>0</v>
      </c>
      <c r="I324" s="9" t="n">
        <v>0</v>
      </c>
    </row>
    <row r="325">
      <c r="B325" s="6" t="n">
        <v>10047</v>
      </c>
      <c r="C325" s="7" t="n">
        <v>130000</v>
      </c>
      <c r="D325" s="6" t="n">
        <v>31</v>
      </c>
      <c r="E325" s="6" t="n">
        <v>0</v>
      </c>
      <c r="F325" s="6" t="n">
        <v>0</v>
      </c>
      <c r="G325" s="8" t="n">
        <v>0.0427</v>
      </c>
      <c r="H325" s="8" t="n">
        <v>0.2702</v>
      </c>
      <c r="I325" s="10" t="n">
        <v>1</v>
      </c>
    </row>
    <row r="326">
      <c r="B326" s="6" t="n">
        <v>10065</v>
      </c>
      <c r="C326" s="7" t="n">
        <v>60000</v>
      </c>
      <c r="D326" s="6" t="n">
        <v>28</v>
      </c>
      <c r="E326" s="6" t="n">
        <v>0</v>
      </c>
      <c r="F326" s="6" t="n">
        <v>0</v>
      </c>
      <c r="G326" s="8" t="n">
        <v>1.012</v>
      </c>
      <c r="H326" s="8" t="n">
        <v>0.0659</v>
      </c>
      <c r="I326" s="10" t="n">
        <v>1</v>
      </c>
    </row>
    <row r="327">
      <c r="B327" s="6" t="n">
        <v>10071</v>
      </c>
      <c r="C327" s="7" t="n">
        <v>360000</v>
      </c>
      <c r="D327" s="6" t="n">
        <v>56</v>
      </c>
      <c r="E327" s="6" t="n">
        <v>0</v>
      </c>
      <c r="F327" s="6" t="n">
        <v>-1</v>
      </c>
      <c r="G327" s="8" t="n">
        <v>0.1672</v>
      </c>
      <c r="H327" s="8" t="n">
        <v>0.1277</v>
      </c>
      <c r="I327" s="9" t="n">
        <v>0</v>
      </c>
    </row>
    <row r="328">
      <c r="B328" s="6" t="n">
        <v>10096</v>
      </c>
      <c r="C328" s="7" t="n">
        <v>30000</v>
      </c>
      <c r="D328" s="6" t="n">
        <v>26</v>
      </c>
      <c r="E328" s="6" t="n">
        <v>0</v>
      </c>
      <c r="F328" s="6" t="n">
        <v>0</v>
      </c>
      <c r="G328" s="8" t="n">
        <v>0.267</v>
      </c>
      <c r="H328" s="8" t="n">
        <v>0.2892</v>
      </c>
      <c r="I328" s="9" t="n">
        <v>0</v>
      </c>
    </row>
    <row r="329">
      <c r="B329" s="6" t="n">
        <v>10139</v>
      </c>
      <c r="C329" s="7" t="n">
        <v>140000</v>
      </c>
      <c r="D329" s="6" t="n">
        <v>34</v>
      </c>
      <c r="E329" s="6" t="n">
        <v>0</v>
      </c>
      <c r="F329" s="6" t="n">
        <v>0</v>
      </c>
      <c r="G329" s="8" t="n">
        <v>0.1936</v>
      </c>
      <c r="H329" s="8" t="n">
        <v>0.1286</v>
      </c>
      <c r="I329" s="10" t="n">
        <v>1</v>
      </c>
    </row>
    <row r="330">
      <c r="B330" s="6" t="n">
        <v>10152</v>
      </c>
      <c r="C330" s="7" t="n">
        <v>60000</v>
      </c>
      <c r="D330" s="6" t="n">
        <v>48</v>
      </c>
      <c r="E330" s="6" t="n">
        <v>2</v>
      </c>
      <c r="F330" s="6" t="n">
        <v>3</v>
      </c>
      <c r="G330" s="8" t="n">
        <v>1.0119</v>
      </c>
      <c r="H330" s="8" t="n">
        <v>0</v>
      </c>
      <c r="I330" s="10" t="n">
        <v>1</v>
      </c>
    </row>
    <row r="331">
      <c r="B331" s="6" t="n">
        <v>10161</v>
      </c>
      <c r="C331" s="7" t="n">
        <v>500000</v>
      </c>
      <c r="D331" s="6" t="n">
        <v>30</v>
      </c>
      <c r="E331" s="6" t="n">
        <v>-1</v>
      </c>
      <c r="F331" s="6" t="n">
        <v>-1</v>
      </c>
      <c r="G331" s="8" t="n">
        <v>0.0116</v>
      </c>
      <c r="H331" s="8" t="n">
        <v>1.2431</v>
      </c>
      <c r="I331" s="9" t="n">
        <v>0</v>
      </c>
    </row>
    <row r="332">
      <c r="B332" s="6" t="n">
        <v>10177</v>
      </c>
      <c r="C332" s="7" t="n">
        <v>90000</v>
      </c>
      <c r="D332" s="6" t="n">
        <v>49</v>
      </c>
      <c r="E332" s="6" t="n">
        <v>-1</v>
      </c>
      <c r="F332" s="6" t="n">
        <v>2</v>
      </c>
      <c r="G332" s="8" t="n">
        <v>0.7709</v>
      </c>
      <c r="H332" s="8" t="n">
        <v>0.0404</v>
      </c>
      <c r="I332" s="9" t="n">
        <v>0</v>
      </c>
    </row>
    <row r="333">
      <c r="B333" s="6" t="n">
        <v>10215</v>
      </c>
      <c r="C333" s="7" t="n">
        <v>70000</v>
      </c>
      <c r="D333" s="6" t="n">
        <v>29</v>
      </c>
      <c r="E333" s="6" t="n">
        <v>0</v>
      </c>
      <c r="F333" s="6" t="n">
        <v>0</v>
      </c>
      <c r="G333" s="8" t="n">
        <v>0.979</v>
      </c>
      <c r="H333" s="8" t="n">
        <v>0.0482</v>
      </c>
      <c r="I333" s="9" t="n">
        <v>0</v>
      </c>
    </row>
    <row r="334">
      <c r="B334" s="6" t="n">
        <v>10245</v>
      </c>
      <c r="C334" s="7" t="n">
        <v>50000</v>
      </c>
      <c r="D334" s="6" t="n">
        <v>38</v>
      </c>
      <c r="E334" s="6" t="n">
        <v>0</v>
      </c>
      <c r="F334" s="6" t="n">
        <v>0</v>
      </c>
      <c r="G334" s="8" t="n">
        <v>0.6261</v>
      </c>
      <c r="H334" s="8" t="n">
        <v>0.0958</v>
      </c>
      <c r="I334" s="9" t="n">
        <v>0</v>
      </c>
    </row>
    <row r="335">
      <c r="B335" s="6" t="n">
        <v>10247</v>
      </c>
      <c r="C335" s="7" t="n">
        <v>180000</v>
      </c>
      <c r="D335" s="6" t="n">
        <v>35</v>
      </c>
      <c r="E335" s="6" t="n">
        <v>0</v>
      </c>
      <c r="F335" s="6" t="n">
        <v>0</v>
      </c>
      <c r="G335" s="8" t="n">
        <v>0.532</v>
      </c>
      <c r="H335" s="8" t="n">
        <v>0.0355</v>
      </c>
      <c r="I335" s="9" t="n">
        <v>0</v>
      </c>
    </row>
    <row r="336">
      <c r="B336" s="6" t="n">
        <v>10252</v>
      </c>
      <c r="C336" s="7" t="n">
        <v>180000</v>
      </c>
      <c r="D336" s="6" t="n">
        <v>56</v>
      </c>
      <c r="E336" s="6" t="n">
        <v>-1</v>
      </c>
      <c r="F336" s="6" t="n">
        <v>-1</v>
      </c>
      <c r="G336" s="8" t="n">
        <v>0.0024</v>
      </c>
      <c r="H336" s="8" t="n">
        <v>1</v>
      </c>
      <c r="I336" s="10" t="n">
        <v>1</v>
      </c>
    </row>
    <row r="337">
      <c r="B337" s="6" t="n">
        <v>10288</v>
      </c>
      <c r="C337" s="7" t="n">
        <v>80000</v>
      </c>
      <c r="D337" s="6" t="n">
        <v>35</v>
      </c>
      <c r="E337" s="6" t="n">
        <v>1</v>
      </c>
      <c r="F337" s="6" t="n">
        <v>-2</v>
      </c>
      <c r="G337" s="8" t="n">
        <v>0</v>
      </c>
      <c r="H337" s="8" t="n">
        <v>0</v>
      </c>
      <c r="I337" s="10" t="n">
        <v>1</v>
      </c>
    </row>
    <row r="338">
      <c r="B338" s="6" t="n">
        <v>10311</v>
      </c>
      <c r="C338" s="7" t="n">
        <v>50000</v>
      </c>
      <c r="D338" s="6" t="n">
        <v>25</v>
      </c>
      <c r="E338" s="6" t="n">
        <v>0</v>
      </c>
      <c r="F338" s="6" t="n">
        <v>0</v>
      </c>
      <c r="G338" s="8" t="n">
        <v>0.1621</v>
      </c>
      <c r="H338" s="8" t="n">
        <v>0.1234</v>
      </c>
      <c r="I338" s="9" t="n">
        <v>0</v>
      </c>
    </row>
    <row r="339">
      <c r="B339" s="6" t="n">
        <v>10325</v>
      </c>
      <c r="C339" s="7" t="n">
        <v>220000</v>
      </c>
      <c r="D339" s="6" t="n">
        <v>39</v>
      </c>
      <c r="E339" s="6" t="n">
        <v>0</v>
      </c>
      <c r="F339" s="6" t="n">
        <v>0</v>
      </c>
      <c r="G339" s="8" t="n">
        <v>0.8764</v>
      </c>
      <c r="H339" s="8" t="n">
        <v>0.1037</v>
      </c>
      <c r="I339" s="9" t="n">
        <v>0</v>
      </c>
    </row>
    <row r="340">
      <c r="B340" s="6" t="n">
        <v>10329</v>
      </c>
      <c r="C340" s="7" t="n">
        <v>110000</v>
      </c>
      <c r="D340" s="6" t="n">
        <v>32</v>
      </c>
      <c r="E340" s="6" t="n">
        <v>0</v>
      </c>
      <c r="F340" s="6" t="n">
        <v>0</v>
      </c>
      <c r="G340" s="8" t="n">
        <v>0.2805</v>
      </c>
      <c r="H340" s="8" t="n">
        <v>0.0618</v>
      </c>
      <c r="I340" s="9" t="n">
        <v>0</v>
      </c>
    </row>
    <row r="341">
      <c r="B341" s="6" t="n">
        <v>10390</v>
      </c>
      <c r="C341" s="7" t="n">
        <v>20000</v>
      </c>
      <c r="D341" s="6" t="n">
        <v>25</v>
      </c>
      <c r="E341" s="6" t="n">
        <v>2</v>
      </c>
      <c r="F341" s="6" t="n">
        <v>2</v>
      </c>
      <c r="G341" s="8" t="n">
        <v>0.0825</v>
      </c>
      <c r="H341" s="8" t="n">
        <v>0</v>
      </c>
      <c r="I341" s="10" t="n">
        <v>1</v>
      </c>
    </row>
    <row r="342">
      <c r="B342" s="6" t="n">
        <v>10440</v>
      </c>
      <c r="C342" s="7" t="n">
        <v>330000</v>
      </c>
      <c r="D342" s="6" t="n">
        <v>27</v>
      </c>
      <c r="E342" s="6" t="n">
        <v>1</v>
      </c>
      <c r="F342" s="6" t="n">
        <v>-2</v>
      </c>
      <c r="G342" s="8" t="n">
        <v>0</v>
      </c>
      <c r="H342" s="8" t="n">
        <v>0</v>
      </c>
      <c r="I342" s="10" t="n">
        <v>1</v>
      </c>
    </row>
    <row r="343">
      <c r="B343" s="6" t="n">
        <v>10452</v>
      </c>
      <c r="C343" s="7" t="n">
        <v>150000</v>
      </c>
      <c r="D343" s="6" t="n">
        <v>27</v>
      </c>
      <c r="E343" s="6" t="n">
        <v>0</v>
      </c>
      <c r="F343" s="6" t="n">
        <v>0</v>
      </c>
      <c r="G343" s="8" t="n">
        <v>0.0633</v>
      </c>
      <c r="H343" s="8" t="n">
        <v>0.2635</v>
      </c>
      <c r="I343" s="9" t="n">
        <v>0</v>
      </c>
    </row>
    <row r="344">
      <c r="B344" s="6" t="n">
        <v>10462</v>
      </c>
      <c r="C344" s="7" t="n">
        <v>220000</v>
      </c>
      <c r="D344" s="6" t="n">
        <v>36</v>
      </c>
      <c r="E344" s="6" t="n">
        <v>-1</v>
      </c>
      <c r="F344" s="6" t="n">
        <v>-1</v>
      </c>
      <c r="G344" s="8" t="n">
        <v>0.0014</v>
      </c>
      <c r="H344" s="8" t="n">
        <v>0.6515</v>
      </c>
      <c r="I344" s="9" t="n">
        <v>0</v>
      </c>
    </row>
    <row r="345">
      <c r="B345" s="6" t="n">
        <v>10494</v>
      </c>
      <c r="C345" s="7" t="n">
        <v>30000</v>
      </c>
      <c r="D345" s="6" t="n">
        <v>25</v>
      </c>
      <c r="E345" s="6" t="n">
        <v>-2</v>
      </c>
      <c r="F345" s="6" t="n">
        <v>-2</v>
      </c>
      <c r="G345" s="8" t="n">
        <v>0.0279</v>
      </c>
      <c r="H345" s="8" t="n">
        <v>1</v>
      </c>
      <c r="I345" s="9" t="n">
        <v>0</v>
      </c>
    </row>
    <row r="346">
      <c r="B346" s="6" t="n">
        <v>10533</v>
      </c>
      <c r="C346" s="7" t="n">
        <v>90000</v>
      </c>
      <c r="D346" s="6" t="n">
        <v>29</v>
      </c>
      <c r="E346" s="6" t="n">
        <v>0</v>
      </c>
      <c r="F346" s="6" t="n">
        <v>0</v>
      </c>
      <c r="G346" s="8" t="n">
        <v>0.9157</v>
      </c>
      <c r="H346" s="8" t="n">
        <v>0.09710000000000001</v>
      </c>
      <c r="I346" s="9" t="n">
        <v>0</v>
      </c>
    </row>
    <row r="347">
      <c r="B347" s="6" t="n">
        <v>10566</v>
      </c>
      <c r="C347" s="7" t="n">
        <v>60000</v>
      </c>
      <c r="D347" s="6" t="n">
        <v>24</v>
      </c>
      <c r="E347" s="6" t="n">
        <v>-1</v>
      </c>
      <c r="F347" s="6" t="n">
        <v>0</v>
      </c>
      <c r="G347" s="8" t="n">
        <v>0.9524</v>
      </c>
      <c r="H347" s="8" t="n">
        <v>0.0525</v>
      </c>
      <c r="I347" s="9" t="n">
        <v>0</v>
      </c>
    </row>
    <row r="348">
      <c r="B348" s="6" t="n">
        <v>10589</v>
      </c>
      <c r="C348" s="7" t="n">
        <v>50000</v>
      </c>
      <c r="D348" s="6" t="n">
        <v>24</v>
      </c>
      <c r="E348" s="6" t="n">
        <v>-1</v>
      </c>
      <c r="F348" s="6" t="n">
        <v>-1</v>
      </c>
      <c r="G348" s="8" t="n">
        <v>0.0314</v>
      </c>
      <c r="H348" s="8" t="n">
        <v>1</v>
      </c>
      <c r="I348" s="9" t="n">
        <v>0</v>
      </c>
    </row>
    <row r="349">
      <c r="B349" s="6" t="n">
        <v>10658</v>
      </c>
      <c r="C349" s="7" t="n">
        <v>200000</v>
      </c>
      <c r="D349" s="6" t="n">
        <v>30</v>
      </c>
      <c r="E349" s="6" t="n">
        <v>-2</v>
      </c>
      <c r="F349" s="6" t="n">
        <v>-2</v>
      </c>
      <c r="G349" s="8" t="n">
        <v>0</v>
      </c>
      <c r="H349" s="8" t="n">
        <v>0</v>
      </c>
      <c r="I349" s="9" t="n">
        <v>0</v>
      </c>
    </row>
    <row r="350">
      <c r="B350" s="6" t="n">
        <v>10714</v>
      </c>
      <c r="C350" s="7" t="n">
        <v>70000</v>
      </c>
      <c r="D350" s="6" t="n">
        <v>23</v>
      </c>
      <c r="E350" s="6" t="n">
        <v>0</v>
      </c>
      <c r="F350" s="6" t="n">
        <v>0</v>
      </c>
      <c r="G350" s="8" t="n">
        <v>0.2612</v>
      </c>
      <c r="H350" s="8" t="n">
        <v>0.0766</v>
      </c>
      <c r="I350" s="10" t="n">
        <v>1</v>
      </c>
    </row>
    <row r="351">
      <c r="B351" s="6" t="n">
        <v>10741</v>
      </c>
      <c r="C351" s="7" t="n">
        <v>360000</v>
      </c>
      <c r="D351" s="6" t="n">
        <v>63</v>
      </c>
      <c r="E351" s="6" t="n">
        <v>1</v>
      </c>
      <c r="F351" s="6" t="n">
        <v>-2</v>
      </c>
      <c r="G351" s="8" t="n">
        <v>0</v>
      </c>
      <c r="H351" s="8" t="n">
        <v>0</v>
      </c>
      <c r="I351" s="10" t="n">
        <v>1</v>
      </c>
    </row>
    <row r="352">
      <c r="B352" s="6" t="n">
        <v>10762</v>
      </c>
      <c r="C352" s="7" t="n">
        <v>180000</v>
      </c>
      <c r="D352" s="6" t="n">
        <v>27</v>
      </c>
      <c r="E352" s="6" t="n">
        <v>-1</v>
      </c>
      <c r="F352" s="6" t="n">
        <v>-1</v>
      </c>
      <c r="G352" s="8" t="n">
        <v>0.0148</v>
      </c>
      <c r="H352" s="8" t="n">
        <v>0.7577</v>
      </c>
      <c r="I352" s="10" t="n">
        <v>1</v>
      </c>
    </row>
    <row r="353">
      <c r="B353" s="6" t="n">
        <v>10823</v>
      </c>
      <c r="C353" s="7" t="n">
        <v>140000</v>
      </c>
      <c r="D353" s="6" t="n">
        <v>27</v>
      </c>
      <c r="E353" s="6" t="n">
        <v>2</v>
      </c>
      <c r="F353" s="6" t="n">
        <v>2</v>
      </c>
      <c r="G353" s="8" t="n">
        <v>0.6778999999999999</v>
      </c>
      <c r="H353" s="8" t="n">
        <v>0.0464</v>
      </c>
      <c r="I353" s="10" t="n">
        <v>1</v>
      </c>
    </row>
    <row r="354">
      <c r="B354" s="6" t="n">
        <v>10835</v>
      </c>
      <c r="C354" s="7" t="n">
        <v>270000</v>
      </c>
      <c r="D354" s="6" t="n">
        <v>52</v>
      </c>
      <c r="E354" s="6" t="n">
        <v>0</v>
      </c>
      <c r="F354" s="6" t="n">
        <v>-1</v>
      </c>
      <c r="G354" s="8" t="n">
        <v>0.06950000000000001</v>
      </c>
      <c r="H354" s="8" t="n">
        <v>0.2632</v>
      </c>
      <c r="I354" s="9" t="n">
        <v>0</v>
      </c>
    </row>
    <row r="355">
      <c r="B355" s="6" t="n">
        <v>10875</v>
      </c>
      <c r="C355" s="7" t="n">
        <v>150000</v>
      </c>
      <c r="D355" s="6" t="n">
        <v>60</v>
      </c>
      <c r="E355" s="6" t="n">
        <v>0</v>
      </c>
      <c r="F355" s="6" t="n">
        <v>0</v>
      </c>
      <c r="G355" s="8" t="n">
        <v>0.9993</v>
      </c>
      <c r="H355" s="8" t="n">
        <v>0.0452</v>
      </c>
      <c r="I355" s="10" t="n">
        <v>1</v>
      </c>
    </row>
    <row r="356">
      <c r="B356" s="6" t="n">
        <v>10888</v>
      </c>
      <c r="C356" s="7" t="n">
        <v>60000</v>
      </c>
      <c r="D356" s="6" t="n">
        <v>57</v>
      </c>
      <c r="E356" s="6" t="n">
        <v>0</v>
      </c>
      <c r="F356" s="6" t="n">
        <v>0</v>
      </c>
      <c r="G356" s="8" t="n">
        <v>0.3478</v>
      </c>
      <c r="H356" s="8" t="n">
        <v>0.0958</v>
      </c>
      <c r="I356" s="9" t="n">
        <v>0</v>
      </c>
    </row>
    <row r="357">
      <c r="B357" s="6" t="n">
        <v>10899</v>
      </c>
      <c r="C357" s="7" t="n">
        <v>200000</v>
      </c>
      <c r="D357" s="6" t="n">
        <v>41</v>
      </c>
      <c r="E357" s="6" t="n">
        <v>-1</v>
      </c>
      <c r="F357" s="6" t="n">
        <v>-1</v>
      </c>
      <c r="G357" s="8" t="n">
        <v>0.0043</v>
      </c>
      <c r="H357" s="8" t="n">
        <v>0</v>
      </c>
      <c r="I357" s="9" t="n">
        <v>0</v>
      </c>
    </row>
    <row r="358">
      <c r="B358" s="6" t="n">
        <v>10919</v>
      </c>
      <c r="C358" s="7" t="n">
        <v>260000</v>
      </c>
      <c r="D358" s="6" t="n">
        <v>36</v>
      </c>
      <c r="E358" s="6" t="n">
        <v>0</v>
      </c>
      <c r="F358" s="6" t="n">
        <v>0</v>
      </c>
      <c r="G358" s="8" t="n">
        <v>0.4117</v>
      </c>
      <c r="H358" s="8" t="n">
        <v>0.1216</v>
      </c>
      <c r="I358" s="9" t="n">
        <v>0</v>
      </c>
    </row>
    <row r="359">
      <c r="B359" s="6" t="n">
        <v>10956</v>
      </c>
      <c r="C359" s="7" t="n">
        <v>340000</v>
      </c>
      <c r="D359" s="6" t="n">
        <v>36</v>
      </c>
      <c r="E359" s="6" t="n">
        <v>0</v>
      </c>
      <c r="F359" s="6" t="n">
        <v>0</v>
      </c>
      <c r="G359" s="8" t="n">
        <v>0.2704</v>
      </c>
      <c r="H359" s="8" t="n">
        <v>0.0425</v>
      </c>
      <c r="I359" s="9" t="n">
        <v>0</v>
      </c>
    </row>
    <row r="360">
      <c r="B360" s="6" t="n">
        <v>11022</v>
      </c>
      <c r="C360" s="7" t="n">
        <v>200000</v>
      </c>
      <c r="D360" s="6" t="n">
        <v>38</v>
      </c>
      <c r="E360" s="6" t="n">
        <v>0</v>
      </c>
      <c r="F360" s="6" t="n">
        <v>0</v>
      </c>
      <c r="G360" s="8" t="n">
        <v>0.0428</v>
      </c>
      <c r="H360" s="8" t="n">
        <v>2</v>
      </c>
      <c r="I360" s="9" t="n">
        <v>0</v>
      </c>
    </row>
    <row r="361">
      <c r="B361" s="6" t="n">
        <v>11030</v>
      </c>
      <c r="C361" s="7" t="n">
        <v>20000</v>
      </c>
      <c r="D361" s="6" t="n">
        <v>30</v>
      </c>
      <c r="E361" s="6" t="n">
        <v>-1</v>
      </c>
      <c r="F361" s="6" t="n">
        <v>-1</v>
      </c>
      <c r="G361" s="8" t="n">
        <v>0.0195</v>
      </c>
      <c r="H361" s="8" t="n">
        <v>0.7333</v>
      </c>
      <c r="I361" s="9" t="n">
        <v>0</v>
      </c>
    </row>
    <row r="362">
      <c r="B362" s="6" t="n">
        <v>11090</v>
      </c>
      <c r="C362" s="7" t="n">
        <v>240000</v>
      </c>
      <c r="D362" s="6" t="n">
        <v>41</v>
      </c>
      <c r="E362" s="6" t="n">
        <v>0</v>
      </c>
      <c r="F362" s="6" t="n">
        <v>0</v>
      </c>
      <c r="G362" s="8" t="n">
        <v>0.0924</v>
      </c>
      <c r="H362" s="8" t="n">
        <v>0.3159</v>
      </c>
      <c r="I362" s="10" t="n">
        <v>1</v>
      </c>
    </row>
    <row r="363">
      <c r="B363" s="6" t="n">
        <v>11150</v>
      </c>
      <c r="C363" s="7" t="n">
        <v>70000</v>
      </c>
      <c r="D363" s="6" t="n">
        <v>62</v>
      </c>
      <c r="E363" s="6" t="n">
        <v>1</v>
      </c>
      <c r="F363" s="6" t="n">
        <v>2</v>
      </c>
      <c r="G363" s="8" t="n">
        <v>0.3519</v>
      </c>
      <c r="H363" s="8" t="n">
        <v>0.0447</v>
      </c>
      <c r="I363" s="9" t="n">
        <v>0</v>
      </c>
    </row>
    <row r="364">
      <c r="B364" s="6" t="n">
        <v>11196</v>
      </c>
      <c r="C364" s="7" t="n">
        <v>20000</v>
      </c>
      <c r="D364" s="6" t="n">
        <v>29</v>
      </c>
      <c r="E364" s="6" t="n">
        <v>0</v>
      </c>
      <c r="F364" s="6" t="n">
        <v>0</v>
      </c>
      <c r="G364" s="8" t="n">
        <v>0.5568</v>
      </c>
      <c r="H364" s="8" t="n">
        <v>0.898</v>
      </c>
      <c r="I364" s="9" t="n">
        <v>0</v>
      </c>
    </row>
    <row r="365">
      <c r="B365" s="6" t="n">
        <v>11212</v>
      </c>
      <c r="C365" s="7" t="n">
        <v>130000</v>
      </c>
      <c r="D365" s="6" t="n">
        <v>26</v>
      </c>
      <c r="E365" s="6" t="n">
        <v>2</v>
      </c>
      <c r="F365" s="6" t="n">
        <v>2</v>
      </c>
      <c r="G365" s="8" t="n">
        <v>1.0372</v>
      </c>
      <c r="H365" s="8" t="n">
        <v>0</v>
      </c>
      <c r="I365" s="10" t="n">
        <v>1</v>
      </c>
    </row>
    <row r="366">
      <c r="B366" s="6" t="n">
        <v>11214</v>
      </c>
      <c r="C366" s="7" t="n">
        <v>120000</v>
      </c>
      <c r="D366" s="6" t="n">
        <v>34</v>
      </c>
      <c r="E366" s="6" t="n">
        <v>-2</v>
      </c>
      <c r="F366" s="6" t="n">
        <v>-2</v>
      </c>
      <c r="G366" s="8" t="n">
        <v>0.0005999999999999999</v>
      </c>
      <c r="H366" s="8" t="n">
        <v>0</v>
      </c>
      <c r="I366" s="9" t="n">
        <v>0</v>
      </c>
    </row>
    <row r="367">
      <c r="B367" s="6" t="n">
        <v>11236</v>
      </c>
      <c r="C367" s="7" t="n">
        <v>260000</v>
      </c>
      <c r="D367" s="6" t="n">
        <v>31</v>
      </c>
      <c r="E367" s="6" t="n">
        <v>0</v>
      </c>
      <c r="F367" s="6" t="n">
        <v>0</v>
      </c>
      <c r="G367" s="8" t="n">
        <v>0.2402</v>
      </c>
      <c r="H367" s="8" t="n">
        <v>0.032</v>
      </c>
      <c r="I367" s="9" t="n">
        <v>0</v>
      </c>
    </row>
    <row r="368">
      <c r="B368" s="6" t="n">
        <v>11240</v>
      </c>
      <c r="C368" s="7" t="n">
        <v>180000</v>
      </c>
      <c r="D368" s="6" t="n">
        <v>26</v>
      </c>
      <c r="E368" s="6" t="n">
        <v>3</v>
      </c>
      <c r="F368" s="6" t="n">
        <v>2</v>
      </c>
      <c r="G368" s="8" t="n">
        <v>0.7207</v>
      </c>
      <c r="H368" s="8" t="n">
        <v>0.0463</v>
      </c>
      <c r="I368" s="9" t="n">
        <v>0</v>
      </c>
    </row>
    <row r="369">
      <c r="B369" s="6" t="n">
        <v>11242</v>
      </c>
      <c r="C369" s="7" t="n">
        <v>50000</v>
      </c>
      <c r="D369" s="6" t="n">
        <v>34</v>
      </c>
      <c r="E369" s="6" t="n">
        <v>0</v>
      </c>
      <c r="F369" s="6" t="n">
        <v>0</v>
      </c>
      <c r="G369" s="8" t="n">
        <v>0.8159999999999999</v>
      </c>
      <c r="H369" s="8" t="n">
        <v>0.049</v>
      </c>
      <c r="I369" s="9" t="n">
        <v>0</v>
      </c>
    </row>
    <row r="370">
      <c r="B370" s="6" t="n">
        <v>11244</v>
      </c>
      <c r="C370" s="7" t="n">
        <v>30000</v>
      </c>
      <c r="D370" s="6" t="n">
        <v>23</v>
      </c>
      <c r="E370" s="6" t="n">
        <v>4</v>
      </c>
      <c r="F370" s="6" t="n">
        <v>4</v>
      </c>
      <c r="G370" s="8" t="n">
        <v>0.9981</v>
      </c>
      <c r="H370" s="8" t="n">
        <v>0.0069</v>
      </c>
      <c r="I370" s="9" t="n">
        <v>0</v>
      </c>
    </row>
    <row r="371">
      <c r="B371" s="6" t="n">
        <v>11246</v>
      </c>
      <c r="C371" s="7" t="n">
        <v>500000</v>
      </c>
      <c r="D371" s="6" t="n">
        <v>40</v>
      </c>
      <c r="E371" s="6" t="n">
        <v>2</v>
      </c>
      <c r="F371" s="6" t="n">
        <v>2</v>
      </c>
      <c r="G371" s="8" t="n">
        <v>0.5342</v>
      </c>
      <c r="H371" s="8" t="n">
        <v>0.0378</v>
      </c>
      <c r="I371" s="10" t="n">
        <v>1</v>
      </c>
    </row>
    <row r="372">
      <c r="B372" s="6" t="n">
        <v>11347</v>
      </c>
      <c r="C372" s="7" t="n">
        <v>310000</v>
      </c>
      <c r="D372" s="6" t="n">
        <v>32</v>
      </c>
      <c r="E372" s="6" t="n">
        <v>1</v>
      </c>
      <c r="F372" s="6" t="n">
        <v>-2</v>
      </c>
      <c r="G372" s="8" t="n">
        <v>0</v>
      </c>
      <c r="H372" s="8" t="n">
        <v>0</v>
      </c>
      <c r="I372" s="9" t="n">
        <v>0</v>
      </c>
    </row>
    <row r="373">
      <c r="B373" s="6" t="n">
        <v>11354</v>
      </c>
      <c r="C373" s="7" t="n">
        <v>310000</v>
      </c>
      <c r="D373" s="6" t="n">
        <v>40</v>
      </c>
      <c r="E373" s="6" t="n">
        <v>0</v>
      </c>
      <c r="F373" s="6" t="n">
        <v>0</v>
      </c>
      <c r="G373" s="8" t="n">
        <v>0.5814</v>
      </c>
      <c r="H373" s="8" t="n">
        <v>0.0555</v>
      </c>
      <c r="I373" s="9" t="n">
        <v>0</v>
      </c>
    </row>
    <row r="374">
      <c r="B374" s="6" t="n">
        <v>11379</v>
      </c>
      <c r="C374" s="7" t="n">
        <v>180000</v>
      </c>
      <c r="D374" s="6" t="n">
        <v>25</v>
      </c>
      <c r="E374" s="6" t="n">
        <v>0</v>
      </c>
      <c r="F374" s="6" t="n">
        <v>0</v>
      </c>
      <c r="G374" s="8" t="n">
        <v>0.0235</v>
      </c>
      <c r="H374" s="8" t="n">
        <v>0.4724</v>
      </c>
      <c r="I374" s="9" t="n">
        <v>0</v>
      </c>
    </row>
    <row r="375">
      <c r="B375" s="6" t="n">
        <v>11402</v>
      </c>
      <c r="C375" s="7" t="n">
        <v>390000</v>
      </c>
      <c r="D375" s="6" t="n">
        <v>31</v>
      </c>
      <c r="E375" s="6" t="n">
        <v>0</v>
      </c>
      <c r="F375" s="6" t="n">
        <v>0</v>
      </c>
      <c r="G375" s="8" t="n">
        <v>0.1274</v>
      </c>
      <c r="H375" s="8" t="n">
        <v>0.0342</v>
      </c>
      <c r="I375" s="9" t="n">
        <v>0</v>
      </c>
    </row>
    <row r="376">
      <c r="B376" s="6" t="n">
        <v>11413</v>
      </c>
      <c r="C376" s="7" t="n">
        <v>30000</v>
      </c>
      <c r="D376" s="6" t="n">
        <v>31</v>
      </c>
      <c r="E376" s="6" t="n">
        <v>0</v>
      </c>
      <c r="F376" s="6" t="n">
        <v>0</v>
      </c>
      <c r="G376" s="8" t="n">
        <v>0.9762</v>
      </c>
      <c r="H376" s="8" t="n">
        <v>0.0621</v>
      </c>
      <c r="I376" s="9" t="n">
        <v>0</v>
      </c>
    </row>
    <row r="377">
      <c r="B377" s="6" t="n">
        <v>11421</v>
      </c>
      <c r="C377" s="7" t="n">
        <v>230000</v>
      </c>
      <c r="D377" s="6" t="n">
        <v>36</v>
      </c>
      <c r="E377" s="6" t="n">
        <v>-2</v>
      </c>
      <c r="F377" s="6" t="n">
        <v>-2</v>
      </c>
      <c r="G377" s="8" t="n">
        <v>0.0009</v>
      </c>
      <c r="H377" s="8" t="n">
        <v>2</v>
      </c>
      <c r="I377" s="10" t="n">
        <v>1</v>
      </c>
    </row>
    <row r="378">
      <c r="B378" s="6" t="n">
        <v>11512</v>
      </c>
      <c r="C378" s="7" t="n">
        <v>80000</v>
      </c>
      <c r="D378" s="6" t="n">
        <v>29</v>
      </c>
      <c r="E378" s="6" t="n">
        <v>0</v>
      </c>
      <c r="F378" s="6" t="n">
        <v>0</v>
      </c>
      <c r="G378" s="8" t="n">
        <v>0.4728</v>
      </c>
      <c r="H378" s="8" t="n">
        <v>0.0978</v>
      </c>
      <c r="I378" s="9" t="n">
        <v>0</v>
      </c>
    </row>
    <row r="379">
      <c r="B379" s="6" t="n">
        <v>11537</v>
      </c>
      <c r="C379" s="7" t="n">
        <v>200000</v>
      </c>
      <c r="D379" s="6" t="n">
        <v>38</v>
      </c>
      <c r="E379" s="6" t="n">
        <v>0</v>
      </c>
      <c r="F379" s="6" t="n">
        <v>0</v>
      </c>
      <c r="G379" s="8" t="n">
        <v>0.3024</v>
      </c>
      <c r="H379" s="8" t="n">
        <v>1.6833</v>
      </c>
      <c r="I379" s="9" t="n">
        <v>0</v>
      </c>
    </row>
    <row r="380">
      <c r="B380" s="6" t="n">
        <v>11539</v>
      </c>
      <c r="C380" s="7" t="n">
        <v>200000</v>
      </c>
      <c r="D380" s="6" t="n">
        <v>34</v>
      </c>
      <c r="E380" s="6" t="n">
        <v>1</v>
      </c>
      <c r="F380" s="6" t="n">
        <v>-2</v>
      </c>
      <c r="G380" s="8" t="n">
        <v>0</v>
      </c>
      <c r="H380" s="8" t="n">
        <v>0</v>
      </c>
      <c r="I380" s="9" t="n">
        <v>0</v>
      </c>
    </row>
    <row r="381">
      <c r="B381" s="6" t="n">
        <v>11637</v>
      </c>
      <c r="C381" s="7" t="n">
        <v>50000</v>
      </c>
      <c r="D381" s="6" t="n">
        <v>27</v>
      </c>
      <c r="E381" s="6" t="n">
        <v>0</v>
      </c>
      <c r="F381" s="6" t="n">
        <v>0</v>
      </c>
      <c r="G381" s="8" t="n">
        <v>0.9721</v>
      </c>
      <c r="H381" s="8" t="n">
        <v>0.0404</v>
      </c>
      <c r="I381" s="10" t="n">
        <v>1</v>
      </c>
    </row>
    <row r="382">
      <c r="B382" s="6" t="n">
        <v>11649</v>
      </c>
      <c r="C382" s="7" t="n">
        <v>50000</v>
      </c>
      <c r="D382" s="6" t="n">
        <v>47</v>
      </c>
      <c r="E382" s="6" t="n">
        <v>0</v>
      </c>
      <c r="F382" s="6" t="n">
        <v>0</v>
      </c>
      <c r="G382" s="8" t="n">
        <v>0.5867</v>
      </c>
      <c r="H382" s="8" t="n">
        <v>0.0559</v>
      </c>
      <c r="I382" s="9" t="n">
        <v>0</v>
      </c>
    </row>
    <row r="383">
      <c r="B383" s="6" t="n">
        <v>11711</v>
      </c>
      <c r="C383" s="7" t="n">
        <v>140000</v>
      </c>
      <c r="D383" s="6" t="n">
        <v>38</v>
      </c>
      <c r="E383" s="6" t="n">
        <v>0</v>
      </c>
      <c r="F383" s="6" t="n">
        <v>0</v>
      </c>
      <c r="G383" s="8" t="n">
        <v>0.1103</v>
      </c>
      <c r="H383" s="8" t="n">
        <v>0.1697</v>
      </c>
      <c r="I383" s="9" t="n">
        <v>0</v>
      </c>
    </row>
    <row r="384">
      <c r="B384" s="6" t="n">
        <v>11712</v>
      </c>
      <c r="C384" s="7" t="n">
        <v>150000</v>
      </c>
      <c r="D384" s="6" t="n">
        <v>27</v>
      </c>
      <c r="E384" s="6" t="n">
        <v>0</v>
      </c>
      <c r="F384" s="6" t="n">
        <v>0</v>
      </c>
      <c r="G384" s="8" t="n">
        <v>0.4107</v>
      </c>
      <c r="H384" s="8" t="n">
        <v>0.08119999999999999</v>
      </c>
      <c r="I384" s="9" t="n">
        <v>0</v>
      </c>
    </row>
    <row r="385">
      <c r="B385" s="6" t="n">
        <v>11722</v>
      </c>
      <c r="C385" s="7" t="n">
        <v>500000</v>
      </c>
      <c r="D385" s="6" t="n">
        <v>48</v>
      </c>
      <c r="E385" s="6" t="n">
        <v>-1</v>
      </c>
      <c r="F385" s="6" t="n">
        <v>0</v>
      </c>
      <c r="G385" s="8" t="n">
        <v>0.5469000000000001</v>
      </c>
      <c r="H385" s="8" t="n">
        <v>0.0355</v>
      </c>
      <c r="I385" s="9" t="n">
        <v>0</v>
      </c>
    </row>
    <row r="386">
      <c r="B386" s="6" t="n">
        <v>11757</v>
      </c>
      <c r="C386" s="7" t="n">
        <v>30000</v>
      </c>
      <c r="D386" s="6" t="n">
        <v>45</v>
      </c>
      <c r="E386" s="6" t="n">
        <v>0</v>
      </c>
      <c r="F386" s="6" t="n">
        <v>-1</v>
      </c>
      <c r="G386" s="8" t="n">
        <v>0.113</v>
      </c>
      <c r="H386" s="8" t="n">
        <v>0.115</v>
      </c>
      <c r="I386" s="9" t="n">
        <v>0</v>
      </c>
    </row>
    <row r="387">
      <c r="B387" s="6" t="n">
        <v>11785</v>
      </c>
      <c r="C387" s="7" t="n">
        <v>10000</v>
      </c>
      <c r="D387" s="6" t="n">
        <v>23</v>
      </c>
      <c r="E387" s="6" t="n">
        <v>0</v>
      </c>
      <c r="F387" s="6" t="n">
        <v>0</v>
      </c>
      <c r="G387" s="8" t="n">
        <v>0.3035</v>
      </c>
      <c r="H387" s="8" t="n">
        <v>0.9885</v>
      </c>
      <c r="I387" s="9" t="n">
        <v>0</v>
      </c>
    </row>
    <row r="388">
      <c r="B388" s="6" t="n">
        <v>11821</v>
      </c>
      <c r="C388" s="7" t="n">
        <v>170000</v>
      </c>
      <c r="D388" s="6" t="n">
        <v>36</v>
      </c>
      <c r="E388" s="6" t="n">
        <v>-1</v>
      </c>
      <c r="F388" s="6" t="n">
        <v>-1</v>
      </c>
      <c r="G388" s="8" t="n">
        <v>0.0153</v>
      </c>
      <c r="H388" s="8" t="n">
        <v>2</v>
      </c>
      <c r="I388" s="9" t="n">
        <v>0</v>
      </c>
    </row>
    <row r="389">
      <c r="B389" s="6" t="n">
        <v>11842</v>
      </c>
      <c r="C389" s="7" t="n">
        <v>370000</v>
      </c>
      <c r="D389" s="6" t="n">
        <v>45</v>
      </c>
      <c r="E389" s="6" t="n">
        <v>0</v>
      </c>
      <c r="F389" s="6" t="n">
        <v>0</v>
      </c>
      <c r="G389" s="8" t="n">
        <v>0.4393</v>
      </c>
      <c r="H389" s="8" t="n">
        <v>0.0615</v>
      </c>
      <c r="I389" s="9" t="n">
        <v>0</v>
      </c>
    </row>
    <row r="390">
      <c r="B390" s="6" t="n">
        <v>11850</v>
      </c>
      <c r="C390" s="7" t="n">
        <v>260000</v>
      </c>
      <c r="D390" s="6" t="n">
        <v>53</v>
      </c>
      <c r="E390" s="6" t="n">
        <v>-1</v>
      </c>
      <c r="F390" s="6" t="n">
        <v>3</v>
      </c>
      <c r="G390" s="8" t="n">
        <v>0.0052</v>
      </c>
      <c r="H390" s="8" t="n">
        <v>0</v>
      </c>
      <c r="I390" s="9" t="n">
        <v>0</v>
      </c>
    </row>
    <row r="391">
      <c r="B391" s="6" t="n">
        <v>11851</v>
      </c>
      <c r="C391" s="7" t="n">
        <v>80000</v>
      </c>
      <c r="D391" s="6" t="n">
        <v>28</v>
      </c>
      <c r="E391" s="6" t="n">
        <v>-1</v>
      </c>
      <c r="F391" s="6" t="n">
        <v>-1</v>
      </c>
      <c r="G391" s="8" t="n">
        <v>0.0049</v>
      </c>
      <c r="H391" s="8" t="n">
        <v>1</v>
      </c>
      <c r="I391" s="10" t="n">
        <v>1</v>
      </c>
    </row>
    <row r="392">
      <c r="B392" s="6" t="n">
        <v>11883</v>
      </c>
      <c r="C392" s="7" t="n">
        <v>50000</v>
      </c>
      <c r="D392" s="6" t="n">
        <v>38</v>
      </c>
      <c r="E392" s="6" t="n">
        <v>0</v>
      </c>
      <c r="F392" s="6" t="n">
        <v>0</v>
      </c>
      <c r="G392" s="8" t="n">
        <v>0.4382</v>
      </c>
      <c r="H392" s="8" t="n">
        <v>0.0769</v>
      </c>
      <c r="I392" s="9" t="n">
        <v>0</v>
      </c>
    </row>
    <row r="393">
      <c r="B393" s="6" t="n">
        <v>11890</v>
      </c>
      <c r="C393" s="7" t="n">
        <v>30000</v>
      </c>
      <c r="D393" s="6" t="n">
        <v>22</v>
      </c>
      <c r="E393" s="6" t="n">
        <v>-2</v>
      </c>
      <c r="F393" s="6" t="n">
        <v>-2</v>
      </c>
      <c r="G393" s="8" t="n">
        <v>0</v>
      </c>
      <c r="H393" s="8" t="n">
        <v>0</v>
      </c>
      <c r="I393" s="9" t="n">
        <v>0</v>
      </c>
    </row>
    <row r="394">
      <c r="B394" s="6" t="n">
        <v>11897</v>
      </c>
      <c r="C394" s="7" t="n">
        <v>250000</v>
      </c>
      <c r="D394" s="6" t="n">
        <v>26</v>
      </c>
      <c r="E394" s="6" t="n">
        <v>0</v>
      </c>
      <c r="F394" s="6" t="n">
        <v>0</v>
      </c>
      <c r="G394" s="8" t="n">
        <v>0.7541</v>
      </c>
      <c r="H394" s="8" t="n">
        <v>0.0371</v>
      </c>
      <c r="I394" s="9" t="n">
        <v>0</v>
      </c>
    </row>
    <row r="395">
      <c r="B395" s="6" t="n">
        <v>11923</v>
      </c>
      <c r="C395" s="7" t="n">
        <v>70000</v>
      </c>
      <c r="D395" s="6" t="n">
        <v>35</v>
      </c>
      <c r="E395" s="6" t="n">
        <v>0</v>
      </c>
      <c r="F395" s="6" t="n">
        <v>0</v>
      </c>
      <c r="G395" s="8" t="n">
        <v>0.4644</v>
      </c>
      <c r="H395" s="8" t="n">
        <v>0.09229999999999999</v>
      </c>
      <c r="I395" s="9" t="n">
        <v>0</v>
      </c>
    </row>
    <row r="396">
      <c r="B396" s="6" t="n">
        <v>11937</v>
      </c>
      <c r="C396" s="7" t="n">
        <v>50000</v>
      </c>
      <c r="D396" s="6" t="n">
        <v>49</v>
      </c>
      <c r="E396" s="6" t="n">
        <v>-1</v>
      </c>
      <c r="F396" s="6" t="n">
        <v>-1</v>
      </c>
      <c r="G396" s="8" t="n">
        <v>0.0625</v>
      </c>
      <c r="H396" s="8" t="n">
        <v>2</v>
      </c>
      <c r="I396" s="9" t="n">
        <v>0</v>
      </c>
    </row>
    <row r="397">
      <c r="B397" s="6" t="n">
        <v>11943</v>
      </c>
      <c r="C397" s="7" t="n">
        <v>50000</v>
      </c>
      <c r="D397" s="6" t="n">
        <v>50</v>
      </c>
      <c r="E397" s="6" t="n">
        <v>1</v>
      </c>
      <c r="F397" s="6" t="n">
        <v>2</v>
      </c>
      <c r="G397" s="8" t="n">
        <v>0.08890000000000001</v>
      </c>
      <c r="H397" s="8" t="n">
        <v>0</v>
      </c>
      <c r="I397" s="9" t="n">
        <v>0</v>
      </c>
    </row>
    <row r="398">
      <c r="B398" s="6" t="n">
        <v>11958</v>
      </c>
      <c r="C398" s="7" t="n">
        <v>230000</v>
      </c>
      <c r="D398" s="6" t="n">
        <v>48</v>
      </c>
      <c r="E398" s="6" t="n">
        <v>-1</v>
      </c>
      <c r="F398" s="6" t="n">
        <v>-1</v>
      </c>
      <c r="G398" s="8" t="n">
        <v>0.0022</v>
      </c>
      <c r="H398" s="8" t="n">
        <v>2</v>
      </c>
      <c r="I398" s="9" t="n">
        <v>0</v>
      </c>
    </row>
    <row r="399">
      <c r="B399" s="6" t="n">
        <v>12009</v>
      </c>
      <c r="C399" s="7" t="n">
        <v>20000</v>
      </c>
      <c r="D399" s="6" t="n">
        <v>24</v>
      </c>
      <c r="E399" s="6" t="n">
        <v>0</v>
      </c>
      <c r="F399" s="6" t="n">
        <v>0</v>
      </c>
      <c r="G399" s="8" t="n">
        <v>0.8574000000000001</v>
      </c>
      <c r="H399" s="8" t="n">
        <v>0.09909999999999999</v>
      </c>
      <c r="I399" s="9" t="n">
        <v>0</v>
      </c>
    </row>
    <row r="400">
      <c r="B400" s="6" t="n">
        <v>12053</v>
      </c>
      <c r="C400" s="7" t="n">
        <v>80000</v>
      </c>
      <c r="D400" s="6" t="n">
        <v>37</v>
      </c>
      <c r="E400" s="6" t="n">
        <v>0</v>
      </c>
      <c r="F400" s="6" t="n">
        <v>0</v>
      </c>
      <c r="G400" s="8" t="n">
        <v>0.498</v>
      </c>
      <c r="H400" s="8" t="n">
        <v>0.0427</v>
      </c>
      <c r="I400" s="9" t="n">
        <v>0</v>
      </c>
    </row>
    <row r="401">
      <c r="B401" s="6" t="n">
        <v>12164</v>
      </c>
      <c r="C401" s="7" t="n">
        <v>50000</v>
      </c>
      <c r="D401" s="6" t="n">
        <v>42</v>
      </c>
      <c r="E401" s="6" t="n">
        <v>1</v>
      </c>
      <c r="F401" s="6" t="n">
        <v>2</v>
      </c>
      <c r="G401" s="8" t="n">
        <v>0.887</v>
      </c>
      <c r="H401" s="8" t="n">
        <v>0</v>
      </c>
      <c r="I401" s="9" t="n">
        <v>0</v>
      </c>
    </row>
    <row r="402">
      <c r="B402" s="6" t="n">
        <v>12195</v>
      </c>
      <c r="C402" s="7" t="n">
        <v>40000</v>
      </c>
      <c r="D402" s="6" t="n">
        <v>25</v>
      </c>
      <c r="E402" s="6" t="n">
        <v>-1</v>
      </c>
      <c r="F402" s="6" t="n">
        <v>-1</v>
      </c>
      <c r="G402" s="8" t="n">
        <v>0.0486</v>
      </c>
      <c r="H402" s="8" t="n">
        <v>2</v>
      </c>
      <c r="I402" s="10" t="n">
        <v>1</v>
      </c>
    </row>
    <row r="403">
      <c r="B403" s="6" t="n">
        <v>12243</v>
      </c>
      <c r="C403" s="7" t="n">
        <v>250000</v>
      </c>
      <c r="D403" s="6" t="n">
        <v>35</v>
      </c>
      <c r="E403" s="6" t="n">
        <v>0</v>
      </c>
      <c r="F403" s="6" t="n">
        <v>0</v>
      </c>
      <c r="G403" s="8" t="n">
        <v>0.9668</v>
      </c>
      <c r="H403" s="8" t="n">
        <v>0.031</v>
      </c>
      <c r="I403" s="9" t="n">
        <v>0</v>
      </c>
    </row>
    <row r="404">
      <c r="B404" s="6" t="n">
        <v>12248</v>
      </c>
      <c r="C404" s="7" t="n">
        <v>80000</v>
      </c>
      <c r="D404" s="6" t="n">
        <v>25</v>
      </c>
      <c r="E404" s="6" t="n">
        <v>0</v>
      </c>
      <c r="F404" s="6" t="n">
        <v>0</v>
      </c>
      <c r="G404" s="8" t="n">
        <v>0.2589</v>
      </c>
      <c r="H404" s="8" t="n">
        <v>0.3161</v>
      </c>
      <c r="I404" s="9" t="n">
        <v>0</v>
      </c>
    </row>
    <row r="405">
      <c r="B405" s="6" t="n">
        <v>12255</v>
      </c>
      <c r="C405" s="7" t="n">
        <v>110000</v>
      </c>
      <c r="D405" s="6" t="n">
        <v>34</v>
      </c>
      <c r="E405" s="6" t="n">
        <v>-1</v>
      </c>
      <c r="F405" s="6" t="n">
        <v>-1</v>
      </c>
      <c r="G405" s="8" t="n">
        <v>0.1446</v>
      </c>
      <c r="H405" s="8" t="n">
        <v>0.2523</v>
      </c>
      <c r="I405" s="9" t="n">
        <v>0</v>
      </c>
    </row>
    <row r="406">
      <c r="B406" s="6" t="n">
        <v>12286</v>
      </c>
      <c r="C406" s="7" t="n">
        <v>110000</v>
      </c>
      <c r="D406" s="6" t="n">
        <v>35</v>
      </c>
      <c r="E406" s="6" t="n">
        <v>0</v>
      </c>
      <c r="F406" s="6" t="n">
        <v>0</v>
      </c>
      <c r="G406" s="8" t="n">
        <v>1.1429</v>
      </c>
      <c r="H406" s="8" t="n">
        <v>0.0343</v>
      </c>
      <c r="I406" s="9" t="n">
        <v>0</v>
      </c>
    </row>
    <row r="407">
      <c r="B407" s="6" t="n">
        <v>12309</v>
      </c>
      <c r="C407" s="7" t="n">
        <v>90000</v>
      </c>
      <c r="D407" s="6" t="n">
        <v>35</v>
      </c>
      <c r="E407" s="6" t="n">
        <v>0</v>
      </c>
      <c r="F407" s="6" t="n">
        <v>0</v>
      </c>
      <c r="G407" s="8" t="n">
        <v>0.2519</v>
      </c>
      <c r="H407" s="8" t="n">
        <v>0.0591</v>
      </c>
      <c r="I407" s="9" t="n">
        <v>0</v>
      </c>
    </row>
    <row r="408">
      <c r="B408" s="6" t="n">
        <v>12321</v>
      </c>
      <c r="C408" s="7" t="n">
        <v>210000</v>
      </c>
      <c r="D408" s="6" t="n">
        <v>40</v>
      </c>
      <c r="E408" s="6" t="n">
        <v>0</v>
      </c>
      <c r="F408" s="6" t="n">
        <v>0</v>
      </c>
      <c r="G408" s="8" t="n">
        <v>0.6232</v>
      </c>
      <c r="H408" s="8" t="n">
        <v>0.08989999999999999</v>
      </c>
      <c r="I408" s="9" t="n">
        <v>0</v>
      </c>
    </row>
    <row r="409">
      <c r="B409" s="6" t="n">
        <v>12330</v>
      </c>
      <c r="C409" s="7" t="n">
        <v>60000</v>
      </c>
      <c r="D409" s="6" t="n">
        <v>36</v>
      </c>
      <c r="E409" s="6" t="n">
        <v>-1</v>
      </c>
      <c r="F409" s="6" t="n">
        <v>2</v>
      </c>
      <c r="G409" s="8" t="n">
        <v>0.0355</v>
      </c>
      <c r="H409" s="8" t="n">
        <v>0</v>
      </c>
      <c r="I409" s="10" t="n">
        <v>1</v>
      </c>
    </row>
    <row r="410">
      <c r="B410" s="6" t="n">
        <v>12337</v>
      </c>
      <c r="C410" s="7" t="n">
        <v>50000</v>
      </c>
      <c r="D410" s="6" t="n">
        <v>38</v>
      </c>
      <c r="E410" s="6" t="n">
        <v>0</v>
      </c>
      <c r="F410" s="6" t="n">
        <v>0</v>
      </c>
      <c r="G410" s="8" t="n">
        <v>0.4436</v>
      </c>
      <c r="H410" s="8" t="n">
        <v>0.0767</v>
      </c>
      <c r="I410" s="9" t="n">
        <v>0</v>
      </c>
    </row>
    <row r="411">
      <c r="B411" s="6" t="n">
        <v>12377</v>
      </c>
      <c r="C411" s="7" t="n">
        <v>100000</v>
      </c>
      <c r="D411" s="6" t="n">
        <v>27</v>
      </c>
      <c r="E411" s="6" t="n">
        <v>0</v>
      </c>
      <c r="F411" s="6" t="n">
        <v>0</v>
      </c>
      <c r="G411" s="8" t="n">
        <v>1.0044</v>
      </c>
      <c r="H411" s="8" t="n">
        <v>0.0498</v>
      </c>
      <c r="I411" s="9" t="n">
        <v>0</v>
      </c>
    </row>
    <row r="412">
      <c r="B412" s="6" t="n">
        <v>12646</v>
      </c>
      <c r="C412" s="7" t="n">
        <v>230000</v>
      </c>
      <c r="D412" s="6" t="n">
        <v>27</v>
      </c>
      <c r="E412" s="6" t="n">
        <v>0</v>
      </c>
      <c r="F412" s="6" t="n">
        <v>0</v>
      </c>
      <c r="G412" s="8" t="n">
        <v>0.9951</v>
      </c>
      <c r="H412" s="8" t="n">
        <v>0.0387</v>
      </c>
      <c r="I412" s="9" t="n">
        <v>0</v>
      </c>
    </row>
    <row r="413">
      <c r="B413" s="6" t="n">
        <v>12683</v>
      </c>
      <c r="C413" s="7" t="n">
        <v>30000</v>
      </c>
      <c r="D413" s="6" t="n">
        <v>41</v>
      </c>
      <c r="E413" s="6" t="n">
        <v>1</v>
      </c>
      <c r="F413" s="6" t="n">
        <v>-1</v>
      </c>
      <c r="G413" s="8" t="n">
        <v>0.2749</v>
      </c>
      <c r="H413" s="8" t="n">
        <v>1.9962</v>
      </c>
      <c r="I413" s="9" t="n">
        <v>0</v>
      </c>
    </row>
    <row r="414">
      <c r="B414" s="6" t="n">
        <v>12721</v>
      </c>
      <c r="C414" s="7" t="n">
        <v>20000</v>
      </c>
      <c r="D414" s="6" t="n">
        <v>32</v>
      </c>
      <c r="E414" s="6" t="n">
        <v>0</v>
      </c>
      <c r="F414" s="6" t="n">
        <v>0</v>
      </c>
      <c r="G414" s="8" t="n">
        <v>0.7331</v>
      </c>
      <c r="H414" s="8" t="n">
        <v>0.1023</v>
      </c>
      <c r="I414" s="9" t="n">
        <v>0</v>
      </c>
    </row>
    <row r="415">
      <c r="B415" s="6" t="n">
        <v>12727</v>
      </c>
      <c r="C415" s="7" t="n">
        <v>200000</v>
      </c>
      <c r="D415" s="6" t="n">
        <v>28</v>
      </c>
      <c r="E415" s="6" t="n">
        <v>-1</v>
      </c>
      <c r="F415" s="6" t="n">
        <v>-1</v>
      </c>
      <c r="G415" s="8" t="n">
        <v>0.0017</v>
      </c>
      <c r="H415" s="8" t="n">
        <v>2</v>
      </c>
      <c r="I415" s="9" t="n">
        <v>0</v>
      </c>
    </row>
    <row r="416">
      <c r="B416" s="6" t="n">
        <v>12773</v>
      </c>
      <c r="C416" s="7" t="n">
        <v>70000</v>
      </c>
      <c r="D416" s="6" t="n">
        <v>36</v>
      </c>
      <c r="E416" s="6" t="n">
        <v>-1</v>
      </c>
      <c r="F416" s="6" t="n">
        <v>2</v>
      </c>
      <c r="G416" s="8" t="n">
        <v>0.0165</v>
      </c>
      <c r="H416" s="8" t="n">
        <v>1.7682</v>
      </c>
      <c r="I416" s="10" t="n">
        <v>1</v>
      </c>
    </row>
    <row r="417">
      <c r="B417" s="6" t="n">
        <v>12797</v>
      </c>
      <c r="C417" s="7" t="n">
        <v>20000</v>
      </c>
      <c r="D417" s="6" t="n">
        <v>28</v>
      </c>
      <c r="E417" s="6" t="n">
        <v>1</v>
      </c>
      <c r="F417" s="6" t="n">
        <v>2</v>
      </c>
      <c r="G417" s="8" t="n">
        <v>0.2826</v>
      </c>
      <c r="H417" s="8" t="n">
        <v>0</v>
      </c>
      <c r="I417" s="10" t="n">
        <v>1</v>
      </c>
    </row>
    <row r="418">
      <c r="B418" s="6" t="n">
        <v>12799</v>
      </c>
      <c r="C418" s="7" t="n">
        <v>100000</v>
      </c>
      <c r="D418" s="6" t="n">
        <v>30</v>
      </c>
      <c r="E418" s="6" t="n">
        <v>1</v>
      </c>
      <c r="F418" s="6" t="n">
        <v>2</v>
      </c>
      <c r="G418" s="8" t="n">
        <v>1.0503</v>
      </c>
      <c r="H418" s="8" t="n">
        <v>0</v>
      </c>
      <c r="I418" s="9" t="n">
        <v>0</v>
      </c>
    </row>
    <row r="419">
      <c r="B419" s="6" t="n">
        <v>12801</v>
      </c>
      <c r="C419" s="7" t="n">
        <v>10000</v>
      </c>
      <c r="D419" s="6" t="n">
        <v>36</v>
      </c>
      <c r="E419" s="6" t="n">
        <v>0</v>
      </c>
      <c r="F419" s="6" t="n">
        <v>0</v>
      </c>
      <c r="G419" s="8" t="n">
        <v>0.647</v>
      </c>
      <c r="H419" s="8" t="n">
        <v>0.1855</v>
      </c>
      <c r="I419" s="10" t="n">
        <v>1</v>
      </c>
    </row>
    <row r="420">
      <c r="B420" s="6" t="n">
        <v>12811</v>
      </c>
      <c r="C420" s="7" t="n">
        <v>50000</v>
      </c>
      <c r="D420" s="6" t="n">
        <v>25</v>
      </c>
      <c r="E420" s="6" t="n">
        <v>1</v>
      </c>
      <c r="F420" s="6" t="n">
        <v>3</v>
      </c>
      <c r="G420" s="8" t="n">
        <v>0.5558999999999999</v>
      </c>
      <c r="H420" s="8" t="n">
        <v>0</v>
      </c>
      <c r="I420" s="10" t="n">
        <v>1</v>
      </c>
    </row>
    <row r="421">
      <c r="B421" s="6" t="n">
        <v>12829</v>
      </c>
      <c r="C421" s="7" t="n">
        <v>100000</v>
      </c>
      <c r="D421" s="6" t="n">
        <v>25</v>
      </c>
      <c r="E421" s="6" t="n">
        <v>2</v>
      </c>
      <c r="F421" s="6" t="n">
        <v>2</v>
      </c>
      <c r="G421" s="8" t="n">
        <v>1</v>
      </c>
      <c r="H421" s="8" t="n">
        <v>0</v>
      </c>
      <c r="I421" s="9" t="n">
        <v>0</v>
      </c>
    </row>
    <row r="422">
      <c r="B422" s="6" t="n">
        <v>12874</v>
      </c>
      <c r="C422" s="7" t="n">
        <v>20000</v>
      </c>
      <c r="D422" s="6" t="n">
        <v>25</v>
      </c>
      <c r="E422" s="6" t="n">
        <v>0</v>
      </c>
      <c r="F422" s="6" t="n">
        <v>0</v>
      </c>
      <c r="G422" s="8" t="n">
        <v>0.9896</v>
      </c>
      <c r="H422" s="8" t="n">
        <v>0.0969</v>
      </c>
      <c r="I422" s="10" t="n">
        <v>1</v>
      </c>
    </row>
    <row r="423">
      <c r="B423" s="6" t="n">
        <v>12882</v>
      </c>
      <c r="C423" s="7" t="n">
        <v>70000</v>
      </c>
      <c r="D423" s="6" t="n">
        <v>40</v>
      </c>
      <c r="E423" s="6" t="n">
        <v>0</v>
      </c>
      <c r="F423" s="6" t="n">
        <v>0</v>
      </c>
      <c r="G423" s="8" t="n">
        <v>0.1846</v>
      </c>
      <c r="H423" s="8" t="n">
        <v>0.2012</v>
      </c>
      <c r="I423" s="9" t="n">
        <v>0</v>
      </c>
    </row>
    <row r="424">
      <c r="B424" s="6" t="n">
        <v>12890</v>
      </c>
      <c r="C424" s="7" t="n">
        <v>260000</v>
      </c>
      <c r="D424" s="6" t="n">
        <v>44</v>
      </c>
      <c r="E424" s="6" t="n">
        <v>0</v>
      </c>
      <c r="F424" s="6" t="n">
        <v>0</v>
      </c>
      <c r="G424" s="8" t="n">
        <v>0.3814</v>
      </c>
      <c r="H424" s="8" t="n">
        <v>0.0228</v>
      </c>
      <c r="I424" s="9" t="n">
        <v>0</v>
      </c>
    </row>
    <row r="425">
      <c r="B425" s="6" t="n">
        <v>12931</v>
      </c>
      <c r="C425" s="7" t="n">
        <v>50000</v>
      </c>
      <c r="D425" s="6" t="n">
        <v>24</v>
      </c>
      <c r="E425" s="6" t="n">
        <v>0</v>
      </c>
      <c r="F425" s="6" t="n">
        <v>0</v>
      </c>
      <c r="G425" s="8" t="n">
        <v>0.5919</v>
      </c>
      <c r="H425" s="8" t="n">
        <v>0.1014</v>
      </c>
      <c r="I425" s="10" t="n">
        <v>1</v>
      </c>
    </row>
    <row r="426">
      <c r="B426" s="6" t="n">
        <v>12960</v>
      </c>
      <c r="C426" s="7" t="n">
        <v>150000</v>
      </c>
      <c r="D426" s="6" t="n">
        <v>25</v>
      </c>
      <c r="E426" s="6" t="n">
        <v>0</v>
      </c>
      <c r="F426" s="6" t="n">
        <v>0</v>
      </c>
      <c r="G426" s="8" t="n">
        <v>0.1988</v>
      </c>
      <c r="H426" s="8" t="n">
        <v>0.0547</v>
      </c>
      <c r="I426" s="9" t="n">
        <v>0</v>
      </c>
    </row>
    <row r="427">
      <c r="B427" s="6" t="n">
        <v>12974</v>
      </c>
      <c r="C427" s="7" t="n">
        <v>250000</v>
      </c>
      <c r="D427" s="6" t="n">
        <v>29</v>
      </c>
      <c r="E427" s="6" t="n">
        <v>-1</v>
      </c>
      <c r="F427" s="6" t="n">
        <v>-1</v>
      </c>
      <c r="G427" s="8" t="n">
        <v>0.0021</v>
      </c>
      <c r="H427" s="8" t="n">
        <v>2</v>
      </c>
      <c r="I427" s="9" t="n">
        <v>0</v>
      </c>
    </row>
    <row r="428">
      <c r="B428" s="6" t="n">
        <v>12990</v>
      </c>
      <c r="C428" s="7" t="n">
        <v>100000</v>
      </c>
      <c r="D428" s="6" t="n">
        <v>36</v>
      </c>
      <c r="E428" s="6" t="n">
        <v>-1</v>
      </c>
      <c r="F428" s="6" t="n">
        <v>-1</v>
      </c>
      <c r="G428" s="8" t="n">
        <v>0.1489</v>
      </c>
      <c r="H428" s="8" t="n">
        <v>0</v>
      </c>
      <c r="I428" s="9" t="n">
        <v>0</v>
      </c>
    </row>
    <row r="429">
      <c r="B429" s="6" t="n">
        <v>13007</v>
      </c>
      <c r="C429" s="7" t="n">
        <v>80000</v>
      </c>
      <c r="D429" s="6" t="n">
        <v>24</v>
      </c>
      <c r="E429" s="6" t="n">
        <v>-1</v>
      </c>
      <c r="F429" s="6" t="n">
        <v>-1</v>
      </c>
      <c r="G429" s="8" t="n">
        <v>0.0049</v>
      </c>
      <c r="H429" s="8" t="n">
        <v>2</v>
      </c>
      <c r="I429" s="9" t="n">
        <v>0</v>
      </c>
    </row>
    <row r="430">
      <c r="B430" s="6" t="n">
        <v>13014</v>
      </c>
      <c r="C430" s="7" t="n">
        <v>280000</v>
      </c>
      <c r="D430" s="6" t="n">
        <v>43</v>
      </c>
      <c r="E430" s="6" t="n">
        <v>-1</v>
      </c>
      <c r="F430" s="6" t="n">
        <v>2</v>
      </c>
      <c r="G430" s="8" t="n">
        <v>0.0149</v>
      </c>
      <c r="H430" s="8" t="n">
        <v>0</v>
      </c>
      <c r="I430" s="9" t="n">
        <v>0</v>
      </c>
    </row>
    <row r="431">
      <c r="B431" s="6" t="n">
        <v>13024</v>
      </c>
      <c r="C431" s="7" t="n">
        <v>80000</v>
      </c>
      <c r="D431" s="6" t="n">
        <v>28</v>
      </c>
      <c r="E431" s="6" t="n">
        <v>0</v>
      </c>
      <c r="F431" s="6" t="n">
        <v>0</v>
      </c>
      <c r="G431" s="8" t="n">
        <v>0.9804</v>
      </c>
      <c r="H431" s="8" t="n">
        <v>0</v>
      </c>
      <c r="I431" s="9" t="n">
        <v>0</v>
      </c>
    </row>
    <row r="432">
      <c r="B432" s="6" t="n">
        <v>13036</v>
      </c>
      <c r="C432" s="7" t="n">
        <v>130000</v>
      </c>
      <c r="D432" s="6" t="n">
        <v>45</v>
      </c>
      <c r="E432" s="6" t="n">
        <v>-1</v>
      </c>
      <c r="F432" s="6" t="n">
        <v>-1</v>
      </c>
      <c r="G432" s="8" t="n">
        <v>0.003</v>
      </c>
      <c r="H432" s="8" t="n">
        <v>1</v>
      </c>
      <c r="I432" s="10" t="n">
        <v>1</v>
      </c>
    </row>
    <row r="433">
      <c r="B433" s="6" t="n">
        <v>13048</v>
      </c>
      <c r="C433" s="7" t="n">
        <v>350000</v>
      </c>
      <c r="D433" s="6" t="n">
        <v>50</v>
      </c>
      <c r="E433" s="6" t="n">
        <v>-1</v>
      </c>
      <c r="F433" s="6" t="n">
        <v>-1</v>
      </c>
      <c r="G433" s="8" t="n">
        <v>0.1173</v>
      </c>
      <c r="H433" s="8" t="n">
        <v>0.0077</v>
      </c>
      <c r="I433" s="9" t="n">
        <v>0</v>
      </c>
    </row>
    <row r="434">
      <c r="B434" s="6" t="n">
        <v>13064</v>
      </c>
      <c r="C434" s="7" t="n">
        <v>90000</v>
      </c>
      <c r="D434" s="6" t="n">
        <v>31</v>
      </c>
      <c r="E434" s="6" t="n">
        <v>0</v>
      </c>
      <c r="F434" s="6" t="n">
        <v>0</v>
      </c>
      <c r="G434" s="8" t="n">
        <v>0.8822</v>
      </c>
      <c r="H434" s="8" t="n">
        <v>0.0372</v>
      </c>
      <c r="I434" s="10" t="n">
        <v>1</v>
      </c>
    </row>
    <row r="435">
      <c r="B435" s="6" t="n">
        <v>13101</v>
      </c>
      <c r="C435" s="7" t="n">
        <v>60000</v>
      </c>
      <c r="D435" s="6" t="n">
        <v>35</v>
      </c>
      <c r="E435" s="6" t="n">
        <v>1</v>
      </c>
      <c r="F435" s="6" t="n">
        <v>2</v>
      </c>
      <c r="G435" s="8" t="n">
        <v>0.0934</v>
      </c>
      <c r="H435" s="8" t="n">
        <v>0</v>
      </c>
      <c r="I435" s="9" t="n">
        <v>0</v>
      </c>
    </row>
    <row r="436">
      <c r="B436" s="6" t="n">
        <v>13154</v>
      </c>
      <c r="C436" s="7" t="n">
        <v>150000</v>
      </c>
      <c r="D436" s="6" t="n">
        <v>39</v>
      </c>
      <c r="E436" s="6" t="n">
        <v>2</v>
      </c>
      <c r="F436" s="6" t="n">
        <v>2</v>
      </c>
      <c r="G436" s="8" t="n">
        <v>1.0448</v>
      </c>
      <c r="H436" s="8" t="n">
        <v>0</v>
      </c>
      <c r="I436" s="10" t="n">
        <v>1</v>
      </c>
    </row>
    <row r="437">
      <c r="B437" s="6" t="n">
        <v>13194</v>
      </c>
      <c r="C437" s="7" t="n">
        <v>30000</v>
      </c>
      <c r="D437" s="6" t="n">
        <v>42</v>
      </c>
      <c r="E437" s="6" t="n">
        <v>0</v>
      </c>
      <c r="F437" s="6" t="n">
        <v>0</v>
      </c>
      <c r="G437" s="8" t="n">
        <v>0.6194</v>
      </c>
      <c r="H437" s="8" t="n">
        <v>0.1601</v>
      </c>
      <c r="I437" s="10" t="n">
        <v>1</v>
      </c>
    </row>
    <row r="438">
      <c r="B438" s="6" t="n">
        <v>13226</v>
      </c>
      <c r="C438" s="7" t="n">
        <v>80000</v>
      </c>
      <c r="D438" s="6" t="n">
        <v>29</v>
      </c>
      <c r="E438" s="6" t="n">
        <v>0</v>
      </c>
      <c r="F438" s="6" t="n">
        <v>0</v>
      </c>
      <c r="G438" s="8" t="n">
        <v>0.6337</v>
      </c>
      <c r="H438" s="8" t="n">
        <v>0.1975</v>
      </c>
      <c r="I438" s="9" t="n">
        <v>0</v>
      </c>
    </row>
    <row r="439">
      <c r="B439" s="6" t="n">
        <v>13261</v>
      </c>
      <c r="C439" s="7" t="n">
        <v>10000</v>
      </c>
      <c r="D439" s="6" t="n">
        <v>26</v>
      </c>
      <c r="E439" s="6" t="n">
        <v>0</v>
      </c>
      <c r="F439" s="6" t="n">
        <v>0</v>
      </c>
      <c r="G439" s="8" t="n">
        <v>0.6346000000000001</v>
      </c>
      <c r="H439" s="8" t="n">
        <v>0.1779</v>
      </c>
      <c r="I439" s="9" t="n">
        <v>0</v>
      </c>
    </row>
    <row r="440">
      <c r="B440" s="6" t="n">
        <v>13267</v>
      </c>
      <c r="C440" s="7" t="n">
        <v>110000</v>
      </c>
      <c r="D440" s="6" t="n">
        <v>29</v>
      </c>
      <c r="E440" s="6" t="n">
        <v>0</v>
      </c>
      <c r="F440" s="6" t="n">
        <v>0</v>
      </c>
      <c r="G440" s="8" t="n">
        <v>0.585</v>
      </c>
      <c r="H440" s="8" t="n">
        <v>0.022</v>
      </c>
      <c r="I440" s="10" t="n">
        <v>1</v>
      </c>
    </row>
    <row r="441">
      <c r="B441" s="6" t="n">
        <v>13282</v>
      </c>
      <c r="C441" s="7" t="n">
        <v>450000</v>
      </c>
      <c r="D441" s="6" t="n">
        <v>36</v>
      </c>
      <c r="E441" s="6" t="n">
        <v>-1</v>
      </c>
      <c r="F441" s="6" t="n">
        <v>-1</v>
      </c>
      <c r="G441" s="8" t="n">
        <v>0.008699999999999999</v>
      </c>
      <c r="H441" s="8" t="n">
        <v>0.1541</v>
      </c>
      <c r="I441" s="10" t="n">
        <v>1</v>
      </c>
    </row>
    <row r="442">
      <c r="B442" s="6" t="n">
        <v>13283</v>
      </c>
      <c r="C442" s="7" t="n">
        <v>110000</v>
      </c>
      <c r="D442" s="6" t="n">
        <v>25</v>
      </c>
      <c r="E442" s="6" t="n">
        <v>1</v>
      </c>
      <c r="F442" s="6" t="n">
        <v>2</v>
      </c>
      <c r="G442" s="8" t="n">
        <v>0.5499000000000001</v>
      </c>
      <c r="H442" s="8" t="n">
        <v>0.0496</v>
      </c>
      <c r="I442" s="9" t="n">
        <v>0</v>
      </c>
    </row>
    <row r="443">
      <c r="B443" s="6" t="n">
        <v>13356</v>
      </c>
      <c r="C443" s="7" t="n">
        <v>130000</v>
      </c>
      <c r="D443" s="6" t="n">
        <v>27</v>
      </c>
      <c r="E443" s="6" t="n">
        <v>0</v>
      </c>
      <c r="F443" s="6" t="n">
        <v>0</v>
      </c>
      <c r="G443" s="8" t="n">
        <v>0.708</v>
      </c>
      <c r="H443" s="8" t="n">
        <v>0.031</v>
      </c>
      <c r="I443" s="9" t="n">
        <v>0</v>
      </c>
    </row>
    <row r="444">
      <c r="B444" s="6" t="n">
        <v>13386</v>
      </c>
      <c r="C444" s="7" t="n">
        <v>140000</v>
      </c>
      <c r="D444" s="6" t="n">
        <v>56</v>
      </c>
      <c r="E444" s="6" t="n">
        <v>0</v>
      </c>
      <c r="F444" s="6" t="n">
        <v>0</v>
      </c>
      <c r="G444" s="8" t="n">
        <v>0.9891</v>
      </c>
      <c r="H444" s="8" t="n">
        <v>0.0311</v>
      </c>
      <c r="I444" s="9" t="n">
        <v>0</v>
      </c>
    </row>
    <row r="445">
      <c r="B445" s="6" t="n">
        <v>13407</v>
      </c>
      <c r="C445" s="7" t="n">
        <v>10000</v>
      </c>
      <c r="D445" s="6" t="n">
        <v>23</v>
      </c>
      <c r="E445" s="6" t="n">
        <v>2</v>
      </c>
      <c r="F445" s="6" t="n">
        <v>2</v>
      </c>
      <c r="G445" s="8" t="n">
        <v>0.24</v>
      </c>
      <c r="H445" s="8" t="n">
        <v>0</v>
      </c>
      <c r="I445" s="10" t="n">
        <v>1</v>
      </c>
    </row>
    <row r="446">
      <c r="B446" s="6" t="n">
        <v>13413</v>
      </c>
      <c r="C446" s="7" t="n">
        <v>100000</v>
      </c>
      <c r="D446" s="6" t="n">
        <v>28</v>
      </c>
      <c r="E446" s="6" t="n">
        <v>-1</v>
      </c>
      <c r="F446" s="6" t="n">
        <v>-1</v>
      </c>
      <c r="G446" s="8" t="n">
        <v>0.0032</v>
      </c>
      <c r="H446" s="8" t="n">
        <v>1</v>
      </c>
      <c r="I446" s="10" t="n">
        <v>1</v>
      </c>
    </row>
    <row r="447">
      <c r="B447" s="6" t="n">
        <v>13443</v>
      </c>
      <c r="C447" s="7" t="n">
        <v>610000</v>
      </c>
      <c r="D447" s="6" t="n">
        <v>35</v>
      </c>
      <c r="E447" s="6" t="n">
        <v>0</v>
      </c>
      <c r="F447" s="6" t="n">
        <v>0</v>
      </c>
      <c r="G447" s="8" t="n">
        <v>0.6383</v>
      </c>
      <c r="H447" s="8" t="n">
        <v>0.0363</v>
      </c>
      <c r="I447" s="9" t="n">
        <v>0</v>
      </c>
    </row>
    <row r="448">
      <c r="B448" s="6" t="n">
        <v>13486</v>
      </c>
      <c r="C448" s="7" t="n">
        <v>160000</v>
      </c>
      <c r="D448" s="6" t="n">
        <v>25</v>
      </c>
      <c r="E448" s="6" t="n">
        <v>0</v>
      </c>
      <c r="F448" s="6" t="n">
        <v>0</v>
      </c>
      <c r="G448" s="8" t="n">
        <v>0.1962</v>
      </c>
      <c r="H448" s="8" t="n">
        <v>0</v>
      </c>
      <c r="I448" s="9" t="n">
        <v>0</v>
      </c>
    </row>
    <row r="449">
      <c r="B449" s="6" t="n">
        <v>13533</v>
      </c>
      <c r="C449" s="7" t="n">
        <v>180000</v>
      </c>
      <c r="D449" s="6" t="n">
        <v>30</v>
      </c>
      <c r="E449" s="6" t="n">
        <v>0</v>
      </c>
      <c r="F449" s="6" t="n">
        <v>0</v>
      </c>
      <c r="G449" s="8" t="n">
        <v>0.9308</v>
      </c>
      <c r="H449" s="8" t="n">
        <v>0.0464</v>
      </c>
      <c r="I449" s="9" t="n">
        <v>0</v>
      </c>
    </row>
    <row r="450">
      <c r="B450" s="6" t="n">
        <v>13554</v>
      </c>
      <c r="C450" s="7" t="n">
        <v>360000</v>
      </c>
      <c r="D450" s="6" t="n">
        <v>27</v>
      </c>
      <c r="E450" s="6" t="n">
        <v>-1</v>
      </c>
      <c r="F450" s="6" t="n">
        <v>-1</v>
      </c>
      <c r="G450" s="8" t="n">
        <v>0.0026</v>
      </c>
      <c r="H450" s="8" t="n">
        <v>0.0421</v>
      </c>
      <c r="I450" s="9" t="n">
        <v>0</v>
      </c>
    </row>
    <row r="451">
      <c r="B451" s="6" t="n">
        <v>13577</v>
      </c>
      <c r="C451" s="7" t="n">
        <v>50000</v>
      </c>
      <c r="D451" s="6" t="n">
        <v>64</v>
      </c>
      <c r="E451" s="6" t="n">
        <v>0</v>
      </c>
      <c r="F451" s="6" t="n">
        <v>0</v>
      </c>
      <c r="G451" s="8" t="n">
        <v>0.927</v>
      </c>
      <c r="H451" s="8" t="n">
        <v>0.0297</v>
      </c>
      <c r="I451" s="9" t="n">
        <v>0</v>
      </c>
    </row>
    <row r="452">
      <c r="B452" s="6" t="n">
        <v>13603</v>
      </c>
      <c r="C452" s="7" t="n">
        <v>310000</v>
      </c>
      <c r="D452" s="6" t="n">
        <v>33</v>
      </c>
      <c r="E452" s="6" t="n">
        <v>0</v>
      </c>
      <c r="F452" s="6" t="n">
        <v>0</v>
      </c>
      <c r="G452" s="8" t="n">
        <v>0.1523</v>
      </c>
      <c r="H452" s="8" t="n">
        <v>0.1038</v>
      </c>
      <c r="I452" s="9" t="n">
        <v>0</v>
      </c>
    </row>
    <row r="453">
      <c r="B453" s="6" t="n">
        <v>13620</v>
      </c>
      <c r="C453" s="7" t="n">
        <v>80000</v>
      </c>
      <c r="D453" s="6" t="n">
        <v>25</v>
      </c>
      <c r="E453" s="6" t="n">
        <v>0</v>
      </c>
      <c r="F453" s="6" t="n">
        <v>0</v>
      </c>
      <c r="G453" s="8" t="n">
        <v>0.6059</v>
      </c>
      <c r="H453" s="8" t="n">
        <v>0.097</v>
      </c>
      <c r="I453" s="10" t="n">
        <v>1</v>
      </c>
    </row>
    <row r="454">
      <c r="B454" s="6" t="n">
        <v>13639</v>
      </c>
      <c r="C454" s="7" t="n">
        <v>240000</v>
      </c>
      <c r="D454" s="6" t="n">
        <v>29</v>
      </c>
      <c r="E454" s="6" t="n">
        <v>0</v>
      </c>
      <c r="F454" s="6" t="n">
        <v>0</v>
      </c>
      <c r="G454" s="8" t="n">
        <v>0.7961</v>
      </c>
      <c r="H454" s="8" t="n">
        <v>0.0523</v>
      </c>
      <c r="I454" s="9" t="n">
        <v>0</v>
      </c>
    </row>
    <row r="455">
      <c r="B455" s="6" t="n">
        <v>13665</v>
      </c>
      <c r="C455" s="7" t="n">
        <v>20000</v>
      </c>
      <c r="D455" s="6" t="n">
        <v>39</v>
      </c>
      <c r="E455" s="6" t="n">
        <v>0</v>
      </c>
      <c r="F455" s="6" t="n">
        <v>0</v>
      </c>
      <c r="G455" s="8" t="n">
        <v>0.44</v>
      </c>
      <c r="H455" s="8" t="n">
        <v>0.1331</v>
      </c>
      <c r="I455" s="9" t="n">
        <v>0</v>
      </c>
    </row>
    <row r="456">
      <c r="B456" s="6" t="n">
        <v>13750</v>
      </c>
      <c r="C456" s="7" t="n">
        <v>130000</v>
      </c>
      <c r="D456" s="6" t="n">
        <v>33</v>
      </c>
      <c r="E456" s="6" t="n">
        <v>-1</v>
      </c>
      <c r="F456" s="6" t="n">
        <v>2</v>
      </c>
      <c r="G456" s="8" t="n">
        <v>0.0819</v>
      </c>
      <c r="H456" s="8" t="n">
        <v>0.0012</v>
      </c>
      <c r="I456" s="9" t="n">
        <v>0</v>
      </c>
    </row>
    <row r="457">
      <c r="B457" s="6" t="n">
        <v>13771</v>
      </c>
      <c r="C457" s="7" t="n">
        <v>200000</v>
      </c>
      <c r="D457" s="6" t="n">
        <v>32</v>
      </c>
      <c r="E457" s="6" t="n">
        <v>-1</v>
      </c>
      <c r="F457" s="6" t="n">
        <v>-1</v>
      </c>
      <c r="G457" s="8" t="n">
        <v>0.0042</v>
      </c>
      <c r="H457" s="8" t="n">
        <v>1.0213</v>
      </c>
      <c r="I457" s="9" t="n">
        <v>0</v>
      </c>
    </row>
    <row r="458">
      <c r="B458" s="6" t="n">
        <v>13788</v>
      </c>
      <c r="C458" s="7" t="n">
        <v>160000</v>
      </c>
      <c r="D458" s="6" t="n">
        <v>41</v>
      </c>
      <c r="E458" s="6" t="n">
        <v>0</v>
      </c>
      <c r="F458" s="6" t="n">
        <v>0</v>
      </c>
      <c r="G458" s="8" t="n">
        <v>0.2679</v>
      </c>
      <c r="H458" s="8" t="n">
        <v>0.0467</v>
      </c>
      <c r="I458" s="9" t="n">
        <v>0</v>
      </c>
    </row>
    <row r="459">
      <c r="B459" s="6" t="n">
        <v>13794</v>
      </c>
      <c r="C459" s="7" t="n">
        <v>140000</v>
      </c>
      <c r="D459" s="6" t="n">
        <v>27</v>
      </c>
      <c r="E459" s="6" t="n">
        <v>0</v>
      </c>
      <c r="F459" s="6" t="n">
        <v>0</v>
      </c>
      <c r="G459" s="8" t="n">
        <v>0.5162</v>
      </c>
      <c r="H459" s="8" t="n">
        <v>0.0447</v>
      </c>
      <c r="I459" s="9" t="n">
        <v>0</v>
      </c>
    </row>
    <row r="460">
      <c r="B460" s="6" t="n">
        <v>13806</v>
      </c>
      <c r="C460" s="7" t="n">
        <v>230000</v>
      </c>
      <c r="D460" s="6" t="n">
        <v>27</v>
      </c>
      <c r="E460" s="6" t="n">
        <v>0</v>
      </c>
      <c r="F460" s="6" t="n">
        <v>0</v>
      </c>
      <c r="G460" s="8" t="n">
        <v>0.3058</v>
      </c>
      <c r="H460" s="8" t="n">
        <v>0.0421</v>
      </c>
      <c r="I460" s="9" t="n">
        <v>0</v>
      </c>
    </row>
    <row r="461">
      <c r="B461" s="6" t="n">
        <v>13842</v>
      </c>
      <c r="C461" s="7" t="n">
        <v>200000</v>
      </c>
      <c r="D461" s="6" t="n">
        <v>55</v>
      </c>
      <c r="E461" s="6" t="n">
        <v>0</v>
      </c>
      <c r="F461" s="6" t="n">
        <v>0</v>
      </c>
      <c r="G461" s="8" t="n">
        <v>0.9775</v>
      </c>
      <c r="H461" s="8" t="n">
        <v>0.036</v>
      </c>
      <c r="I461" s="9" t="n">
        <v>0</v>
      </c>
    </row>
    <row r="462">
      <c r="B462" s="6" t="n">
        <v>13850</v>
      </c>
      <c r="C462" s="7" t="n">
        <v>170000</v>
      </c>
      <c r="D462" s="6" t="n">
        <v>24</v>
      </c>
      <c r="E462" s="6" t="n">
        <v>0</v>
      </c>
      <c r="F462" s="6" t="n">
        <v>0</v>
      </c>
      <c r="G462" s="8" t="n">
        <v>0.9993</v>
      </c>
      <c r="H462" s="8" t="n">
        <v>0.0401</v>
      </c>
      <c r="I462" s="9" t="n">
        <v>0</v>
      </c>
    </row>
    <row r="463">
      <c r="B463" s="6" t="n">
        <v>13853</v>
      </c>
      <c r="C463" s="7" t="n">
        <v>250000</v>
      </c>
      <c r="D463" s="6" t="n">
        <v>25</v>
      </c>
      <c r="E463" s="6" t="n">
        <v>-1</v>
      </c>
      <c r="F463" s="6" t="n">
        <v>-1</v>
      </c>
      <c r="G463" s="8" t="n">
        <v>0.0191</v>
      </c>
      <c r="H463" s="8" t="n">
        <v>1.4091</v>
      </c>
      <c r="I463" s="9" t="n">
        <v>0</v>
      </c>
    </row>
    <row r="464">
      <c r="B464" s="6" t="n">
        <v>13875</v>
      </c>
      <c r="C464" s="7" t="n">
        <v>180000</v>
      </c>
      <c r="D464" s="6" t="n">
        <v>41</v>
      </c>
      <c r="E464" s="6" t="n">
        <v>0</v>
      </c>
      <c r="F464" s="6" t="n">
        <v>0</v>
      </c>
      <c r="G464" s="8" t="n">
        <v>0.5551</v>
      </c>
      <c r="H464" s="8" t="n">
        <v>0.0503</v>
      </c>
      <c r="I464" s="9" t="n">
        <v>0</v>
      </c>
    </row>
    <row r="465">
      <c r="B465" s="6" t="n">
        <v>13927</v>
      </c>
      <c r="C465" s="7" t="n">
        <v>80000</v>
      </c>
      <c r="D465" s="6" t="n">
        <v>44</v>
      </c>
      <c r="E465" s="6" t="n">
        <v>0</v>
      </c>
      <c r="F465" s="6" t="n">
        <v>0</v>
      </c>
      <c r="G465" s="8" t="n">
        <v>0.1294</v>
      </c>
      <c r="H465" s="8" t="n">
        <v>0.1158</v>
      </c>
      <c r="I465" s="9" t="n">
        <v>0</v>
      </c>
    </row>
    <row r="466">
      <c r="B466" s="6" t="n">
        <v>13942</v>
      </c>
      <c r="C466" s="7" t="n">
        <v>50000</v>
      </c>
      <c r="D466" s="6" t="n">
        <v>49</v>
      </c>
      <c r="E466" s="6" t="n">
        <v>0</v>
      </c>
      <c r="F466" s="6" t="n">
        <v>0</v>
      </c>
      <c r="G466" s="8" t="n">
        <v>1.0036</v>
      </c>
      <c r="H466" s="8" t="n">
        <v>0.0478</v>
      </c>
      <c r="I466" s="10" t="n">
        <v>1</v>
      </c>
    </row>
    <row r="467">
      <c r="B467" s="6" t="n">
        <v>13970</v>
      </c>
      <c r="C467" s="7" t="n">
        <v>210000</v>
      </c>
      <c r="D467" s="6" t="n">
        <v>38</v>
      </c>
      <c r="E467" s="6" t="n">
        <v>-1</v>
      </c>
      <c r="F467" s="6" t="n">
        <v>-1</v>
      </c>
      <c r="G467" s="8" t="n">
        <v>0.0232</v>
      </c>
      <c r="H467" s="8" t="n">
        <v>2</v>
      </c>
      <c r="I467" s="9" t="n">
        <v>0</v>
      </c>
    </row>
    <row r="468">
      <c r="B468" s="6" t="n">
        <v>13980</v>
      </c>
      <c r="C468" s="7" t="n">
        <v>50000</v>
      </c>
      <c r="D468" s="6" t="n">
        <v>42</v>
      </c>
      <c r="E468" s="6" t="n">
        <v>0</v>
      </c>
      <c r="F468" s="6" t="n">
        <v>0</v>
      </c>
      <c r="G468" s="8" t="n">
        <v>1.0085</v>
      </c>
      <c r="H468" s="8" t="n">
        <v>0.129</v>
      </c>
      <c r="I468" s="10" t="n">
        <v>1</v>
      </c>
    </row>
    <row r="469">
      <c r="B469" s="6" t="n">
        <v>14074</v>
      </c>
      <c r="C469" s="7" t="n">
        <v>50000</v>
      </c>
      <c r="D469" s="6" t="n">
        <v>31</v>
      </c>
      <c r="E469" s="6" t="n">
        <v>0</v>
      </c>
      <c r="F469" s="6" t="n">
        <v>0</v>
      </c>
      <c r="G469" s="8" t="n">
        <v>0.9883</v>
      </c>
      <c r="H469" s="8" t="n">
        <v>0.0259</v>
      </c>
      <c r="I469" s="9" t="n">
        <v>0</v>
      </c>
    </row>
    <row r="470">
      <c r="B470" s="6" t="n">
        <v>14101</v>
      </c>
      <c r="C470" s="7" t="n">
        <v>80000</v>
      </c>
      <c r="D470" s="6" t="n">
        <v>53</v>
      </c>
      <c r="E470" s="6" t="n">
        <v>0</v>
      </c>
      <c r="F470" s="6" t="n">
        <v>0</v>
      </c>
      <c r="G470" s="8" t="n">
        <v>0.3917</v>
      </c>
      <c r="H470" s="8" t="n">
        <v>0.0492</v>
      </c>
      <c r="I470" s="9" t="n">
        <v>0</v>
      </c>
    </row>
    <row r="471">
      <c r="B471" s="6" t="n">
        <v>14139</v>
      </c>
      <c r="C471" s="7" t="n">
        <v>50000</v>
      </c>
      <c r="D471" s="6" t="n">
        <v>35</v>
      </c>
      <c r="E471" s="6" t="n">
        <v>0</v>
      </c>
      <c r="F471" s="6" t="n">
        <v>0</v>
      </c>
      <c r="G471" s="8" t="n">
        <v>0.9802</v>
      </c>
      <c r="H471" s="8" t="n">
        <v>0.0443</v>
      </c>
      <c r="I471" s="9" t="n">
        <v>0</v>
      </c>
    </row>
    <row r="472">
      <c r="B472" s="6" t="n">
        <v>14141</v>
      </c>
      <c r="C472" s="7" t="n">
        <v>240000</v>
      </c>
      <c r="D472" s="6" t="n">
        <v>27</v>
      </c>
      <c r="E472" s="6" t="n">
        <v>1</v>
      </c>
      <c r="F472" s="6" t="n">
        <v>2</v>
      </c>
      <c r="G472" s="8" t="n">
        <v>0.0886</v>
      </c>
      <c r="H472" s="8" t="n">
        <v>0</v>
      </c>
      <c r="I472" s="9" t="n">
        <v>0</v>
      </c>
    </row>
    <row r="473">
      <c r="B473" s="6" t="n">
        <v>14193</v>
      </c>
      <c r="C473" s="7" t="n">
        <v>230000</v>
      </c>
      <c r="D473" s="6" t="n">
        <v>27</v>
      </c>
      <c r="E473" s="6" t="n">
        <v>0</v>
      </c>
      <c r="F473" s="6" t="n">
        <v>0</v>
      </c>
      <c r="G473" s="8" t="n">
        <v>0.0335</v>
      </c>
      <c r="H473" s="8" t="n">
        <v>0.2633</v>
      </c>
      <c r="I473" s="9" t="n">
        <v>0</v>
      </c>
    </row>
    <row r="474">
      <c r="B474" s="6" t="n">
        <v>14252</v>
      </c>
      <c r="C474" s="7" t="n">
        <v>100000</v>
      </c>
      <c r="D474" s="6" t="n">
        <v>26</v>
      </c>
      <c r="E474" s="6" t="n">
        <v>2</v>
      </c>
      <c r="F474" s="6" t="n">
        <v>0</v>
      </c>
      <c r="G474" s="8" t="n">
        <v>0.9736</v>
      </c>
      <c r="H474" s="8" t="n">
        <v>0.0486</v>
      </c>
      <c r="I474" s="10" t="n">
        <v>1</v>
      </c>
    </row>
    <row r="475">
      <c r="B475" s="6" t="n">
        <v>14319</v>
      </c>
      <c r="C475" s="7" t="n">
        <v>140000</v>
      </c>
      <c r="D475" s="6" t="n">
        <v>24</v>
      </c>
      <c r="E475" s="6" t="n">
        <v>0</v>
      </c>
      <c r="F475" s="6" t="n">
        <v>0</v>
      </c>
      <c r="G475" s="8" t="n">
        <v>0.1794</v>
      </c>
      <c r="H475" s="8" t="n">
        <v>0.0796</v>
      </c>
      <c r="I475" s="9" t="n">
        <v>0</v>
      </c>
    </row>
    <row r="476">
      <c r="B476" s="6" t="n">
        <v>14357</v>
      </c>
      <c r="C476" s="7" t="n">
        <v>180000</v>
      </c>
      <c r="D476" s="6" t="n">
        <v>34</v>
      </c>
      <c r="E476" s="6" t="n">
        <v>0</v>
      </c>
      <c r="F476" s="6" t="n">
        <v>0</v>
      </c>
      <c r="G476" s="8" t="n">
        <v>0.9311</v>
      </c>
      <c r="H476" s="8" t="n">
        <v>0.0415</v>
      </c>
      <c r="I476" s="9" t="n">
        <v>0</v>
      </c>
    </row>
    <row r="477">
      <c r="B477" s="6" t="n">
        <v>14370</v>
      </c>
      <c r="C477" s="7" t="n">
        <v>210000</v>
      </c>
      <c r="D477" s="6" t="n">
        <v>42</v>
      </c>
      <c r="E477" s="6" t="n">
        <v>0</v>
      </c>
      <c r="F477" s="6" t="n">
        <v>0</v>
      </c>
      <c r="G477" s="8" t="n">
        <v>0.4214</v>
      </c>
      <c r="H477" s="8" t="n">
        <v>0.0402</v>
      </c>
      <c r="I477" s="9" t="n">
        <v>0</v>
      </c>
    </row>
    <row r="478">
      <c r="B478" s="6" t="n">
        <v>14402</v>
      </c>
      <c r="C478" s="7" t="n">
        <v>160000</v>
      </c>
      <c r="D478" s="6" t="n">
        <v>52</v>
      </c>
      <c r="E478" s="6" t="n">
        <v>-1</v>
      </c>
      <c r="F478" s="6" t="n">
        <v>-1</v>
      </c>
      <c r="G478" s="8" t="n">
        <v>0.0024</v>
      </c>
      <c r="H478" s="8" t="n">
        <v>2</v>
      </c>
      <c r="I478" s="9" t="n">
        <v>0</v>
      </c>
    </row>
    <row r="479">
      <c r="B479" s="6" t="n">
        <v>14439</v>
      </c>
      <c r="C479" s="7" t="n">
        <v>30000</v>
      </c>
      <c r="D479" s="6" t="n">
        <v>31</v>
      </c>
      <c r="E479" s="6" t="n">
        <v>-1</v>
      </c>
      <c r="F479" s="6" t="n">
        <v>-1</v>
      </c>
      <c r="G479" s="8" t="n">
        <v>0.1826</v>
      </c>
      <c r="H479" s="8" t="n">
        <v>1.4627</v>
      </c>
      <c r="I479" s="9" t="n">
        <v>0</v>
      </c>
    </row>
    <row r="480">
      <c r="B480" s="6" t="n">
        <v>14454</v>
      </c>
      <c r="C480" s="7" t="n">
        <v>330000</v>
      </c>
      <c r="D480" s="6" t="n">
        <v>28</v>
      </c>
      <c r="E480" s="6" t="n">
        <v>1</v>
      </c>
      <c r="F480" s="6" t="n">
        <v>-1</v>
      </c>
      <c r="G480" s="8" t="n">
        <v>0.0029</v>
      </c>
      <c r="H480" s="8" t="n">
        <v>0.5234</v>
      </c>
      <c r="I480" s="9" t="n">
        <v>0</v>
      </c>
    </row>
    <row r="481">
      <c r="B481" s="6" t="n">
        <v>14525</v>
      </c>
      <c r="C481" s="7" t="n">
        <v>380000</v>
      </c>
      <c r="D481" s="6" t="n">
        <v>31</v>
      </c>
      <c r="E481" s="6" t="n">
        <v>-2</v>
      </c>
      <c r="F481" s="6" t="n">
        <v>-2</v>
      </c>
      <c r="G481" s="8" t="n">
        <v>0.0007</v>
      </c>
      <c r="H481" s="8" t="n">
        <v>1</v>
      </c>
      <c r="I481" s="9" t="n">
        <v>0</v>
      </c>
    </row>
    <row r="482">
      <c r="B482" s="6" t="n">
        <v>14543</v>
      </c>
      <c r="C482" s="7" t="n">
        <v>50000</v>
      </c>
      <c r="D482" s="6" t="n">
        <v>38</v>
      </c>
      <c r="E482" s="6" t="n">
        <v>2</v>
      </c>
      <c r="F482" s="6" t="n">
        <v>0</v>
      </c>
      <c r="G482" s="8" t="n">
        <v>0.5537</v>
      </c>
      <c r="H482" s="8" t="n">
        <v>0.0542</v>
      </c>
      <c r="I482" s="10" t="n">
        <v>1</v>
      </c>
    </row>
    <row r="483">
      <c r="B483" s="6" t="n">
        <v>14629</v>
      </c>
      <c r="C483" s="7" t="n">
        <v>30000</v>
      </c>
      <c r="D483" s="6" t="n">
        <v>38</v>
      </c>
      <c r="E483" s="6" t="n">
        <v>0</v>
      </c>
      <c r="F483" s="6" t="n">
        <v>0</v>
      </c>
      <c r="G483" s="8" t="n">
        <v>0.6999</v>
      </c>
      <c r="H483" s="8" t="n">
        <v>0.2381</v>
      </c>
      <c r="I483" s="10" t="n">
        <v>1</v>
      </c>
    </row>
    <row r="484">
      <c r="B484" s="6" t="n">
        <v>14657</v>
      </c>
      <c r="C484" s="7" t="n">
        <v>50000</v>
      </c>
      <c r="D484" s="6" t="n">
        <v>24</v>
      </c>
      <c r="E484" s="6" t="n">
        <v>0</v>
      </c>
      <c r="F484" s="6" t="n">
        <v>0</v>
      </c>
      <c r="G484" s="8" t="n">
        <v>0.5558</v>
      </c>
      <c r="H484" s="8" t="n">
        <v>0.07199999999999999</v>
      </c>
      <c r="I484" s="9" t="n">
        <v>0</v>
      </c>
    </row>
    <row r="485">
      <c r="B485" s="6" t="n">
        <v>14693</v>
      </c>
      <c r="C485" s="7" t="n">
        <v>170000</v>
      </c>
      <c r="D485" s="6" t="n">
        <v>34</v>
      </c>
      <c r="E485" s="6" t="n">
        <v>1</v>
      </c>
      <c r="F485" s="6" t="n">
        <v>2</v>
      </c>
      <c r="G485" s="8" t="n">
        <v>0.5379</v>
      </c>
      <c r="H485" s="8" t="n">
        <v>0.0372</v>
      </c>
      <c r="I485" s="10" t="n">
        <v>1</v>
      </c>
    </row>
    <row r="486">
      <c r="B486" s="6" t="n">
        <v>14697</v>
      </c>
      <c r="C486" s="7" t="n">
        <v>300000</v>
      </c>
      <c r="D486" s="6" t="n">
        <v>39</v>
      </c>
      <c r="E486" s="6" t="n">
        <v>0</v>
      </c>
      <c r="F486" s="6" t="n">
        <v>0</v>
      </c>
      <c r="G486" s="8" t="n">
        <v>0.2993</v>
      </c>
      <c r="H486" s="8" t="n">
        <v>0.0501</v>
      </c>
      <c r="I486" s="9" t="n">
        <v>0</v>
      </c>
    </row>
    <row r="487">
      <c r="B487" s="6" t="n">
        <v>14718</v>
      </c>
      <c r="C487" s="7" t="n">
        <v>50000</v>
      </c>
      <c r="D487" s="6" t="n">
        <v>32</v>
      </c>
      <c r="E487" s="6" t="n">
        <v>2</v>
      </c>
      <c r="F487" s="6" t="n">
        <v>0</v>
      </c>
      <c r="G487" s="8" t="n">
        <v>0.3287</v>
      </c>
      <c r="H487" s="8" t="n">
        <v>0.1027</v>
      </c>
      <c r="I487" s="9" t="n">
        <v>0</v>
      </c>
    </row>
    <row r="488">
      <c r="B488" s="6" t="n">
        <v>14777</v>
      </c>
      <c r="C488" s="7" t="n">
        <v>180000</v>
      </c>
      <c r="D488" s="6" t="n">
        <v>43</v>
      </c>
      <c r="E488" s="6" t="n">
        <v>0</v>
      </c>
      <c r="F488" s="6" t="n">
        <v>0</v>
      </c>
      <c r="G488" s="8" t="n">
        <v>0.5931</v>
      </c>
      <c r="H488" s="8" t="n">
        <v>0.09370000000000001</v>
      </c>
      <c r="I488" s="9" t="n">
        <v>0</v>
      </c>
    </row>
    <row r="489">
      <c r="B489" s="6" t="n">
        <v>14808</v>
      </c>
      <c r="C489" s="7" t="n">
        <v>30000</v>
      </c>
      <c r="D489" s="6" t="n">
        <v>29</v>
      </c>
      <c r="E489" s="6" t="n">
        <v>1</v>
      </c>
      <c r="F489" s="6" t="n">
        <v>3</v>
      </c>
      <c r="G489" s="8" t="n">
        <v>1.0662</v>
      </c>
      <c r="H489" s="8" t="n">
        <v>0</v>
      </c>
      <c r="I489" s="9" t="n">
        <v>0</v>
      </c>
    </row>
    <row r="490">
      <c r="B490" s="6" t="n">
        <v>14812</v>
      </c>
      <c r="C490" s="7" t="n">
        <v>200000</v>
      </c>
      <c r="D490" s="6" t="n">
        <v>36</v>
      </c>
      <c r="E490" s="6" t="n">
        <v>-1</v>
      </c>
      <c r="F490" s="6" t="n">
        <v>-1</v>
      </c>
      <c r="G490" s="8" t="n">
        <v>0.002</v>
      </c>
      <c r="H490" s="8" t="n">
        <v>2</v>
      </c>
      <c r="I490" s="9" t="n">
        <v>0</v>
      </c>
    </row>
    <row r="491">
      <c r="B491" s="6" t="n">
        <v>14823</v>
      </c>
      <c r="C491" s="7" t="n">
        <v>80000</v>
      </c>
      <c r="D491" s="6" t="n">
        <v>35</v>
      </c>
      <c r="E491" s="6" t="n">
        <v>-1</v>
      </c>
      <c r="F491" s="6" t="n">
        <v>-1</v>
      </c>
      <c r="G491" s="8" t="n">
        <v>0.0125</v>
      </c>
      <c r="H491" s="8" t="n">
        <v>0</v>
      </c>
      <c r="I491" s="10" t="n">
        <v>1</v>
      </c>
    </row>
    <row r="492">
      <c r="B492" s="6" t="n">
        <v>14885</v>
      </c>
      <c r="C492" s="7" t="n">
        <v>40000</v>
      </c>
      <c r="D492" s="6" t="n">
        <v>25</v>
      </c>
      <c r="E492" s="6" t="n">
        <v>-1</v>
      </c>
      <c r="F492" s="6" t="n">
        <v>-1</v>
      </c>
      <c r="G492" s="8" t="n">
        <v>0.0128</v>
      </c>
      <c r="H492" s="8" t="n">
        <v>1.0039</v>
      </c>
      <c r="I492" s="10" t="n">
        <v>1</v>
      </c>
    </row>
    <row r="493">
      <c r="B493" s="6" t="n">
        <v>14889</v>
      </c>
      <c r="C493" s="7" t="n">
        <v>450000</v>
      </c>
      <c r="D493" s="6" t="n">
        <v>37</v>
      </c>
      <c r="E493" s="6" t="n">
        <v>1</v>
      </c>
      <c r="F493" s="6" t="n">
        <v>-2</v>
      </c>
      <c r="G493" s="8" t="n">
        <v>0</v>
      </c>
      <c r="H493" s="8" t="n">
        <v>0</v>
      </c>
      <c r="I493" s="9" t="n">
        <v>0</v>
      </c>
    </row>
    <row r="494">
      <c r="B494" s="6" t="n">
        <v>14906</v>
      </c>
      <c r="C494" s="7" t="n">
        <v>90000</v>
      </c>
      <c r="D494" s="6" t="n">
        <v>46</v>
      </c>
      <c r="E494" s="6" t="n">
        <v>0</v>
      </c>
      <c r="F494" s="6" t="n">
        <v>0</v>
      </c>
      <c r="G494" s="8" t="n">
        <v>0.8585</v>
      </c>
      <c r="H494" s="8" t="n">
        <v>0.1079</v>
      </c>
      <c r="I494" s="9" t="n">
        <v>0</v>
      </c>
    </row>
    <row r="495">
      <c r="B495" s="6" t="n">
        <v>14932</v>
      </c>
      <c r="C495" s="7" t="n">
        <v>90000</v>
      </c>
      <c r="D495" s="6" t="n">
        <v>30</v>
      </c>
      <c r="E495" s="6" t="n">
        <v>-1</v>
      </c>
      <c r="F495" s="6" t="n">
        <v>-1</v>
      </c>
      <c r="G495" s="8" t="n">
        <v>0.013</v>
      </c>
      <c r="H495" s="8" t="n">
        <v>1.6449</v>
      </c>
      <c r="I495" s="9" t="n">
        <v>0</v>
      </c>
    </row>
    <row r="496">
      <c r="B496" s="6" t="n">
        <v>14956</v>
      </c>
      <c r="C496" s="7" t="n">
        <v>50000</v>
      </c>
      <c r="D496" s="6" t="n">
        <v>44</v>
      </c>
      <c r="E496" s="6" t="n">
        <v>0</v>
      </c>
      <c r="F496" s="6" t="n">
        <v>0</v>
      </c>
      <c r="G496" s="8" t="n">
        <v>0.5464</v>
      </c>
      <c r="H496" s="8" t="n">
        <v>0.0518</v>
      </c>
      <c r="I496" s="9" t="n">
        <v>0</v>
      </c>
    </row>
    <row r="497">
      <c r="B497" s="6" t="n">
        <v>14962</v>
      </c>
      <c r="C497" s="7" t="n">
        <v>30000</v>
      </c>
      <c r="D497" s="6" t="n">
        <v>42</v>
      </c>
      <c r="E497" s="6" t="n">
        <v>0</v>
      </c>
      <c r="F497" s="6" t="n">
        <v>0</v>
      </c>
      <c r="G497" s="8" t="n">
        <v>0.9247</v>
      </c>
      <c r="H497" s="8" t="n">
        <v>0.1658</v>
      </c>
      <c r="I497" s="9" t="n">
        <v>0</v>
      </c>
    </row>
    <row r="498">
      <c r="B498" s="6" t="n">
        <v>14980</v>
      </c>
      <c r="C498" s="7" t="n">
        <v>50000</v>
      </c>
      <c r="D498" s="6" t="n">
        <v>55</v>
      </c>
      <c r="E498" s="6" t="n">
        <v>2</v>
      </c>
      <c r="F498" s="6" t="n">
        <v>0</v>
      </c>
      <c r="G498" s="8" t="n">
        <v>0.4227</v>
      </c>
      <c r="H498" s="8" t="n">
        <v>0.06270000000000001</v>
      </c>
      <c r="I498" s="10" t="n">
        <v>1</v>
      </c>
    </row>
    <row r="499">
      <c r="B499" s="6" t="n">
        <v>15019</v>
      </c>
      <c r="C499" s="7" t="n">
        <v>50000</v>
      </c>
      <c r="D499" s="6" t="n">
        <v>41</v>
      </c>
      <c r="E499" s="6" t="n">
        <v>0</v>
      </c>
      <c r="F499" s="6" t="n">
        <v>0</v>
      </c>
      <c r="G499" s="8" t="n">
        <v>0.6877</v>
      </c>
      <c r="H499" s="8" t="n">
        <v>0.0582</v>
      </c>
      <c r="I499" s="9" t="n">
        <v>0</v>
      </c>
    </row>
    <row r="500">
      <c r="B500" s="6" t="n">
        <v>15025</v>
      </c>
      <c r="C500" s="7" t="n">
        <v>50000</v>
      </c>
      <c r="D500" s="6" t="n">
        <v>45</v>
      </c>
      <c r="E500" s="6" t="n">
        <v>1</v>
      </c>
      <c r="F500" s="6" t="n">
        <v>2</v>
      </c>
      <c r="G500" s="8" t="n">
        <v>0.4106</v>
      </c>
      <c r="H500" s="8" t="n">
        <v>0</v>
      </c>
      <c r="I500" s="9" t="n">
        <v>0</v>
      </c>
    </row>
    <row r="501">
      <c r="B501" s="6" t="n">
        <v>15086</v>
      </c>
      <c r="C501" s="7" t="n">
        <v>300000</v>
      </c>
      <c r="D501" s="6" t="n">
        <v>41</v>
      </c>
      <c r="E501" s="6" t="n">
        <v>0</v>
      </c>
      <c r="F501" s="6" t="n">
        <v>0</v>
      </c>
      <c r="G501" s="8" t="n">
        <v>0.1309</v>
      </c>
      <c r="H501" s="8" t="n">
        <v>0.0523</v>
      </c>
      <c r="I501" s="9" t="n">
        <v>0</v>
      </c>
    </row>
    <row r="502">
      <c r="B502" s="6" t="n">
        <v>15118</v>
      </c>
      <c r="C502" s="7" t="n">
        <v>50000</v>
      </c>
      <c r="D502" s="6" t="n">
        <v>48</v>
      </c>
      <c r="E502" s="6" t="n">
        <v>2</v>
      </c>
      <c r="F502" s="6" t="n">
        <v>2</v>
      </c>
      <c r="G502" s="8" t="n">
        <v>0.9402</v>
      </c>
      <c r="H502" s="8" t="n">
        <v>0.0851</v>
      </c>
      <c r="I502" s="9" t="n">
        <v>0</v>
      </c>
    </row>
    <row r="503">
      <c r="B503" s="6" t="n">
        <v>15157</v>
      </c>
      <c r="C503" s="7" t="n">
        <v>70000</v>
      </c>
      <c r="D503" s="6" t="n">
        <v>23</v>
      </c>
      <c r="E503" s="6" t="n">
        <v>0</v>
      </c>
      <c r="F503" s="6" t="n">
        <v>0</v>
      </c>
      <c r="G503" s="8" t="n">
        <v>0.4606</v>
      </c>
      <c r="H503" s="8" t="n">
        <v>0.0571</v>
      </c>
      <c r="I503" s="9" t="n">
        <v>0</v>
      </c>
    </row>
    <row r="504">
      <c r="B504" s="6" t="n">
        <v>15261</v>
      </c>
      <c r="C504" s="7" t="n">
        <v>290000</v>
      </c>
      <c r="D504" s="6" t="n">
        <v>29</v>
      </c>
      <c r="E504" s="6" t="n">
        <v>-1</v>
      </c>
      <c r="F504" s="6" t="n">
        <v>0</v>
      </c>
      <c r="G504" s="8" t="n">
        <v>0.06660000000000001</v>
      </c>
      <c r="H504" s="8" t="n">
        <v>0.7766</v>
      </c>
      <c r="I504" s="9" t="n">
        <v>0</v>
      </c>
    </row>
    <row r="505">
      <c r="B505" s="6" t="n">
        <v>15301</v>
      </c>
      <c r="C505" s="7" t="n">
        <v>150000</v>
      </c>
      <c r="D505" s="6" t="n">
        <v>40</v>
      </c>
      <c r="E505" s="6" t="n">
        <v>0</v>
      </c>
      <c r="F505" s="6" t="n">
        <v>0</v>
      </c>
      <c r="G505" s="8" t="n">
        <v>1.4243</v>
      </c>
      <c r="H505" s="8" t="n">
        <v>0.0369</v>
      </c>
      <c r="I505" s="9" t="n">
        <v>0</v>
      </c>
    </row>
    <row r="506">
      <c r="B506" s="6" t="n">
        <v>15309</v>
      </c>
      <c r="C506" s="7" t="n">
        <v>50000</v>
      </c>
      <c r="D506" s="6" t="n">
        <v>43</v>
      </c>
      <c r="E506" s="6" t="n">
        <v>1</v>
      </c>
      <c r="F506" s="6" t="n">
        <v>2</v>
      </c>
      <c r="G506" s="8" t="n">
        <v>0.3043</v>
      </c>
      <c r="H506" s="8" t="n">
        <v>0</v>
      </c>
      <c r="I506" s="9" t="n">
        <v>0</v>
      </c>
    </row>
    <row r="507">
      <c r="B507" s="6" t="n">
        <v>15314</v>
      </c>
      <c r="C507" s="7" t="n">
        <v>80000</v>
      </c>
      <c r="D507" s="6" t="n">
        <v>39</v>
      </c>
      <c r="E507" s="6" t="n">
        <v>0</v>
      </c>
      <c r="F507" s="6" t="n">
        <v>0</v>
      </c>
      <c r="G507" s="8" t="n">
        <v>0.2348</v>
      </c>
      <c r="H507" s="8" t="n">
        <v>0.0745</v>
      </c>
      <c r="I507" s="9" t="n">
        <v>0</v>
      </c>
    </row>
    <row r="508">
      <c r="B508" s="6" t="n">
        <v>15363</v>
      </c>
      <c r="C508" s="7" t="n">
        <v>330000</v>
      </c>
      <c r="D508" s="6" t="n">
        <v>29</v>
      </c>
      <c r="E508" s="6" t="n">
        <v>0</v>
      </c>
      <c r="F508" s="6" t="n">
        <v>0</v>
      </c>
      <c r="G508" s="8" t="n">
        <v>0.4021</v>
      </c>
      <c r="H508" s="8" t="n">
        <v>0.0525</v>
      </c>
      <c r="I508" s="9" t="n">
        <v>0</v>
      </c>
    </row>
    <row r="509">
      <c r="B509" s="6" t="n">
        <v>15394</v>
      </c>
      <c r="C509" s="7" t="n">
        <v>390000</v>
      </c>
      <c r="D509" s="6" t="n">
        <v>58</v>
      </c>
      <c r="E509" s="6" t="n">
        <v>-2</v>
      </c>
      <c r="F509" s="6" t="n">
        <v>-2</v>
      </c>
      <c r="G509" s="8" t="n">
        <v>0.003</v>
      </c>
      <c r="H509" s="8" t="n">
        <v>2</v>
      </c>
      <c r="I509" s="9" t="n">
        <v>0</v>
      </c>
    </row>
    <row r="510">
      <c r="B510" s="6" t="n">
        <v>15400</v>
      </c>
      <c r="C510" s="7" t="n">
        <v>330000</v>
      </c>
      <c r="D510" s="6" t="n">
        <v>50</v>
      </c>
      <c r="E510" s="6" t="n">
        <v>-2</v>
      </c>
      <c r="F510" s="6" t="n">
        <v>-2</v>
      </c>
      <c r="G510" s="8" t="n">
        <v>0.017</v>
      </c>
      <c r="H510" s="8" t="n">
        <v>0</v>
      </c>
      <c r="I510" s="9" t="n">
        <v>0</v>
      </c>
    </row>
    <row r="511">
      <c r="B511" s="6" t="n">
        <v>15406</v>
      </c>
      <c r="C511" s="7" t="n">
        <v>130000</v>
      </c>
      <c r="D511" s="6" t="n">
        <v>49</v>
      </c>
      <c r="E511" s="6" t="n">
        <v>0</v>
      </c>
      <c r="F511" s="6" t="n">
        <v>0</v>
      </c>
      <c r="G511" s="8" t="n">
        <v>1.0198</v>
      </c>
      <c r="H511" s="8" t="n">
        <v>0</v>
      </c>
      <c r="I511" s="9" t="n">
        <v>0</v>
      </c>
    </row>
    <row r="512">
      <c r="B512" s="6" t="n">
        <v>15424</v>
      </c>
      <c r="C512" s="7" t="n">
        <v>20000</v>
      </c>
      <c r="D512" s="6" t="n">
        <v>24</v>
      </c>
      <c r="E512" s="6" t="n">
        <v>0</v>
      </c>
      <c r="F512" s="6" t="n">
        <v>0</v>
      </c>
      <c r="G512" s="8" t="n">
        <v>0.7943</v>
      </c>
      <c r="H512" s="8" t="n">
        <v>0.1574</v>
      </c>
      <c r="I512" s="9" t="n">
        <v>0</v>
      </c>
    </row>
    <row r="513">
      <c r="B513" s="6" t="n">
        <v>15469</v>
      </c>
      <c r="C513" s="7" t="n">
        <v>360000</v>
      </c>
      <c r="D513" s="6" t="n">
        <v>37</v>
      </c>
      <c r="E513" s="6" t="n">
        <v>-2</v>
      </c>
      <c r="F513" s="6" t="n">
        <v>-2</v>
      </c>
      <c r="G513" s="8" t="n">
        <v>0</v>
      </c>
      <c r="H513" s="8" t="n">
        <v>0</v>
      </c>
      <c r="I513" s="10" t="n">
        <v>1</v>
      </c>
    </row>
    <row r="514">
      <c r="B514" s="6" t="n">
        <v>15486</v>
      </c>
      <c r="C514" s="7" t="n">
        <v>230000</v>
      </c>
      <c r="D514" s="6" t="n">
        <v>29</v>
      </c>
      <c r="E514" s="6" t="n">
        <v>0</v>
      </c>
      <c r="F514" s="6" t="n">
        <v>0</v>
      </c>
      <c r="G514" s="8" t="n">
        <v>0.2211</v>
      </c>
      <c r="H514" s="8" t="n">
        <v>0.0348</v>
      </c>
      <c r="I514" s="9" t="n">
        <v>0</v>
      </c>
    </row>
    <row r="515">
      <c r="B515" s="6" t="n">
        <v>15521</v>
      </c>
      <c r="C515" s="7" t="n">
        <v>180000</v>
      </c>
      <c r="D515" s="6" t="n">
        <v>32</v>
      </c>
      <c r="E515" s="6" t="n">
        <v>0</v>
      </c>
      <c r="F515" s="6" t="n">
        <v>0</v>
      </c>
      <c r="G515" s="8" t="n">
        <v>0.2526</v>
      </c>
      <c r="H515" s="8" t="n">
        <v>0.11</v>
      </c>
      <c r="I515" s="9" t="n">
        <v>0</v>
      </c>
    </row>
    <row r="516">
      <c r="B516" s="6" t="n">
        <v>15562</v>
      </c>
      <c r="C516" s="7" t="n">
        <v>480000</v>
      </c>
      <c r="D516" s="6" t="n">
        <v>43</v>
      </c>
      <c r="E516" s="6" t="n">
        <v>0</v>
      </c>
      <c r="F516" s="6" t="n">
        <v>0</v>
      </c>
      <c r="G516" s="8" t="n">
        <v>0.7863</v>
      </c>
      <c r="H516" s="8" t="n">
        <v>0.053</v>
      </c>
      <c r="I516" s="9" t="n">
        <v>0</v>
      </c>
    </row>
    <row r="517">
      <c r="B517" s="6" t="n">
        <v>15589</v>
      </c>
      <c r="C517" s="7" t="n">
        <v>180000</v>
      </c>
      <c r="D517" s="6" t="n">
        <v>50</v>
      </c>
      <c r="E517" s="6" t="n">
        <v>0</v>
      </c>
      <c r="F517" s="6" t="n">
        <v>0</v>
      </c>
      <c r="G517" s="8" t="n">
        <v>0.3488</v>
      </c>
      <c r="H517" s="8" t="n">
        <v>0.0796</v>
      </c>
      <c r="I517" s="9" t="n">
        <v>0</v>
      </c>
    </row>
    <row r="518">
      <c r="B518" s="6" t="n">
        <v>15640</v>
      </c>
      <c r="C518" s="7" t="n">
        <v>270000</v>
      </c>
      <c r="D518" s="6" t="n">
        <v>32</v>
      </c>
      <c r="E518" s="6" t="n">
        <v>2</v>
      </c>
      <c r="F518" s="6" t="n">
        <v>0</v>
      </c>
      <c r="G518" s="8" t="n">
        <v>1.0235</v>
      </c>
      <c r="H518" s="8" t="n">
        <v>0.0398</v>
      </c>
      <c r="I518" s="9" t="n">
        <v>0</v>
      </c>
    </row>
    <row r="519">
      <c r="B519" s="6" t="n">
        <v>15698</v>
      </c>
      <c r="C519" s="7" t="n">
        <v>130000</v>
      </c>
      <c r="D519" s="6" t="n">
        <v>33</v>
      </c>
      <c r="E519" s="6" t="n">
        <v>0</v>
      </c>
      <c r="F519" s="6" t="n">
        <v>0</v>
      </c>
      <c r="G519" s="8" t="n">
        <v>0.3019</v>
      </c>
      <c r="H519" s="8" t="n">
        <v>0.06370000000000001</v>
      </c>
      <c r="I519" s="9" t="n">
        <v>0</v>
      </c>
    </row>
    <row r="520">
      <c r="B520" s="6" t="n">
        <v>15736</v>
      </c>
      <c r="C520" s="7" t="n">
        <v>50000</v>
      </c>
      <c r="D520" s="6" t="n">
        <v>30</v>
      </c>
      <c r="E520" s="6" t="n">
        <v>1</v>
      </c>
      <c r="F520" s="6" t="n">
        <v>2</v>
      </c>
      <c r="G520" s="8" t="n">
        <v>0.9862</v>
      </c>
      <c r="H520" s="8" t="n">
        <v>0</v>
      </c>
      <c r="I520" s="10" t="n">
        <v>1</v>
      </c>
    </row>
    <row r="521">
      <c r="B521" s="6" t="n">
        <v>15795</v>
      </c>
      <c r="C521" s="7" t="n">
        <v>20000</v>
      </c>
      <c r="D521" s="6" t="n">
        <v>24</v>
      </c>
      <c r="E521" s="6" t="n">
        <v>0</v>
      </c>
      <c r="F521" s="6" t="n">
        <v>0</v>
      </c>
      <c r="G521" s="8" t="n">
        <v>0.6753</v>
      </c>
      <c r="H521" s="8" t="n">
        <v>0.1111</v>
      </c>
      <c r="I521" s="9" t="n">
        <v>0</v>
      </c>
    </row>
    <row r="522">
      <c r="B522" s="6" t="n">
        <v>15807</v>
      </c>
      <c r="C522" s="7" t="n">
        <v>100000</v>
      </c>
      <c r="D522" s="6" t="n">
        <v>27</v>
      </c>
      <c r="E522" s="6" t="n">
        <v>0</v>
      </c>
      <c r="F522" s="6" t="n">
        <v>0</v>
      </c>
      <c r="G522" s="8" t="n">
        <v>0.8115</v>
      </c>
      <c r="H522" s="8" t="n">
        <v>0.037</v>
      </c>
      <c r="I522" s="9" t="n">
        <v>0</v>
      </c>
    </row>
    <row r="523">
      <c r="B523" s="6" t="n">
        <v>15989</v>
      </c>
      <c r="C523" s="7" t="n">
        <v>70000</v>
      </c>
      <c r="D523" s="6" t="n">
        <v>23</v>
      </c>
      <c r="E523" s="6" t="n">
        <v>0</v>
      </c>
      <c r="F523" s="6" t="n">
        <v>0</v>
      </c>
      <c r="G523" s="8" t="n">
        <v>0.1076</v>
      </c>
      <c r="H523" s="8" t="n">
        <v>0.152</v>
      </c>
      <c r="I523" s="10" t="n">
        <v>1</v>
      </c>
    </row>
    <row r="524">
      <c r="B524" s="6" t="n">
        <v>16072</v>
      </c>
      <c r="C524" s="7" t="n">
        <v>50000</v>
      </c>
      <c r="D524" s="6" t="n">
        <v>35</v>
      </c>
      <c r="E524" s="6" t="n">
        <v>0</v>
      </c>
      <c r="F524" s="6" t="n">
        <v>0</v>
      </c>
      <c r="G524" s="8" t="n">
        <v>0.8101</v>
      </c>
      <c r="H524" s="8" t="n">
        <v>0.1234</v>
      </c>
      <c r="I524" s="9" t="n">
        <v>0</v>
      </c>
    </row>
    <row r="525">
      <c r="B525" s="6" t="n">
        <v>16081</v>
      </c>
      <c r="C525" s="7" t="n">
        <v>220000</v>
      </c>
      <c r="D525" s="6" t="n">
        <v>31</v>
      </c>
      <c r="E525" s="6" t="n">
        <v>0</v>
      </c>
      <c r="F525" s="6" t="n">
        <v>0</v>
      </c>
      <c r="G525" s="8" t="n">
        <v>0.3078</v>
      </c>
      <c r="H525" s="8" t="n">
        <v>0.1107</v>
      </c>
      <c r="I525" s="9" t="n">
        <v>0</v>
      </c>
    </row>
    <row r="526">
      <c r="B526" s="6" t="n">
        <v>16091</v>
      </c>
      <c r="C526" s="7" t="n">
        <v>160000</v>
      </c>
      <c r="D526" s="6" t="n">
        <v>35</v>
      </c>
      <c r="E526" s="6" t="n">
        <v>2</v>
      </c>
      <c r="F526" s="6" t="n">
        <v>-1</v>
      </c>
      <c r="G526" s="8" t="n">
        <v>0.0048</v>
      </c>
      <c r="H526" s="8" t="n">
        <v>1</v>
      </c>
      <c r="I526" s="9" t="n">
        <v>0</v>
      </c>
    </row>
    <row r="527">
      <c r="B527" s="6" t="n">
        <v>16101</v>
      </c>
      <c r="C527" s="7" t="n">
        <v>50000</v>
      </c>
      <c r="D527" s="6" t="n">
        <v>30</v>
      </c>
      <c r="E527" s="6" t="n">
        <v>0</v>
      </c>
      <c r="F527" s="6" t="n">
        <v>0</v>
      </c>
      <c r="G527" s="8" t="n">
        <v>0.6962</v>
      </c>
      <c r="H527" s="8" t="n">
        <v>0.0575</v>
      </c>
      <c r="I527" s="10" t="n">
        <v>1</v>
      </c>
    </row>
    <row r="528">
      <c r="B528" s="6" t="n">
        <v>16126</v>
      </c>
      <c r="C528" s="7" t="n">
        <v>30000</v>
      </c>
      <c r="D528" s="6" t="n">
        <v>34</v>
      </c>
      <c r="E528" s="6" t="n">
        <v>2</v>
      </c>
      <c r="F528" s="6" t="n">
        <v>2</v>
      </c>
      <c r="G528" s="8" t="n">
        <v>0.5648</v>
      </c>
      <c r="H528" s="8" t="n">
        <v>0</v>
      </c>
      <c r="I528" s="10" t="n">
        <v>1</v>
      </c>
    </row>
    <row r="529">
      <c r="B529" s="6" t="n">
        <v>16133</v>
      </c>
      <c r="C529" s="7" t="n">
        <v>30000</v>
      </c>
      <c r="D529" s="6" t="n">
        <v>40</v>
      </c>
      <c r="E529" s="6" t="n">
        <v>2</v>
      </c>
      <c r="F529" s="6" t="n">
        <v>0</v>
      </c>
      <c r="G529" s="8" t="n">
        <v>0.9261</v>
      </c>
      <c r="H529" s="8" t="n">
        <v>0.0629</v>
      </c>
      <c r="I529" s="10" t="n">
        <v>1</v>
      </c>
    </row>
    <row r="530">
      <c r="B530" s="6" t="n">
        <v>16156</v>
      </c>
      <c r="C530" s="7" t="n">
        <v>300000</v>
      </c>
      <c r="D530" s="6" t="n">
        <v>43</v>
      </c>
      <c r="E530" s="6" t="n">
        <v>-2</v>
      </c>
      <c r="F530" s="6" t="n">
        <v>-2</v>
      </c>
      <c r="G530" s="8" t="n">
        <v>0</v>
      </c>
      <c r="H530" s="8" t="n">
        <v>0</v>
      </c>
      <c r="I530" s="10" t="n">
        <v>1</v>
      </c>
    </row>
    <row r="531">
      <c r="B531" s="6" t="n">
        <v>16193</v>
      </c>
      <c r="C531" s="7" t="n">
        <v>300000</v>
      </c>
      <c r="D531" s="6" t="n">
        <v>45</v>
      </c>
      <c r="E531" s="6" t="n">
        <v>0</v>
      </c>
      <c r="F531" s="6" t="n">
        <v>0</v>
      </c>
      <c r="G531" s="8" t="n">
        <v>0.4095</v>
      </c>
      <c r="H531" s="8" t="n">
        <v>0.08169999999999999</v>
      </c>
      <c r="I531" s="9" t="n">
        <v>0</v>
      </c>
    </row>
    <row r="532">
      <c r="B532" s="6" t="n">
        <v>16246</v>
      </c>
      <c r="C532" s="7" t="n">
        <v>20000</v>
      </c>
      <c r="D532" s="6" t="n">
        <v>40</v>
      </c>
      <c r="E532" s="6" t="n">
        <v>0</v>
      </c>
      <c r="F532" s="6" t="n">
        <v>0</v>
      </c>
      <c r="G532" s="8" t="n">
        <v>0.1568</v>
      </c>
      <c r="H532" s="8" t="n">
        <v>0.638</v>
      </c>
      <c r="I532" s="9" t="n">
        <v>0</v>
      </c>
    </row>
    <row r="533">
      <c r="B533" s="6" t="n">
        <v>16278</v>
      </c>
      <c r="C533" s="7" t="n">
        <v>280000</v>
      </c>
      <c r="D533" s="6" t="n">
        <v>32</v>
      </c>
      <c r="E533" s="6" t="n">
        <v>-1</v>
      </c>
      <c r="F533" s="6" t="n">
        <v>0</v>
      </c>
      <c r="G533" s="8" t="n">
        <v>0.768</v>
      </c>
      <c r="H533" s="8" t="n">
        <v>0.0326</v>
      </c>
      <c r="I533" s="9" t="n">
        <v>0</v>
      </c>
    </row>
    <row r="534">
      <c r="B534" s="6" t="n">
        <v>16313</v>
      </c>
      <c r="C534" s="7" t="n">
        <v>140000</v>
      </c>
      <c r="D534" s="6" t="n">
        <v>38</v>
      </c>
      <c r="E534" s="6" t="n">
        <v>0</v>
      </c>
      <c r="F534" s="6" t="n">
        <v>0</v>
      </c>
      <c r="G534" s="8" t="n">
        <v>0.9929</v>
      </c>
      <c r="H534" s="8" t="n">
        <v>0.0347</v>
      </c>
      <c r="I534" s="9" t="n">
        <v>0</v>
      </c>
    </row>
    <row r="535">
      <c r="B535" s="6" t="n">
        <v>16322</v>
      </c>
      <c r="C535" s="7" t="n">
        <v>180000</v>
      </c>
      <c r="D535" s="6" t="n">
        <v>44</v>
      </c>
      <c r="E535" s="6" t="n">
        <v>-1</v>
      </c>
      <c r="F535" s="6" t="n">
        <v>-1</v>
      </c>
      <c r="G535" s="8" t="n">
        <v>0.0193</v>
      </c>
      <c r="H535" s="8" t="n">
        <v>0.2186</v>
      </c>
      <c r="I535" s="9" t="n">
        <v>0</v>
      </c>
    </row>
    <row r="536">
      <c r="B536" s="6" t="n">
        <v>16346</v>
      </c>
      <c r="C536" s="7" t="n">
        <v>190000</v>
      </c>
      <c r="D536" s="6" t="n">
        <v>39</v>
      </c>
      <c r="E536" s="6" t="n">
        <v>0</v>
      </c>
      <c r="F536" s="6" t="n">
        <v>0</v>
      </c>
      <c r="G536" s="8" t="n">
        <v>0.5738</v>
      </c>
      <c r="H536" s="8" t="n">
        <v>0.0367</v>
      </c>
      <c r="I536" s="9" t="n">
        <v>0</v>
      </c>
    </row>
    <row r="537">
      <c r="B537" s="6" t="n">
        <v>16378</v>
      </c>
      <c r="C537" s="7" t="n">
        <v>170000</v>
      </c>
      <c r="D537" s="6" t="n">
        <v>41</v>
      </c>
      <c r="E537" s="6" t="n">
        <v>0</v>
      </c>
      <c r="F537" s="6" t="n">
        <v>0</v>
      </c>
      <c r="G537" s="8" t="n">
        <v>0.6963</v>
      </c>
      <c r="H537" s="8" t="n">
        <v>0.0363</v>
      </c>
      <c r="I537" s="9" t="n">
        <v>0</v>
      </c>
    </row>
    <row r="538">
      <c r="B538" s="6" t="n">
        <v>16457</v>
      </c>
      <c r="C538" s="7" t="n">
        <v>30000</v>
      </c>
      <c r="D538" s="6" t="n">
        <v>62</v>
      </c>
      <c r="E538" s="6" t="n">
        <v>0</v>
      </c>
      <c r="F538" s="6" t="n">
        <v>0</v>
      </c>
      <c r="G538" s="8" t="n">
        <v>0.6188</v>
      </c>
      <c r="H538" s="8" t="n">
        <v>0.0916</v>
      </c>
      <c r="I538" s="10" t="n">
        <v>1</v>
      </c>
    </row>
    <row r="539">
      <c r="B539" s="6" t="n">
        <v>16474</v>
      </c>
      <c r="C539" s="7" t="n">
        <v>110000</v>
      </c>
      <c r="D539" s="6" t="n">
        <v>50</v>
      </c>
      <c r="E539" s="6" t="n">
        <v>0</v>
      </c>
      <c r="F539" s="6" t="n">
        <v>0</v>
      </c>
      <c r="G539" s="8" t="n">
        <v>0.9189000000000001</v>
      </c>
      <c r="H539" s="8" t="n">
        <v>0.0465</v>
      </c>
      <c r="I539" s="9" t="n">
        <v>0</v>
      </c>
    </row>
    <row r="540">
      <c r="B540" s="6" t="n">
        <v>16491</v>
      </c>
      <c r="C540" s="7" t="n">
        <v>30000</v>
      </c>
      <c r="D540" s="6" t="n">
        <v>23</v>
      </c>
      <c r="E540" s="6" t="n">
        <v>0</v>
      </c>
      <c r="F540" s="6" t="n">
        <v>0</v>
      </c>
      <c r="G540" s="8" t="n">
        <v>0.644</v>
      </c>
      <c r="H540" s="8" t="n">
        <v>0.2753</v>
      </c>
      <c r="I540" s="10" t="n">
        <v>1</v>
      </c>
    </row>
    <row r="541">
      <c r="B541" s="6" t="n">
        <v>16565</v>
      </c>
      <c r="C541" s="7" t="n">
        <v>320000</v>
      </c>
      <c r="D541" s="6" t="n">
        <v>28</v>
      </c>
      <c r="E541" s="6" t="n">
        <v>0</v>
      </c>
      <c r="F541" s="6" t="n">
        <v>0</v>
      </c>
      <c r="G541" s="8" t="n">
        <v>0.2494</v>
      </c>
      <c r="H541" s="8" t="n">
        <v>0.0441</v>
      </c>
      <c r="I541" s="9" t="n">
        <v>0</v>
      </c>
    </row>
    <row r="542">
      <c r="B542" s="6" t="n">
        <v>16587</v>
      </c>
      <c r="C542" s="7" t="n">
        <v>200000</v>
      </c>
      <c r="D542" s="6" t="n">
        <v>29</v>
      </c>
      <c r="E542" s="6" t="n">
        <v>0</v>
      </c>
      <c r="F542" s="6" t="n">
        <v>0</v>
      </c>
      <c r="G542" s="8" t="n">
        <v>0.3003</v>
      </c>
      <c r="H542" s="8" t="n">
        <v>0.0416</v>
      </c>
      <c r="I542" s="9" t="n">
        <v>0</v>
      </c>
    </row>
    <row r="543">
      <c r="B543" s="6" t="n">
        <v>16630</v>
      </c>
      <c r="C543" s="7" t="n">
        <v>170000</v>
      </c>
      <c r="D543" s="6" t="n">
        <v>45</v>
      </c>
      <c r="E543" s="6" t="n">
        <v>0</v>
      </c>
      <c r="F543" s="6" t="n">
        <v>0</v>
      </c>
      <c r="G543" s="8" t="n">
        <v>0.9724</v>
      </c>
      <c r="H543" s="8" t="n">
        <v>0.0484</v>
      </c>
      <c r="I543" s="9" t="n">
        <v>0</v>
      </c>
    </row>
    <row r="544">
      <c r="B544" s="6" t="n">
        <v>16634</v>
      </c>
      <c r="C544" s="7" t="n">
        <v>50000</v>
      </c>
      <c r="D544" s="6" t="n">
        <v>25</v>
      </c>
      <c r="E544" s="6" t="n">
        <v>2</v>
      </c>
      <c r="F544" s="6" t="n">
        <v>2</v>
      </c>
      <c r="G544" s="8" t="n">
        <v>0.3955</v>
      </c>
      <c r="H544" s="8" t="n">
        <v>0.1922</v>
      </c>
      <c r="I544" s="10" t="n">
        <v>1</v>
      </c>
    </row>
    <row r="545">
      <c r="B545" s="6" t="n">
        <v>16707</v>
      </c>
      <c r="C545" s="7" t="n">
        <v>280000</v>
      </c>
      <c r="D545" s="6" t="n">
        <v>33</v>
      </c>
      <c r="E545" s="6" t="n">
        <v>0</v>
      </c>
      <c r="F545" s="6" t="n">
        <v>0</v>
      </c>
      <c r="G545" s="8" t="n">
        <v>0.9469</v>
      </c>
      <c r="H545" s="8" t="n">
        <v>0.0343</v>
      </c>
      <c r="I545" s="9" t="n">
        <v>0</v>
      </c>
    </row>
    <row r="546">
      <c r="B546" s="6" t="n">
        <v>16749</v>
      </c>
      <c r="C546" s="7" t="n">
        <v>150000</v>
      </c>
      <c r="D546" s="6" t="n">
        <v>36</v>
      </c>
      <c r="E546" s="6" t="n">
        <v>2</v>
      </c>
      <c r="F546" s="6" t="n">
        <v>3</v>
      </c>
      <c r="G546" s="8" t="n">
        <v>0.5800999999999999</v>
      </c>
      <c r="H546" s="8" t="n">
        <v>0.023</v>
      </c>
      <c r="I546" s="9" t="n">
        <v>0</v>
      </c>
    </row>
    <row r="547">
      <c r="B547" s="6" t="n">
        <v>16768</v>
      </c>
      <c r="C547" s="7" t="n">
        <v>100000</v>
      </c>
      <c r="D547" s="6" t="n">
        <v>35</v>
      </c>
      <c r="E547" s="6" t="n">
        <v>1</v>
      </c>
      <c r="F547" s="6" t="n">
        <v>2</v>
      </c>
      <c r="G547" s="8" t="n">
        <v>0.237</v>
      </c>
      <c r="H547" s="8" t="n">
        <v>0</v>
      </c>
      <c r="I547" s="10" t="n">
        <v>1</v>
      </c>
    </row>
    <row r="548">
      <c r="B548" s="6" t="n">
        <v>16821</v>
      </c>
      <c r="C548" s="7" t="n">
        <v>20000</v>
      </c>
      <c r="D548" s="6" t="n">
        <v>41</v>
      </c>
      <c r="E548" s="6" t="n">
        <v>0</v>
      </c>
      <c r="F548" s="6" t="n">
        <v>0</v>
      </c>
      <c r="G548" s="8" t="n">
        <v>1.005</v>
      </c>
      <c r="H548" s="8" t="n">
        <v>0.06560000000000001</v>
      </c>
      <c r="I548" s="9" t="n">
        <v>0</v>
      </c>
    </row>
    <row r="549">
      <c r="B549" s="6" t="n">
        <v>16834</v>
      </c>
      <c r="C549" s="7" t="n">
        <v>10000</v>
      </c>
      <c r="D549" s="6" t="n">
        <v>45</v>
      </c>
      <c r="E549" s="6" t="n">
        <v>1</v>
      </c>
      <c r="F549" s="6" t="n">
        <v>2</v>
      </c>
      <c r="G549" s="8" t="n">
        <v>0.7953</v>
      </c>
      <c r="H549" s="8" t="n">
        <v>0.1886</v>
      </c>
      <c r="I549" s="9" t="n">
        <v>0</v>
      </c>
    </row>
    <row r="550">
      <c r="B550" s="6" t="n">
        <v>16842</v>
      </c>
      <c r="C550" s="7" t="n">
        <v>260000</v>
      </c>
      <c r="D550" s="6" t="n">
        <v>37</v>
      </c>
      <c r="E550" s="6" t="n">
        <v>-1</v>
      </c>
      <c r="F550" s="6" t="n">
        <v>-1</v>
      </c>
      <c r="G550" s="8" t="n">
        <v>0.0115</v>
      </c>
      <c r="H550" s="8" t="n">
        <v>0.05</v>
      </c>
      <c r="I550" s="9" t="n">
        <v>0</v>
      </c>
    </row>
    <row r="551">
      <c r="B551" s="6" t="n">
        <v>16891</v>
      </c>
      <c r="C551" s="7" t="n">
        <v>300000</v>
      </c>
      <c r="D551" s="6" t="n">
        <v>37</v>
      </c>
      <c r="E551" s="6" t="n">
        <v>-2</v>
      </c>
      <c r="F551" s="6" t="n">
        <v>-2</v>
      </c>
      <c r="G551" s="8" t="n">
        <v>0.0389</v>
      </c>
      <c r="H551" s="8" t="n">
        <v>2</v>
      </c>
      <c r="I551" s="9" t="n">
        <v>0</v>
      </c>
    </row>
    <row r="552">
      <c r="B552" s="6" t="n">
        <v>16922</v>
      </c>
      <c r="C552" s="7" t="n">
        <v>200000</v>
      </c>
      <c r="D552" s="6" t="n">
        <v>55</v>
      </c>
      <c r="E552" s="6" t="n">
        <v>0</v>
      </c>
      <c r="F552" s="6" t="n">
        <v>0</v>
      </c>
      <c r="G552" s="8" t="n">
        <v>0.8464</v>
      </c>
      <c r="H552" s="8" t="n">
        <v>0.0365</v>
      </c>
      <c r="I552" s="9" t="n">
        <v>0</v>
      </c>
    </row>
    <row r="553">
      <c r="B553" s="6" t="n">
        <v>16941</v>
      </c>
      <c r="C553" s="7" t="n">
        <v>180000</v>
      </c>
      <c r="D553" s="6" t="n">
        <v>51</v>
      </c>
      <c r="E553" s="6" t="n">
        <v>0</v>
      </c>
      <c r="F553" s="6" t="n">
        <v>0</v>
      </c>
      <c r="G553" s="8" t="n">
        <v>0.7463</v>
      </c>
      <c r="H553" s="8" t="n">
        <v>0.0448</v>
      </c>
      <c r="I553" s="10" t="n">
        <v>1</v>
      </c>
    </row>
    <row r="554">
      <c r="B554" s="6" t="n">
        <v>16983</v>
      </c>
      <c r="C554" s="7" t="n">
        <v>300000</v>
      </c>
      <c r="D554" s="6" t="n">
        <v>28</v>
      </c>
      <c r="E554" s="6" t="n">
        <v>-1</v>
      </c>
      <c r="F554" s="6" t="n">
        <v>-1</v>
      </c>
      <c r="G554" s="8" t="n">
        <v>0.0026</v>
      </c>
      <c r="H554" s="8" t="n">
        <v>1.269</v>
      </c>
      <c r="I554" s="9" t="n">
        <v>0</v>
      </c>
    </row>
    <row r="555">
      <c r="B555" s="6" t="n">
        <v>16992</v>
      </c>
      <c r="C555" s="7" t="n">
        <v>50000</v>
      </c>
      <c r="D555" s="6" t="n">
        <v>22</v>
      </c>
      <c r="E555" s="6" t="n">
        <v>2</v>
      </c>
      <c r="F555" s="6" t="n">
        <v>2</v>
      </c>
      <c r="G555" s="8" t="n">
        <v>0.7333</v>
      </c>
      <c r="H555" s="8" t="n">
        <v>0.1262</v>
      </c>
      <c r="I555" s="10" t="n">
        <v>1</v>
      </c>
    </row>
    <row r="556">
      <c r="B556" s="6" t="n">
        <v>16995</v>
      </c>
      <c r="C556" s="7" t="n">
        <v>50000</v>
      </c>
      <c r="D556" s="6" t="n">
        <v>24</v>
      </c>
      <c r="E556" s="6" t="n">
        <v>2</v>
      </c>
      <c r="F556" s="6" t="n">
        <v>0</v>
      </c>
      <c r="G556" s="8" t="n">
        <v>0.9738</v>
      </c>
      <c r="H556" s="8" t="n">
        <v>0.0427</v>
      </c>
      <c r="I556" s="10" t="n">
        <v>1</v>
      </c>
    </row>
    <row r="557">
      <c r="B557" s="6" t="n">
        <v>17007</v>
      </c>
      <c r="C557" s="7" t="n">
        <v>20000</v>
      </c>
      <c r="D557" s="6" t="n">
        <v>24</v>
      </c>
      <c r="E557" s="6" t="n">
        <v>0</v>
      </c>
      <c r="F557" s="6" t="n">
        <v>0</v>
      </c>
      <c r="G557" s="8" t="n">
        <v>0.5497</v>
      </c>
      <c r="H557" s="8" t="n">
        <v>0.1364</v>
      </c>
      <c r="I557" s="10" t="n">
        <v>1</v>
      </c>
    </row>
    <row r="558">
      <c r="B558" s="6" t="n">
        <v>17057</v>
      </c>
      <c r="C558" s="7" t="n">
        <v>30000</v>
      </c>
      <c r="D558" s="6" t="n">
        <v>22</v>
      </c>
      <c r="E558" s="6" t="n">
        <v>0</v>
      </c>
      <c r="F558" s="6" t="n">
        <v>0</v>
      </c>
      <c r="G558" s="8" t="n">
        <v>0.4844</v>
      </c>
      <c r="H558" s="8" t="n">
        <v>0.2066</v>
      </c>
      <c r="I558" s="9" t="n">
        <v>0</v>
      </c>
    </row>
    <row r="559">
      <c r="B559" s="6" t="n">
        <v>17086</v>
      </c>
      <c r="C559" s="7" t="n">
        <v>10000</v>
      </c>
      <c r="D559" s="6" t="n">
        <v>22</v>
      </c>
      <c r="E559" s="6" t="n">
        <v>0</v>
      </c>
      <c r="F559" s="6" t="n">
        <v>0</v>
      </c>
      <c r="G559" s="8" t="n">
        <v>0.6758999999999999</v>
      </c>
      <c r="H559" s="8" t="n">
        <v>0.3625</v>
      </c>
      <c r="I559" s="10" t="n">
        <v>1</v>
      </c>
    </row>
    <row r="560">
      <c r="B560" s="6" t="n">
        <v>17129</v>
      </c>
      <c r="C560" s="7" t="n">
        <v>50000</v>
      </c>
      <c r="D560" s="6" t="n">
        <v>24</v>
      </c>
      <c r="E560" s="6" t="n">
        <v>0</v>
      </c>
      <c r="F560" s="6" t="n">
        <v>0</v>
      </c>
      <c r="G560" s="8" t="n">
        <v>0.9522</v>
      </c>
      <c r="H560" s="8" t="n">
        <v>0.0445</v>
      </c>
      <c r="I560" s="9" t="n">
        <v>0</v>
      </c>
    </row>
    <row r="561">
      <c r="B561" s="6" t="n">
        <v>17134</v>
      </c>
      <c r="C561" s="7" t="n">
        <v>20000</v>
      </c>
      <c r="D561" s="6" t="n">
        <v>27</v>
      </c>
      <c r="E561" s="6" t="n">
        <v>3</v>
      </c>
      <c r="F561" s="6" t="n">
        <v>2</v>
      </c>
      <c r="G561" s="8" t="n">
        <v>0.8002</v>
      </c>
      <c r="H561" s="8" t="n">
        <v>0</v>
      </c>
      <c r="I561" s="10" t="n">
        <v>1</v>
      </c>
    </row>
    <row r="562">
      <c r="B562" s="6" t="n">
        <v>17138</v>
      </c>
      <c r="C562" s="7" t="n">
        <v>20000</v>
      </c>
      <c r="D562" s="6" t="n">
        <v>25</v>
      </c>
      <c r="E562" s="6" t="n">
        <v>-1</v>
      </c>
      <c r="F562" s="6" t="n">
        <v>0</v>
      </c>
      <c r="G562" s="8" t="n">
        <v>0.0914</v>
      </c>
      <c r="H562" s="8" t="n">
        <v>0.6565</v>
      </c>
      <c r="I562" s="10" t="n">
        <v>1</v>
      </c>
    </row>
    <row r="563">
      <c r="B563" s="6" t="n">
        <v>17140</v>
      </c>
      <c r="C563" s="7" t="n">
        <v>50000</v>
      </c>
      <c r="D563" s="6" t="n">
        <v>25</v>
      </c>
      <c r="E563" s="6" t="n">
        <v>0</v>
      </c>
      <c r="F563" s="6" t="n">
        <v>0</v>
      </c>
      <c r="G563" s="8" t="n">
        <v>0.8328</v>
      </c>
      <c r="H563" s="8" t="n">
        <v>0.08409999999999999</v>
      </c>
      <c r="I563" s="10" t="n">
        <v>1</v>
      </c>
    </row>
    <row r="564">
      <c r="B564" s="6" t="n">
        <v>17183</v>
      </c>
      <c r="C564" s="7" t="n">
        <v>130000</v>
      </c>
      <c r="D564" s="6" t="n">
        <v>28</v>
      </c>
      <c r="E564" s="6" t="n">
        <v>0</v>
      </c>
      <c r="F564" s="6" t="n">
        <v>0</v>
      </c>
      <c r="G564" s="8" t="n">
        <v>0.2306</v>
      </c>
      <c r="H564" s="8" t="n">
        <v>0.1677</v>
      </c>
      <c r="I564" s="9" t="n">
        <v>0</v>
      </c>
    </row>
    <row r="565">
      <c r="B565" s="6" t="n">
        <v>17193</v>
      </c>
      <c r="C565" s="7" t="n">
        <v>200000</v>
      </c>
      <c r="D565" s="6" t="n">
        <v>29</v>
      </c>
      <c r="E565" s="6" t="n">
        <v>-1</v>
      </c>
      <c r="F565" s="6" t="n">
        <v>-1</v>
      </c>
      <c r="G565" s="8" t="n">
        <v>0.0469</v>
      </c>
      <c r="H565" s="8" t="n">
        <v>2</v>
      </c>
      <c r="I565" s="9" t="n">
        <v>0</v>
      </c>
    </row>
    <row r="566">
      <c r="B566" s="6" t="n">
        <v>17214</v>
      </c>
      <c r="C566" s="7" t="n">
        <v>50000</v>
      </c>
      <c r="D566" s="6" t="n">
        <v>24</v>
      </c>
      <c r="E566" s="6" t="n">
        <v>1</v>
      </c>
      <c r="F566" s="6" t="n">
        <v>2</v>
      </c>
      <c r="G566" s="8" t="n">
        <v>0.2549</v>
      </c>
      <c r="H566" s="8" t="n">
        <v>0</v>
      </c>
      <c r="I566" s="10" t="n">
        <v>1</v>
      </c>
    </row>
    <row r="567">
      <c r="B567" s="6" t="n">
        <v>17223</v>
      </c>
      <c r="C567" s="7" t="n">
        <v>120000</v>
      </c>
      <c r="D567" s="6" t="n">
        <v>26</v>
      </c>
      <c r="E567" s="6" t="n">
        <v>0</v>
      </c>
      <c r="F567" s="6" t="n">
        <v>0</v>
      </c>
      <c r="G567" s="8" t="n">
        <v>0.8621</v>
      </c>
      <c r="H567" s="8" t="n">
        <v>0.0387</v>
      </c>
      <c r="I567" s="9" t="n">
        <v>0</v>
      </c>
    </row>
    <row r="568">
      <c r="B568" s="6" t="n">
        <v>17232</v>
      </c>
      <c r="C568" s="7" t="n">
        <v>80000</v>
      </c>
      <c r="D568" s="6" t="n">
        <v>33</v>
      </c>
      <c r="E568" s="6" t="n">
        <v>0</v>
      </c>
      <c r="F568" s="6" t="n">
        <v>0</v>
      </c>
      <c r="G568" s="8" t="n">
        <v>0.9175</v>
      </c>
      <c r="H568" s="8" t="n">
        <v>0.1362</v>
      </c>
      <c r="I568" s="9" t="n">
        <v>0</v>
      </c>
    </row>
    <row r="569">
      <c r="B569" s="6" t="n">
        <v>17243</v>
      </c>
      <c r="C569" s="7" t="n">
        <v>120000</v>
      </c>
      <c r="D569" s="6" t="n">
        <v>36</v>
      </c>
      <c r="E569" s="6" t="n">
        <v>0</v>
      </c>
      <c r="F569" s="6" t="n">
        <v>0</v>
      </c>
      <c r="G569" s="8" t="n">
        <v>0.0269</v>
      </c>
      <c r="H569" s="8" t="n">
        <v>1.0022</v>
      </c>
      <c r="I569" s="9" t="n">
        <v>0</v>
      </c>
    </row>
    <row r="570">
      <c r="B570" s="6" t="n">
        <v>17249</v>
      </c>
      <c r="C570" s="7" t="n">
        <v>20000</v>
      </c>
      <c r="D570" s="6" t="n">
        <v>38</v>
      </c>
      <c r="E570" s="6" t="n">
        <v>3</v>
      </c>
      <c r="F570" s="6" t="n">
        <v>4</v>
      </c>
      <c r="G570" s="8" t="n">
        <v>0.9333</v>
      </c>
      <c r="H570" s="8" t="n">
        <v>0</v>
      </c>
      <c r="I570" s="10" t="n">
        <v>1</v>
      </c>
    </row>
    <row r="571">
      <c r="B571" s="6" t="n">
        <v>17296</v>
      </c>
      <c r="C571" s="7" t="n">
        <v>360000</v>
      </c>
      <c r="D571" s="6" t="n">
        <v>32</v>
      </c>
      <c r="E571" s="6" t="n">
        <v>-2</v>
      </c>
      <c r="F571" s="6" t="n">
        <v>-2</v>
      </c>
      <c r="G571" s="8" t="n">
        <v>0</v>
      </c>
      <c r="H571" s="8" t="n">
        <v>0</v>
      </c>
      <c r="I571" s="9" t="n">
        <v>0</v>
      </c>
    </row>
    <row r="572">
      <c r="B572" s="6" t="n">
        <v>17332</v>
      </c>
      <c r="C572" s="7" t="n">
        <v>30000</v>
      </c>
      <c r="D572" s="6" t="n">
        <v>48</v>
      </c>
      <c r="E572" s="6" t="n">
        <v>0</v>
      </c>
      <c r="F572" s="6" t="n">
        <v>0</v>
      </c>
      <c r="G572" s="8" t="n">
        <v>0.4945</v>
      </c>
      <c r="H572" s="8" t="n">
        <v>0.08500000000000001</v>
      </c>
      <c r="I572" s="10" t="n">
        <v>1</v>
      </c>
    </row>
    <row r="573">
      <c r="B573" s="6" t="n">
        <v>17364</v>
      </c>
      <c r="C573" s="7" t="n">
        <v>50000</v>
      </c>
      <c r="D573" s="6" t="n">
        <v>36</v>
      </c>
      <c r="E573" s="6" t="n">
        <v>3</v>
      </c>
      <c r="F573" s="6" t="n">
        <v>2</v>
      </c>
      <c r="G573" s="8" t="n">
        <v>0.9444</v>
      </c>
      <c r="H573" s="8" t="n">
        <v>0.0424</v>
      </c>
      <c r="I573" s="10" t="n">
        <v>1</v>
      </c>
    </row>
    <row r="574">
      <c r="B574" s="6" t="n">
        <v>17409</v>
      </c>
      <c r="C574" s="7" t="n">
        <v>50000</v>
      </c>
      <c r="D574" s="6" t="n">
        <v>39</v>
      </c>
      <c r="E574" s="6" t="n">
        <v>0</v>
      </c>
      <c r="F574" s="6" t="n">
        <v>0</v>
      </c>
      <c r="G574" s="8" t="n">
        <v>0.656</v>
      </c>
      <c r="H574" s="8" t="n">
        <v>0.0456</v>
      </c>
      <c r="I574" s="9" t="n">
        <v>0</v>
      </c>
    </row>
    <row r="575">
      <c r="B575" s="6" t="n">
        <v>17423</v>
      </c>
      <c r="C575" s="7" t="n">
        <v>390000</v>
      </c>
      <c r="D575" s="6" t="n">
        <v>33</v>
      </c>
      <c r="E575" s="6" t="n">
        <v>0</v>
      </c>
      <c r="F575" s="6" t="n">
        <v>-1</v>
      </c>
      <c r="G575" s="8" t="n">
        <v>0.0144</v>
      </c>
      <c r="H575" s="8" t="n">
        <v>2</v>
      </c>
      <c r="I575" s="9" t="n">
        <v>0</v>
      </c>
    </row>
    <row r="576">
      <c r="B576" s="6" t="n">
        <v>17454</v>
      </c>
      <c r="C576" s="7" t="n">
        <v>320000</v>
      </c>
      <c r="D576" s="6" t="n">
        <v>36</v>
      </c>
      <c r="E576" s="6" t="n">
        <v>-1</v>
      </c>
      <c r="F576" s="6" t="n">
        <v>2</v>
      </c>
      <c r="G576" s="8" t="n">
        <v>0.0246</v>
      </c>
      <c r="H576" s="8" t="n">
        <v>0</v>
      </c>
      <c r="I576" s="9" t="n">
        <v>0</v>
      </c>
    </row>
    <row r="577">
      <c r="B577" s="6" t="n">
        <v>17463</v>
      </c>
      <c r="C577" s="7" t="n">
        <v>190000</v>
      </c>
      <c r="D577" s="6" t="n">
        <v>46</v>
      </c>
      <c r="E577" s="6" t="n">
        <v>0</v>
      </c>
      <c r="F577" s="6" t="n">
        <v>0</v>
      </c>
      <c r="G577" s="8" t="n">
        <v>0.7401</v>
      </c>
      <c r="H577" s="8" t="n">
        <v>0.0569</v>
      </c>
      <c r="I577" s="9" t="n">
        <v>0</v>
      </c>
    </row>
    <row r="578">
      <c r="B578" s="6" t="n">
        <v>17540</v>
      </c>
      <c r="C578" s="7" t="n">
        <v>30000</v>
      </c>
      <c r="D578" s="6" t="n">
        <v>47</v>
      </c>
      <c r="E578" s="6" t="n">
        <v>0</v>
      </c>
      <c r="F578" s="6" t="n">
        <v>0</v>
      </c>
      <c r="G578" s="8" t="n">
        <v>0.904</v>
      </c>
      <c r="H578" s="8" t="n">
        <v>0.1067</v>
      </c>
      <c r="I578" s="9" t="n">
        <v>0</v>
      </c>
    </row>
    <row r="579">
      <c r="B579" s="6" t="n">
        <v>17544</v>
      </c>
      <c r="C579" s="7" t="n">
        <v>20000</v>
      </c>
      <c r="D579" s="6" t="n">
        <v>40</v>
      </c>
      <c r="E579" s="6" t="n">
        <v>0</v>
      </c>
      <c r="F579" s="6" t="n">
        <v>0</v>
      </c>
      <c r="G579" s="8" t="n">
        <v>0.5235</v>
      </c>
      <c r="H579" s="8" t="n">
        <v>0.1094</v>
      </c>
      <c r="I579" s="9" t="n">
        <v>0</v>
      </c>
    </row>
    <row r="580">
      <c r="B580" s="6" t="n">
        <v>17548</v>
      </c>
      <c r="C580" s="7" t="n">
        <v>110000</v>
      </c>
      <c r="D580" s="6" t="n">
        <v>38</v>
      </c>
      <c r="E580" s="6" t="n">
        <v>2</v>
      </c>
      <c r="F580" s="6" t="n">
        <v>2</v>
      </c>
      <c r="G580" s="8" t="n">
        <v>0.3784</v>
      </c>
      <c r="H580" s="8" t="n">
        <v>0</v>
      </c>
      <c r="I580" s="10" t="n">
        <v>1</v>
      </c>
    </row>
    <row r="581">
      <c r="B581" s="6" t="n">
        <v>17582</v>
      </c>
      <c r="C581" s="7" t="n">
        <v>30000</v>
      </c>
      <c r="D581" s="6" t="n">
        <v>42</v>
      </c>
      <c r="E581" s="6" t="n">
        <v>2</v>
      </c>
      <c r="F581" s="6" t="n">
        <v>2</v>
      </c>
      <c r="G581" s="8" t="n">
        <v>1.005</v>
      </c>
      <c r="H581" s="8" t="n">
        <v>0</v>
      </c>
      <c r="I581" s="10" t="n">
        <v>1</v>
      </c>
    </row>
    <row r="582">
      <c r="B582" s="6" t="n">
        <v>17584</v>
      </c>
      <c r="C582" s="7" t="n">
        <v>260000</v>
      </c>
      <c r="D582" s="6" t="n">
        <v>49</v>
      </c>
      <c r="E582" s="6" t="n">
        <v>-1</v>
      </c>
      <c r="F582" s="6" t="n">
        <v>-1</v>
      </c>
      <c r="G582" s="8" t="n">
        <v>0.0309</v>
      </c>
      <c r="H582" s="8" t="n">
        <v>0.2714</v>
      </c>
      <c r="I582" s="10" t="n">
        <v>1</v>
      </c>
    </row>
    <row r="583">
      <c r="B583" s="6" t="n">
        <v>17601</v>
      </c>
      <c r="C583" s="7" t="n">
        <v>80000</v>
      </c>
      <c r="D583" s="6" t="n">
        <v>31</v>
      </c>
      <c r="E583" s="6" t="n">
        <v>0</v>
      </c>
      <c r="F583" s="6" t="n">
        <v>0</v>
      </c>
      <c r="G583" s="8" t="n">
        <v>0.6395</v>
      </c>
      <c r="H583" s="8" t="n">
        <v>0.08799999999999999</v>
      </c>
      <c r="I583" s="9" t="n">
        <v>0</v>
      </c>
    </row>
    <row r="584">
      <c r="B584" s="6" t="n">
        <v>17621</v>
      </c>
      <c r="C584" s="7" t="n">
        <v>280000</v>
      </c>
      <c r="D584" s="6" t="n">
        <v>31</v>
      </c>
      <c r="E584" s="6" t="n">
        <v>-1</v>
      </c>
      <c r="F584" s="6" t="n">
        <v>-1</v>
      </c>
      <c r="G584" s="8" t="n">
        <v>0.0015</v>
      </c>
      <c r="H584" s="8" t="n">
        <v>2</v>
      </c>
      <c r="I584" s="9" t="n">
        <v>0</v>
      </c>
    </row>
    <row r="585">
      <c r="B585" s="6" t="n">
        <v>17622</v>
      </c>
      <c r="C585" s="7" t="n">
        <v>20000</v>
      </c>
      <c r="D585" s="6" t="n">
        <v>31</v>
      </c>
      <c r="E585" s="6" t="n">
        <v>-1</v>
      </c>
      <c r="F585" s="6" t="n">
        <v>-1</v>
      </c>
      <c r="G585" s="8" t="n">
        <v>0.0208</v>
      </c>
      <c r="H585" s="8" t="n">
        <v>1</v>
      </c>
      <c r="I585" s="9" t="n">
        <v>0</v>
      </c>
    </row>
    <row r="586">
      <c r="B586" s="6" t="n">
        <v>17626</v>
      </c>
      <c r="C586" s="7" t="n">
        <v>140000</v>
      </c>
      <c r="D586" s="6" t="n">
        <v>33</v>
      </c>
      <c r="E586" s="6" t="n">
        <v>2</v>
      </c>
      <c r="F586" s="6" t="n">
        <v>0</v>
      </c>
      <c r="G586" s="8" t="n">
        <v>0.9293</v>
      </c>
      <c r="H586" s="8" t="n">
        <v>0.0377</v>
      </c>
      <c r="I586" s="9" t="n">
        <v>0</v>
      </c>
    </row>
    <row r="587">
      <c r="B587" s="6" t="n">
        <v>17686</v>
      </c>
      <c r="C587" s="7" t="n">
        <v>250000</v>
      </c>
      <c r="D587" s="6" t="n">
        <v>35</v>
      </c>
      <c r="E587" s="6" t="n">
        <v>2</v>
      </c>
      <c r="F587" s="6" t="n">
        <v>0</v>
      </c>
      <c r="G587" s="8" t="n">
        <v>0.3719</v>
      </c>
      <c r="H587" s="8" t="n">
        <v>0.0177</v>
      </c>
      <c r="I587" s="10" t="n">
        <v>1</v>
      </c>
    </row>
    <row r="588">
      <c r="B588" s="6" t="n">
        <v>17692</v>
      </c>
      <c r="C588" s="7" t="n">
        <v>150000</v>
      </c>
      <c r="D588" s="6" t="n">
        <v>43</v>
      </c>
      <c r="E588" s="6" t="n">
        <v>-2</v>
      </c>
      <c r="F588" s="6" t="n">
        <v>-2</v>
      </c>
      <c r="G588" s="8" t="n">
        <v>0.0059</v>
      </c>
      <c r="H588" s="8" t="n">
        <v>0.139</v>
      </c>
      <c r="I588" s="9" t="n">
        <v>0</v>
      </c>
    </row>
    <row r="589">
      <c r="B589" s="6" t="n">
        <v>17694</v>
      </c>
      <c r="C589" s="7" t="n">
        <v>20000</v>
      </c>
      <c r="D589" s="6" t="n">
        <v>42</v>
      </c>
      <c r="E589" s="6" t="n">
        <v>1</v>
      </c>
      <c r="F589" s="6" t="n">
        <v>2</v>
      </c>
      <c r="G589" s="8" t="n">
        <v>0.4198</v>
      </c>
      <c r="H589" s="8" t="n">
        <v>0</v>
      </c>
      <c r="I589" s="9" t="n">
        <v>0</v>
      </c>
    </row>
    <row r="590">
      <c r="B590" s="6" t="n">
        <v>17724</v>
      </c>
      <c r="C590" s="7" t="n">
        <v>60000</v>
      </c>
      <c r="D590" s="6" t="n">
        <v>49</v>
      </c>
      <c r="E590" s="6" t="n">
        <v>0</v>
      </c>
      <c r="F590" s="6" t="n">
        <v>0</v>
      </c>
      <c r="G590" s="8" t="n">
        <v>0.9821</v>
      </c>
      <c r="H590" s="8" t="n">
        <v>0.0424</v>
      </c>
      <c r="I590" s="9" t="n">
        <v>0</v>
      </c>
    </row>
    <row r="591">
      <c r="B591" s="6" t="n">
        <v>17727</v>
      </c>
      <c r="C591" s="7" t="n">
        <v>470000</v>
      </c>
      <c r="D591" s="6" t="n">
        <v>61</v>
      </c>
      <c r="E591" s="6" t="n">
        <v>-2</v>
      </c>
      <c r="F591" s="6" t="n">
        <v>-2</v>
      </c>
      <c r="G591" s="8" t="n">
        <v>0.0005</v>
      </c>
      <c r="H591" s="8" t="n">
        <v>2</v>
      </c>
      <c r="I591" s="9" t="n">
        <v>0</v>
      </c>
    </row>
    <row r="592">
      <c r="B592" s="6" t="n">
        <v>17819</v>
      </c>
      <c r="C592" s="7" t="n">
        <v>20000</v>
      </c>
      <c r="D592" s="6" t="n">
        <v>24</v>
      </c>
      <c r="E592" s="6" t="n">
        <v>0</v>
      </c>
      <c r="F592" s="6" t="n">
        <v>0</v>
      </c>
      <c r="G592" s="8" t="n">
        <v>0.9330000000000001</v>
      </c>
      <c r="H592" s="8" t="n">
        <v>0.075</v>
      </c>
      <c r="I592" s="9" t="n">
        <v>0</v>
      </c>
    </row>
    <row r="593">
      <c r="B593" s="6" t="n">
        <v>17948</v>
      </c>
      <c r="C593" s="7" t="n">
        <v>160000</v>
      </c>
      <c r="D593" s="6" t="n">
        <v>36</v>
      </c>
      <c r="E593" s="6" t="n">
        <v>1</v>
      </c>
      <c r="F593" s="6" t="n">
        <v>-2</v>
      </c>
      <c r="G593" s="8" t="n">
        <v>0</v>
      </c>
      <c r="H593" s="8" t="n">
        <v>0</v>
      </c>
      <c r="I593" s="9" t="n">
        <v>0</v>
      </c>
    </row>
    <row r="594">
      <c r="B594" s="6" t="n">
        <v>17978</v>
      </c>
      <c r="C594" s="7" t="n">
        <v>370000</v>
      </c>
      <c r="D594" s="6" t="n">
        <v>38</v>
      </c>
      <c r="E594" s="6" t="n">
        <v>0</v>
      </c>
      <c r="F594" s="6" t="n">
        <v>0</v>
      </c>
      <c r="G594" s="8" t="n">
        <v>0.5123</v>
      </c>
      <c r="H594" s="8" t="n">
        <v>0.0422</v>
      </c>
      <c r="I594" s="9" t="n">
        <v>0</v>
      </c>
    </row>
    <row r="595">
      <c r="B595" s="6" t="n">
        <v>18007</v>
      </c>
      <c r="C595" s="7" t="n">
        <v>800000</v>
      </c>
      <c r="D595" s="6" t="n">
        <v>46</v>
      </c>
      <c r="E595" s="6" t="n">
        <v>-2</v>
      </c>
      <c r="F595" s="6" t="n">
        <v>-2</v>
      </c>
      <c r="G595" s="8" t="n">
        <v>0.0078</v>
      </c>
      <c r="H595" s="8" t="n">
        <v>0.7455000000000001</v>
      </c>
      <c r="I595" s="9" t="n">
        <v>0</v>
      </c>
    </row>
    <row r="596">
      <c r="B596" s="6" t="n">
        <v>18017</v>
      </c>
      <c r="C596" s="7" t="n">
        <v>20000</v>
      </c>
      <c r="D596" s="6" t="n">
        <v>40</v>
      </c>
      <c r="E596" s="6" t="n">
        <v>0</v>
      </c>
      <c r="F596" s="6" t="n">
        <v>0</v>
      </c>
      <c r="G596" s="8" t="n">
        <v>0.6597</v>
      </c>
      <c r="H596" s="8" t="n">
        <v>0.09379999999999999</v>
      </c>
      <c r="I596" s="9" t="n">
        <v>0</v>
      </c>
    </row>
    <row r="597">
      <c r="B597" s="6" t="n">
        <v>18031</v>
      </c>
      <c r="C597" s="7" t="n">
        <v>90000</v>
      </c>
      <c r="D597" s="6" t="n">
        <v>34</v>
      </c>
      <c r="E597" s="6" t="n">
        <v>0</v>
      </c>
      <c r="F597" s="6" t="n">
        <v>0</v>
      </c>
      <c r="G597" s="8" t="n">
        <v>0.5901</v>
      </c>
      <c r="H597" s="8" t="n">
        <v>0.0475</v>
      </c>
      <c r="I597" s="9" t="n">
        <v>0</v>
      </c>
    </row>
    <row r="598">
      <c r="B598" s="6" t="n">
        <v>18056</v>
      </c>
      <c r="C598" s="7" t="n">
        <v>50000</v>
      </c>
      <c r="D598" s="6" t="n">
        <v>43</v>
      </c>
      <c r="E598" s="6" t="n">
        <v>0</v>
      </c>
      <c r="F598" s="6" t="n">
        <v>0</v>
      </c>
      <c r="G598" s="8" t="n">
        <v>0.9534</v>
      </c>
      <c r="H598" s="8" t="n">
        <v>0.042</v>
      </c>
      <c r="I598" s="9" t="n">
        <v>0</v>
      </c>
    </row>
    <row r="599">
      <c r="B599" s="6" t="n">
        <v>18093</v>
      </c>
      <c r="C599" s="7" t="n">
        <v>80000</v>
      </c>
      <c r="D599" s="6" t="n">
        <v>35</v>
      </c>
      <c r="E599" s="6" t="n">
        <v>2</v>
      </c>
      <c r="F599" s="6" t="n">
        <v>0</v>
      </c>
      <c r="G599" s="8" t="n">
        <v>1.1003</v>
      </c>
      <c r="H599" s="8" t="n">
        <v>0.0371</v>
      </c>
      <c r="I599" s="10" t="n">
        <v>1</v>
      </c>
    </row>
    <row r="600">
      <c r="B600" s="6" t="n">
        <v>18132</v>
      </c>
      <c r="C600" s="7" t="n">
        <v>240000</v>
      </c>
      <c r="D600" s="6" t="n">
        <v>37</v>
      </c>
      <c r="E600" s="6" t="n">
        <v>-2</v>
      </c>
      <c r="F600" s="6" t="n">
        <v>-2</v>
      </c>
      <c r="G600" s="8" t="n">
        <v>0.017</v>
      </c>
      <c r="H600" s="8" t="n">
        <v>1.8731</v>
      </c>
      <c r="I600" s="9" t="n">
        <v>0</v>
      </c>
    </row>
    <row r="601">
      <c r="B601" s="6" t="n">
        <v>18140</v>
      </c>
      <c r="C601" s="7" t="n">
        <v>240000</v>
      </c>
      <c r="D601" s="6" t="n">
        <v>33</v>
      </c>
      <c r="E601" s="6" t="n">
        <v>0</v>
      </c>
      <c r="F601" s="6" t="n">
        <v>0</v>
      </c>
      <c r="G601" s="8" t="n">
        <v>0.3567</v>
      </c>
      <c r="H601" s="8" t="n">
        <v>0.0292</v>
      </c>
      <c r="I601" s="9" t="n">
        <v>0</v>
      </c>
    </row>
    <row r="602">
      <c r="B602" s="6" t="n">
        <v>18164</v>
      </c>
      <c r="C602" s="7" t="n">
        <v>200000</v>
      </c>
      <c r="D602" s="6" t="n">
        <v>46</v>
      </c>
      <c r="E602" s="6" t="n">
        <v>0</v>
      </c>
      <c r="F602" s="6" t="n">
        <v>0</v>
      </c>
      <c r="G602" s="8" t="n">
        <v>0.2682</v>
      </c>
      <c r="H602" s="8" t="n">
        <v>0.0329</v>
      </c>
      <c r="I602" s="9" t="n">
        <v>0</v>
      </c>
    </row>
    <row r="603">
      <c r="B603" s="6" t="n">
        <v>18235</v>
      </c>
      <c r="C603" s="7" t="n">
        <v>50000</v>
      </c>
      <c r="D603" s="6" t="n">
        <v>58</v>
      </c>
      <c r="E603" s="6" t="n">
        <v>2</v>
      </c>
      <c r="F603" s="6" t="n">
        <v>0</v>
      </c>
      <c r="G603" s="8" t="n">
        <v>0.1566</v>
      </c>
      <c r="H603" s="8" t="n">
        <v>0.1434</v>
      </c>
      <c r="I603" s="9" t="n">
        <v>0</v>
      </c>
    </row>
    <row r="604">
      <c r="B604" s="6" t="n">
        <v>18248</v>
      </c>
      <c r="C604" s="7" t="n">
        <v>350000</v>
      </c>
      <c r="D604" s="6" t="n">
        <v>50</v>
      </c>
      <c r="E604" s="6" t="n">
        <v>0</v>
      </c>
      <c r="F604" s="6" t="n">
        <v>0</v>
      </c>
      <c r="G604" s="8" t="n">
        <v>0.997</v>
      </c>
      <c r="H604" s="8" t="n">
        <v>0.0315</v>
      </c>
      <c r="I604" s="9" t="n">
        <v>0</v>
      </c>
    </row>
    <row r="605">
      <c r="B605" s="6" t="n">
        <v>18284</v>
      </c>
      <c r="C605" s="7" t="n">
        <v>190000</v>
      </c>
      <c r="D605" s="6" t="n">
        <v>54</v>
      </c>
      <c r="E605" s="6" t="n">
        <v>0</v>
      </c>
      <c r="F605" s="6" t="n">
        <v>0</v>
      </c>
      <c r="G605" s="8" t="n">
        <v>1.0833</v>
      </c>
      <c r="H605" s="8" t="n">
        <v>0.0348</v>
      </c>
      <c r="I605" s="9" t="n">
        <v>0</v>
      </c>
    </row>
    <row r="606">
      <c r="B606" s="6" t="n">
        <v>18296</v>
      </c>
      <c r="C606" s="7" t="n">
        <v>360000</v>
      </c>
      <c r="D606" s="6" t="n">
        <v>54</v>
      </c>
      <c r="E606" s="6" t="n">
        <v>-2</v>
      </c>
      <c r="F606" s="6" t="n">
        <v>-2</v>
      </c>
      <c r="G606" s="8" t="n">
        <v>0</v>
      </c>
      <c r="H606" s="8" t="n">
        <v>0</v>
      </c>
      <c r="I606" s="10" t="n">
        <v>1</v>
      </c>
    </row>
    <row r="607">
      <c r="B607" s="6" t="n">
        <v>18301</v>
      </c>
      <c r="C607" s="7" t="n">
        <v>30000</v>
      </c>
      <c r="D607" s="6" t="n">
        <v>47</v>
      </c>
      <c r="E607" s="6" t="n">
        <v>0</v>
      </c>
      <c r="F607" s="6" t="n">
        <v>0</v>
      </c>
      <c r="G607" s="8" t="n">
        <v>0.5326</v>
      </c>
      <c r="H607" s="8" t="n">
        <v>0.1252</v>
      </c>
      <c r="I607" s="9" t="n">
        <v>0</v>
      </c>
    </row>
    <row r="608">
      <c r="B608" s="6" t="n">
        <v>18385</v>
      </c>
      <c r="C608" s="7" t="n">
        <v>30000</v>
      </c>
      <c r="D608" s="6" t="n">
        <v>22</v>
      </c>
      <c r="E608" s="6" t="n">
        <v>0</v>
      </c>
      <c r="F608" s="6" t="n">
        <v>0</v>
      </c>
      <c r="G608" s="8" t="n">
        <v>0.7728</v>
      </c>
      <c r="H608" s="8" t="n">
        <v>0.0604</v>
      </c>
      <c r="I608" s="9" t="n">
        <v>0</v>
      </c>
    </row>
    <row r="609">
      <c r="B609" s="6" t="n">
        <v>18411</v>
      </c>
      <c r="C609" s="7" t="n">
        <v>80000</v>
      </c>
      <c r="D609" s="6" t="n">
        <v>25</v>
      </c>
      <c r="E609" s="6" t="n">
        <v>-1</v>
      </c>
      <c r="F609" s="6" t="n">
        <v>-1</v>
      </c>
      <c r="G609" s="8" t="n">
        <v>0.0049</v>
      </c>
      <c r="H609" s="8" t="n">
        <v>0</v>
      </c>
      <c r="I609" s="9" t="n">
        <v>0</v>
      </c>
    </row>
    <row r="610">
      <c r="B610" s="6" t="n">
        <v>18481</v>
      </c>
      <c r="C610" s="7" t="n">
        <v>330000</v>
      </c>
      <c r="D610" s="6" t="n">
        <v>25</v>
      </c>
      <c r="E610" s="6" t="n">
        <v>0</v>
      </c>
      <c r="F610" s="6" t="n">
        <v>-1</v>
      </c>
      <c r="G610" s="8" t="n">
        <v>0.3577</v>
      </c>
      <c r="H610" s="8" t="n">
        <v>1.6843</v>
      </c>
      <c r="I610" s="9" t="n">
        <v>0</v>
      </c>
    </row>
    <row r="611">
      <c r="B611" s="6" t="n">
        <v>18490</v>
      </c>
      <c r="C611" s="7" t="n">
        <v>50000</v>
      </c>
      <c r="D611" s="6" t="n">
        <v>26</v>
      </c>
      <c r="E611" s="6" t="n">
        <v>2</v>
      </c>
      <c r="F611" s="6" t="n">
        <v>0</v>
      </c>
      <c r="G611" s="8" t="n">
        <v>0.9702</v>
      </c>
      <c r="H611" s="8" t="n">
        <v>0.0371</v>
      </c>
      <c r="I611" s="10" t="n">
        <v>1</v>
      </c>
    </row>
    <row r="612">
      <c r="B612" s="6" t="n">
        <v>18503</v>
      </c>
      <c r="C612" s="7" t="n">
        <v>150000</v>
      </c>
      <c r="D612" s="6" t="n">
        <v>26</v>
      </c>
      <c r="E612" s="6" t="n">
        <v>0</v>
      </c>
      <c r="F612" s="6" t="n">
        <v>0</v>
      </c>
      <c r="G612" s="8" t="n">
        <v>0.7167</v>
      </c>
      <c r="H612" s="8" t="n">
        <v>0.0475</v>
      </c>
      <c r="I612" s="9" t="n">
        <v>0</v>
      </c>
    </row>
    <row r="613">
      <c r="B613" s="6" t="n">
        <v>18534</v>
      </c>
      <c r="C613" s="7" t="n">
        <v>360000</v>
      </c>
      <c r="D613" s="6" t="n">
        <v>27</v>
      </c>
      <c r="E613" s="6" t="n">
        <v>-2</v>
      </c>
      <c r="F613" s="6" t="n">
        <v>-2</v>
      </c>
      <c r="G613" s="8" t="n">
        <v>0.0033</v>
      </c>
      <c r="H613" s="8" t="n">
        <v>0</v>
      </c>
      <c r="I613" s="9" t="n">
        <v>0</v>
      </c>
    </row>
    <row r="614">
      <c r="B614" s="6" t="n">
        <v>18572</v>
      </c>
      <c r="C614" s="7" t="n">
        <v>180000</v>
      </c>
      <c r="D614" s="6" t="n">
        <v>27</v>
      </c>
      <c r="E614" s="6" t="n">
        <v>-1</v>
      </c>
      <c r="F614" s="6" t="n">
        <v>-1</v>
      </c>
      <c r="G614" s="8" t="n">
        <v>0.0015</v>
      </c>
      <c r="H614" s="8" t="n">
        <v>1</v>
      </c>
      <c r="I614" s="9" t="n">
        <v>0</v>
      </c>
    </row>
    <row r="615">
      <c r="B615" s="6" t="n">
        <v>18580</v>
      </c>
      <c r="C615" s="7" t="n">
        <v>30000</v>
      </c>
      <c r="D615" s="6" t="n">
        <v>25</v>
      </c>
      <c r="E615" s="6" t="n">
        <v>1</v>
      </c>
      <c r="F615" s="6" t="n">
        <v>2</v>
      </c>
      <c r="G615" s="8" t="n">
        <v>0.4595</v>
      </c>
      <c r="H615" s="8" t="n">
        <v>0</v>
      </c>
      <c r="I615" s="9" t="n">
        <v>0</v>
      </c>
    </row>
    <row r="616">
      <c r="B616" s="6" t="n">
        <v>18583</v>
      </c>
      <c r="C616" s="7" t="n">
        <v>120000</v>
      </c>
      <c r="D616" s="6" t="n">
        <v>28</v>
      </c>
      <c r="E616" s="6" t="n">
        <v>1</v>
      </c>
      <c r="F616" s="6" t="n">
        <v>-1</v>
      </c>
      <c r="G616" s="8" t="n">
        <v>0</v>
      </c>
      <c r="H616" s="8" t="n">
        <v>0</v>
      </c>
      <c r="I616" s="9" t="n">
        <v>0</v>
      </c>
    </row>
    <row r="617">
      <c r="B617" s="6" t="n">
        <v>18591</v>
      </c>
      <c r="C617" s="7" t="n">
        <v>400000</v>
      </c>
      <c r="D617" s="6" t="n">
        <v>24</v>
      </c>
      <c r="E617" s="6" t="n">
        <v>0</v>
      </c>
      <c r="F617" s="6" t="n">
        <v>0</v>
      </c>
      <c r="G617" s="8" t="n">
        <v>0.0373</v>
      </c>
      <c r="H617" s="8" t="n">
        <v>0.335</v>
      </c>
      <c r="I617" s="9" t="n">
        <v>0</v>
      </c>
    </row>
    <row r="618">
      <c r="B618" s="6" t="n">
        <v>18613</v>
      </c>
      <c r="C618" s="7" t="n">
        <v>350000</v>
      </c>
      <c r="D618" s="6" t="n">
        <v>27</v>
      </c>
      <c r="E618" s="6" t="n">
        <v>0</v>
      </c>
      <c r="F618" s="6" t="n">
        <v>0</v>
      </c>
      <c r="G618" s="8" t="n">
        <v>0.2383</v>
      </c>
      <c r="H618" s="8" t="n">
        <v>0.048</v>
      </c>
      <c r="I618" s="9" t="n">
        <v>0</v>
      </c>
    </row>
    <row r="619">
      <c r="B619" s="6" t="n">
        <v>18625</v>
      </c>
      <c r="C619" s="7" t="n">
        <v>60000</v>
      </c>
      <c r="D619" s="6" t="n">
        <v>28</v>
      </c>
      <c r="E619" s="6" t="n">
        <v>0</v>
      </c>
      <c r="F619" s="6" t="n">
        <v>0</v>
      </c>
      <c r="G619" s="8" t="n">
        <v>0.392</v>
      </c>
      <c r="H619" s="8" t="n">
        <v>0.1148</v>
      </c>
      <c r="I619" s="9" t="n">
        <v>0</v>
      </c>
    </row>
    <row r="620">
      <c r="B620" s="6" t="n">
        <v>18634</v>
      </c>
      <c r="C620" s="7" t="n">
        <v>150000</v>
      </c>
      <c r="D620" s="6" t="n">
        <v>27</v>
      </c>
      <c r="E620" s="6" t="n">
        <v>-2</v>
      </c>
      <c r="F620" s="6" t="n">
        <v>-2</v>
      </c>
      <c r="G620" s="8" t="n">
        <v>0.2379</v>
      </c>
      <c r="H620" s="8" t="n">
        <v>0.4153</v>
      </c>
      <c r="I620" s="9" t="n">
        <v>0</v>
      </c>
    </row>
    <row r="621">
      <c r="B621" s="6" t="n">
        <v>18645</v>
      </c>
      <c r="C621" s="7" t="n">
        <v>150000</v>
      </c>
      <c r="D621" s="6" t="n">
        <v>28</v>
      </c>
      <c r="E621" s="6" t="n">
        <v>1</v>
      </c>
      <c r="F621" s="6" t="n">
        <v>-1</v>
      </c>
      <c r="G621" s="8" t="n">
        <v>0</v>
      </c>
      <c r="H621" s="8" t="n">
        <v>0</v>
      </c>
      <c r="I621" s="9" t="n">
        <v>0</v>
      </c>
    </row>
    <row r="622">
      <c r="B622" s="6" t="n">
        <v>18652</v>
      </c>
      <c r="C622" s="7" t="n">
        <v>100000</v>
      </c>
      <c r="D622" s="6" t="n">
        <v>29</v>
      </c>
      <c r="E622" s="6" t="n">
        <v>0</v>
      </c>
      <c r="F622" s="6" t="n">
        <v>0</v>
      </c>
      <c r="G622" s="8" t="n">
        <v>1.1801</v>
      </c>
      <c r="H622" s="8" t="n">
        <v>0.0476</v>
      </c>
      <c r="I622" s="9" t="n">
        <v>0</v>
      </c>
    </row>
    <row r="623">
      <c r="B623" s="6" t="n">
        <v>18672</v>
      </c>
      <c r="C623" s="7" t="n">
        <v>30000</v>
      </c>
      <c r="D623" s="6" t="n">
        <v>22</v>
      </c>
      <c r="E623" s="6" t="n">
        <v>-2</v>
      </c>
      <c r="F623" s="6" t="n">
        <v>-2</v>
      </c>
      <c r="G623" s="8" t="n">
        <v>0</v>
      </c>
      <c r="H623" s="8" t="n">
        <v>0</v>
      </c>
      <c r="I623" s="9" t="n">
        <v>0</v>
      </c>
    </row>
    <row r="624">
      <c r="B624" s="6" t="n">
        <v>18684</v>
      </c>
      <c r="C624" s="7" t="n">
        <v>200000</v>
      </c>
      <c r="D624" s="6" t="n">
        <v>27</v>
      </c>
      <c r="E624" s="6" t="n">
        <v>1</v>
      </c>
      <c r="F624" s="6" t="n">
        <v>-2</v>
      </c>
      <c r="G624" s="8" t="n">
        <v>0</v>
      </c>
      <c r="H624" s="8" t="n">
        <v>0</v>
      </c>
      <c r="I624" s="9" t="n">
        <v>0</v>
      </c>
    </row>
    <row r="625">
      <c r="B625" s="6" t="n">
        <v>18708</v>
      </c>
      <c r="C625" s="7" t="n">
        <v>50000</v>
      </c>
      <c r="D625" s="6" t="n">
        <v>28</v>
      </c>
      <c r="E625" s="6" t="n">
        <v>1</v>
      </c>
      <c r="F625" s="6" t="n">
        <v>2</v>
      </c>
      <c r="G625" s="8" t="n">
        <v>0.8294</v>
      </c>
      <c r="H625" s="8" t="n">
        <v>0</v>
      </c>
      <c r="I625" s="9" t="n">
        <v>0</v>
      </c>
    </row>
    <row r="626">
      <c r="B626" s="6" t="n">
        <v>18712</v>
      </c>
      <c r="C626" s="7" t="n">
        <v>70000</v>
      </c>
      <c r="D626" s="6" t="n">
        <v>26</v>
      </c>
      <c r="E626" s="6" t="n">
        <v>0</v>
      </c>
      <c r="F626" s="6" t="n">
        <v>0</v>
      </c>
      <c r="G626" s="8" t="n">
        <v>0.6603</v>
      </c>
      <c r="H626" s="8" t="n">
        <v>0.0541</v>
      </c>
      <c r="I626" s="9" t="n">
        <v>0</v>
      </c>
    </row>
    <row r="627">
      <c r="B627" s="6" t="n">
        <v>18734</v>
      </c>
      <c r="C627" s="7" t="n">
        <v>50000</v>
      </c>
      <c r="D627" s="6" t="n">
        <v>24</v>
      </c>
      <c r="E627" s="6" t="n">
        <v>0</v>
      </c>
      <c r="F627" s="6" t="n">
        <v>0</v>
      </c>
      <c r="G627" s="8" t="n">
        <v>0.8832</v>
      </c>
      <c r="H627" s="8" t="n">
        <v>0.1132</v>
      </c>
      <c r="I627" s="9" t="n">
        <v>0</v>
      </c>
    </row>
    <row r="628">
      <c r="B628" s="6" t="n">
        <v>18769</v>
      </c>
      <c r="C628" s="7" t="n">
        <v>80000</v>
      </c>
      <c r="D628" s="6" t="n">
        <v>28</v>
      </c>
      <c r="E628" s="6" t="n">
        <v>0</v>
      </c>
      <c r="F628" s="6" t="n">
        <v>0</v>
      </c>
      <c r="G628" s="8" t="n">
        <v>0.7348</v>
      </c>
      <c r="H628" s="8" t="n">
        <v>0.0335</v>
      </c>
      <c r="I628" s="9" t="n">
        <v>0</v>
      </c>
    </row>
    <row r="629">
      <c r="B629" s="6" t="n">
        <v>18809</v>
      </c>
      <c r="C629" s="7" t="n">
        <v>210000</v>
      </c>
      <c r="D629" s="6" t="n">
        <v>31</v>
      </c>
      <c r="E629" s="6" t="n">
        <v>0</v>
      </c>
      <c r="F629" s="6" t="n">
        <v>0</v>
      </c>
      <c r="G629" s="8" t="n">
        <v>0.0522</v>
      </c>
      <c r="H629" s="8" t="n">
        <v>0.1823</v>
      </c>
      <c r="I629" s="9" t="n">
        <v>0</v>
      </c>
    </row>
    <row r="630">
      <c r="B630" s="6" t="n">
        <v>18854</v>
      </c>
      <c r="C630" s="7" t="n">
        <v>80000</v>
      </c>
      <c r="D630" s="6" t="n">
        <v>26</v>
      </c>
      <c r="E630" s="6" t="n">
        <v>0</v>
      </c>
      <c r="F630" s="6" t="n">
        <v>0</v>
      </c>
      <c r="G630" s="8" t="n">
        <v>0.8699</v>
      </c>
      <c r="H630" s="8" t="n">
        <v>0.07190000000000001</v>
      </c>
      <c r="I630" s="9" t="n">
        <v>0</v>
      </c>
    </row>
    <row r="631">
      <c r="B631" s="6" t="n">
        <v>18864</v>
      </c>
      <c r="C631" s="7" t="n">
        <v>200000</v>
      </c>
      <c r="D631" s="6" t="n">
        <v>28</v>
      </c>
      <c r="E631" s="6" t="n">
        <v>0</v>
      </c>
      <c r="F631" s="6" t="n">
        <v>0</v>
      </c>
      <c r="G631" s="8" t="n">
        <v>0.5326</v>
      </c>
      <c r="H631" s="8" t="n">
        <v>0.0376</v>
      </c>
      <c r="I631" s="9" t="n">
        <v>0</v>
      </c>
    </row>
    <row r="632">
      <c r="B632" s="6" t="n">
        <v>18916</v>
      </c>
      <c r="C632" s="7" t="n">
        <v>80000</v>
      </c>
      <c r="D632" s="6" t="n">
        <v>28</v>
      </c>
      <c r="E632" s="6" t="n">
        <v>1</v>
      </c>
      <c r="F632" s="6" t="n">
        <v>-2</v>
      </c>
      <c r="G632" s="8" t="n">
        <v>0</v>
      </c>
      <c r="H632" s="8" t="n">
        <v>0</v>
      </c>
      <c r="I632" s="9" t="n">
        <v>0</v>
      </c>
    </row>
    <row r="633">
      <c r="B633" s="6" t="n">
        <v>18919</v>
      </c>
      <c r="C633" s="7" t="n">
        <v>190000</v>
      </c>
      <c r="D633" s="6" t="n">
        <v>28</v>
      </c>
      <c r="E633" s="6" t="n">
        <v>2</v>
      </c>
      <c r="F633" s="6" t="n">
        <v>2</v>
      </c>
      <c r="G633" s="8" t="n">
        <v>0.8176</v>
      </c>
      <c r="H633" s="8" t="n">
        <v>0.0515</v>
      </c>
      <c r="I633" s="10" t="n">
        <v>1</v>
      </c>
    </row>
    <row r="634">
      <c r="B634" s="6" t="n">
        <v>18940</v>
      </c>
      <c r="C634" s="7" t="n">
        <v>390000</v>
      </c>
      <c r="D634" s="6" t="n">
        <v>28</v>
      </c>
      <c r="E634" s="6" t="n">
        <v>0</v>
      </c>
      <c r="F634" s="6" t="n">
        <v>0</v>
      </c>
      <c r="G634" s="8" t="n">
        <v>0.3308</v>
      </c>
      <c r="H634" s="8" t="n">
        <v>0.0388</v>
      </c>
      <c r="I634" s="10" t="n">
        <v>1</v>
      </c>
    </row>
    <row r="635">
      <c r="B635" s="6" t="n">
        <v>18985</v>
      </c>
      <c r="C635" s="7" t="n">
        <v>240000</v>
      </c>
      <c r="D635" s="6" t="n">
        <v>30</v>
      </c>
      <c r="E635" s="6" t="n">
        <v>0</v>
      </c>
      <c r="F635" s="6" t="n">
        <v>0</v>
      </c>
      <c r="G635" s="8" t="n">
        <v>0.9429999999999999</v>
      </c>
      <c r="H635" s="8" t="n">
        <v>0.0402</v>
      </c>
      <c r="I635" s="9" t="n">
        <v>0</v>
      </c>
    </row>
    <row r="636">
      <c r="B636" s="6" t="n">
        <v>19059</v>
      </c>
      <c r="C636" s="7" t="n">
        <v>50000</v>
      </c>
      <c r="D636" s="6" t="n">
        <v>25</v>
      </c>
      <c r="E636" s="6" t="n">
        <v>0</v>
      </c>
      <c r="F636" s="6" t="n">
        <v>0</v>
      </c>
      <c r="G636" s="8" t="n">
        <v>1.0135</v>
      </c>
      <c r="H636" s="8" t="n">
        <v>0.0493</v>
      </c>
      <c r="I636" s="9" t="n">
        <v>0</v>
      </c>
    </row>
    <row r="637">
      <c r="B637" s="6" t="n">
        <v>19075</v>
      </c>
      <c r="C637" s="7" t="n">
        <v>260000</v>
      </c>
      <c r="D637" s="6" t="n">
        <v>37</v>
      </c>
      <c r="E637" s="6" t="n">
        <v>0</v>
      </c>
      <c r="F637" s="6" t="n">
        <v>0</v>
      </c>
      <c r="G637" s="8" t="n">
        <v>0.673</v>
      </c>
      <c r="H637" s="8" t="n">
        <v>0.0572</v>
      </c>
      <c r="I637" s="9" t="n">
        <v>0</v>
      </c>
    </row>
    <row r="638">
      <c r="B638" s="6" t="n">
        <v>19080</v>
      </c>
      <c r="C638" s="7" t="n">
        <v>70000</v>
      </c>
      <c r="D638" s="6" t="n">
        <v>29</v>
      </c>
      <c r="E638" s="6" t="n">
        <v>0</v>
      </c>
      <c r="F638" s="6" t="n">
        <v>0</v>
      </c>
      <c r="G638" s="8" t="n">
        <v>0.9552</v>
      </c>
      <c r="H638" s="8" t="n">
        <v>0.0452</v>
      </c>
      <c r="I638" s="9" t="n">
        <v>0</v>
      </c>
    </row>
    <row r="639">
      <c r="B639" s="6" t="n">
        <v>19125</v>
      </c>
      <c r="C639" s="7" t="n">
        <v>150000</v>
      </c>
      <c r="D639" s="6" t="n">
        <v>32</v>
      </c>
      <c r="E639" s="6" t="n">
        <v>0</v>
      </c>
      <c r="F639" s="6" t="n">
        <v>0</v>
      </c>
      <c r="G639" s="8" t="n">
        <v>0.3317</v>
      </c>
      <c r="H639" s="8" t="n">
        <v>0.051</v>
      </c>
      <c r="I639" s="9" t="n">
        <v>0</v>
      </c>
    </row>
    <row r="640">
      <c r="B640" s="6" t="n">
        <v>19269</v>
      </c>
      <c r="C640" s="7" t="n">
        <v>300000</v>
      </c>
      <c r="D640" s="6" t="n">
        <v>42</v>
      </c>
      <c r="E640" s="6" t="n">
        <v>-1</v>
      </c>
      <c r="F640" s="6" t="n">
        <v>-1</v>
      </c>
      <c r="G640" s="8" t="n">
        <v>0.003</v>
      </c>
      <c r="H640" s="8" t="n">
        <v>0</v>
      </c>
      <c r="I640" s="9" t="n">
        <v>0</v>
      </c>
    </row>
    <row r="641">
      <c r="B641" s="6" t="n">
        <v>19310</v>
      </c>
      <c r="C641" s="7" t="n">
        <v>230000</v>
      </c>
      <c r="D641" s="6" t="n">
        <v>42</v>
      </c>
      <c r="E641" s="6" t="n">
        <v>0</v>
      </c>
      <c r="F641" s="6" t="n">
        <v>0</v>
      </c>
      <c r="G641" s="8" t="n">
        <v>0.6409</v>
      </c>
      <c r="H641" s="8" t="n">
        <v>0.0678</v>
      </c>
      <c r="I641" s="9" t="n">
        <v>0</v>
      </c>
    </row>
    <row r="642">
      <c r="B642" s="6" t="n">
        <v>19334</v>
      </c>
      <c r="C642" s="7" t="n">
        <v>30000</v>
      </c>
      <c r="D642" s="6" t="n">
        <v>38</v>
      </c>
      <c r="E642" s="6" t="n">
        <v>0</v>
      </c>
      <c r="F642" s="6" t="n">
        <v>0</v>
      </c>
      <c r="G642" s="8" t="n">
        <v>0.8168</v>
      </c>
      <c r="H642" s="8" t="n">
        <v>0.0735</v>
      </c>
      <c r="I642" s="9" t="n">
        <v>0</v>
      </c>
    </row>
    <row r="643">
      <c r="B643" s="6" t="n">
        <v>19339</v>
      </c>
      <c r="C643" s="7" t="n">
        <v>200000</v>
      </c>
      <c r="D643" s="6" t="n">
        <v>48</v>
      </c>
      <c r="E643" s="6" t="n">
        <v>0</v>
      </c>
      <c r="F643" s="6" t="n">
        <v>0</v>
      </c>
      <c r="G643" s="8" t="n">
        <v>0.9927</v>
      </c>
      <c r="H643" s="8" t="n">
        <v>0</v>
      </c>
      <c r="I643" s="9" t="n">
        <v>0</v>
      </c>
    </row>
    <row r="644">
      <c r="B644" s="6" t="n">
        <v>19366</v>
      </c>
      <c r="C644" s="7" t="n">
        <v>130000</v>
      </c>
      <c r="D644" s="6" t="n">
        <v>40</v>
      </c>
      <c r="E644" s="6" t="n">
        <v>-1</v>
      </c>
      <c r="F644" s="6" t="n">
        <v>-1</v>
      </c>
      <c r="G644" s="8" t="n">
        <v>0.0321</v>
      </c>
      <c r="H644" s="8" t="n">
        <v>2</v>
      </c>
      <c r="I644" s="9" t="n">
        <v>0</v>
      </c>
    </row>
    <row r="645">
      <c r="B645" s="6" t="n">
        <v>19405</v>
      </c>
      <c r="C645" s="7" t="n">
        <v>220000</v>
      </c>
      <c r="D645" s="6" t="n">
        <v>37</v>
      </c>
      <c r="E645" s="6" t="n">
        <v>0</v>
      </c>
      <c r="F645" s="6" t="n">
        <v>0</v>
      </c>
      <c r="G645" s="8" t="n">
        <v>0.7204</v>
      </c>
      <c r="H645" s="8" t="n">
        <v>0.0442</v>
      </c>
      <c r="I645" s="9" t="n">
        <v>0</v>
      </c>
    </row>
    <row r="646">
      <c r="B646" s="6" t="n">
        <v>19451</v>
      </c>
      <c r="C646" s="7" t="n">
        <v>420000</v>
      </c>
      <c r="D646" s="6" t="n">
        <v>27</v>
      </c>
      <c r="E646" s="6" t="n">
        <v>0</v>
      </c>
      <c r="F646" s="6" t="n">
        <v>0</v>
      </c>
      <c r="G646" s="8" t="n">
        <v>0.4729</v>
      </c>
      <c r="H646" s="8" t="n">
        <v>0.0379</v>
      </c>
      <c r="I646" s="9" t="n">
        <v>0</v>
      </c>
    </row>
    <row r="647">
      <c r="B647" s="6" t="n">
        <v>19469</v>
      </c>
      <c r="C647" s="7" t="n">
        <v>340000</v>
      </c>
      <c r="D647" s="6" t="n">
        <v>32</v>
      </c>
      <c r="E647" s="6" t="n">
        <v>0</v>
      </c>
      <c r="F647" s="6" t="n">
        <v>0</v>
      </c>
      <c r="G647" s="8" t="n">
        <v>0.1812</v>
      </c>
      <c r="H647" s="8" t="n">
        <v>0.0568</v>
      </c>
      <c r="I647" s="9" t="n">
        <v>0</v>
      </c>
    </row>
    <row r="648">
      <c r="B648" s="6" t="n">
        <v>19501</v>
      </c>
      <c r="C648" s="7" t="n">
        <v>150000</v>
      </c>
      <c r="D648" s="6" t="n">
        <v>30</v>
      </c>
      <c r="E648" s="6" t="n">
        <v>-1</v>
      </c>
      <c r="F648" s="6" t="n">
        <v>-1</v>
      </c>
      <c r="G648" s="8" t="n">
        <v>0.7187</v>
      </c>
      <c r="H648" s="8" t="n">
        <v>0.1518</v>
      </c>
      <c r="I648" s="9" t="n">
        <v>0</v>
      </c>
    </row>
    <row r="649">
      <c r="B649" s="6" t="n">
        <v>19506</v>
      </c>
      <c r="C649" s="7" t="n">
        <v>210000</v>
      </c>
      <c r="D649" s="6" t="n">
        <v>29</v>
      </c>
      <c r="E649" s="6" t="n">
        <v>0</v>
      </c>
      <c r="F649" s="6" t="n">
        <v>0</v>
      </c>
      <c r="G649" s="8" t="n">
        <v>0.6929</v>
      </c>
      <c r="H649" s="8" t="n">
        <v>0.0327</v>
      </c>
      <c r="I649" s="9" t="n">
        <v>0</v>
      </c>
    </row>
    <row r="650">
      <c r="B650" s="6" t="n">
        <v>19541</v>
      </c>
      <c r="C650" s="7" t="n">
        <v>360000</v>
      </c>
      <c r="D650" s="6" t="n">
        <v>32</v>
      </c>
      <c r="E650" s="6" t="n">
        <v>0</v>
      </c>
      <c r="F650" s="6" t="n">
        <v>0</v>
      </c>
      <c r="G650" s="8" t="n">
        <v>0.0446</v>
      </c>
      <c r="H650" s="8" t="n">
        <v>0.3117</v>
      </c>
      <c r="I650" s="9" t="n">
        <v>0</v>
      </c>
    </row>
    <row r="651">
      <c r="B651" s="6" t="n">
        <v>19547</v>
      </c>
      <c r="C651" s="7" t="n">
        <v>30000</v>
      </c>
      <c r="D651" s="6" t="n">
        <v>36</v>
      </c>
      <c r="E651" s="6" t="n">
        <v>0</v>
      </c>
      <c r="F651" s="6" t="n">
        <v>0</v>
      </c>
      <c r="G651" s="8" t="n">
        <v>0.8845</v>
      </c>
      <c r="H651" s="8" t="n">
        <v>0.054</v>
      </c>
      <c r="I651" s="9" t="n">
        <v>0</v>
      </c>
    </row>
    <row r="652">
      <c r="B652" s="6" t="n">
        <v>19583</v>
      </c>
      <c r="C652" s="7" t="n">
        <v>80000</v>
      </c>
      <c r="D652" s="6" t="n">
        <v>44</v>
      </c>
      <c r="E652" s="6" t="n">
        <v>0</v>
      </c>
      <c r="F652" s="6" t="n">
        <v>0</v>
      </c>
      <c r="G652" s="8" t="n">
        <v>0.2846</v>
      </c>
      <c r="H652" s="8" t="n">
        <v>0.0544</v>
      </c>
      <c r="I652" s="9" t="n">
        <v>0</v>
      </c>
    </row>
    <row r="653">
      <c r="B653" s="6" t="n">
        <v>19604</v>
      </c>
      <c r="C653" s="7" t="n">
        <v>360000</v>
      </c>
      <c r="D653" s="6" t="n">
        <v>48</v>
      </c>
      <c r="E653" s="6" t="n">
        <v>-2</v>
      </c>
      <c r="F653" s="6" t="n">
        <v>-2</v>
      </c>
      <c r="G653" s="8" t="n">
        <v>0.0069</v>
      </c>
      <c r="H653" s="8" t="n">
        <v>0</v>
      </c>
      <c r="I653" s="10" t="n">
        <v>1</v>
      </c>
    </row>
    <row r="654">
      <c r="B654" s="6" t="n">
        <v>19607</v>
      </c>
      <c r="C654" s="7" t="n">
        <v>220000</v>
      </c>
      <c r="D654" s="6" t="n">
        <v>34</v>
      </c>
      <c r="E654" s="6" t="n">
        <v>0</v>
      </c>
      <c r="F654" s="6" t="n">
        <v>0</v>
      </c>
      <c r="G654" s="8" t="n">
        <v>0.4264</v>
      </c>
      <c r="H654" s="8" t="n">
        <v>0.0458</v>
      </c>
      <c r="I654" s="9" t="n">
        <v>0</v>
      </c>
    </row>
    <row r="655">
      <c r="B655" s="6" t="n">
        <v>19614</v>
      </c>
      <c r="C655" s="7" t="n">
        <v>160000</v>
      </c>
      <c r="D655" s="6" t="n">
        <v>30</v>
      </c>
      <c r="E655" s="6" t="n">
        <v>-1</v>
      </c>
      <c r="F655" s="6" t="n">
        <v>-1</v>
      </c>
      <c r="G655" s="8" t="n">
        <v>0.2107</v>
      </c>
      <c r="H655" s="8" t="n">
        <v>0.4187</v>
      </c>
      <c r="I655" s="9" t="n">
        <v>0</v>
      </c>
    </row>
    <row r="656">
      <c r="B656" s="6" t="n">
        <v>19648</v>
      </c>
      <c r="C656" s="7" t="n">
        <v>500000</v>
      </c>
      <c r="D656" s="6" t="n">
        <v>31</v>
      </c>
      <c r="E656" s="6" t="n">
        <v>1</v>
      </c>
      <c r="F656" s="6" t="n">
        <v>-1</v>
      </c>
      <c r="G656" s="8" t="n">
        <v>0</v>
      </c>
      <c r="H656" s="8" t="n">
        <v>0</v>
      </c>
      <c r="I656" s="9" t="n">
        <v>0</v>
      </c>
    </row>
    <row r="657">
      <c r="B657" s="6" t="n">
        <v>19654</v>
      </c>
      <c r="C657" s="7" t="n">
        <v>240000</v>
      </c>
      <c r="D657" s="6" t="n">
        <v>32</v>
      </c>
      <c r="E657" s="6" t="n">
        <v>-1</v>
      </c>
      <c r="F657" s="6" t="n">
        <v>0</v>
      </c>
      <c r="G657" s="8" t="n">
        <v>0.375</v>
      </c>
      <c r="H657" s="8" t="n">
        <v>0.2007</v>
      </c>
      <c r="I657" s="9" t="n">
        <v>0</v>
      </c>
    </row>
    <row r="658">
      <c r="B658" s="6" t="n">
        <v>19669</v>
      </c>
      <c r="C658" s="7" t="n">
        <v>200000</v>
      </c>
      <c r="D658" s="6" t="n">
        <v>34</v>
      </c>
      <c r="E658" s="6" t="n">
        <v>0</v>
      </c>
      <c r="F658" s="6" t="n">
        <v>0</v>
      </c>
      <c r="G658" s="8" t="n">
        <v>0.0274</v>
      </c>
      <c r="H658" s="8" t="n">
        <v>0.1949</v>
      </c>
      <c r="I658" s="9" t="n">
        <v>0</v>
      </c>
    </row>
    <row r="659">
      <c r="B659" s="6" t="n">
        <v>19698</v>
      </c>
      <c r="C659" s="7" t="n">
        <v>120000</v>
      </c>
      <c r="D659" s="6" t="n">
        <v>38</v>
      </c>
      <c r="E659" s="6" t="n">
        <v>2</v>
      </c>
      <c r="F659" s="6" t="n">
        <v>2</v>
      </c>
      <c r="G659" s="8" t="n">
        <v>0.5308</v>
      </c>
      <c r="H659" s="8" t="n">
        <v>0.0471</v>
      </c>
      <c r="I659" s="10" t="n">
        <v>1</v>
      </c>
    </row>
    <row r="660">
      <c r="B660" s="6" t="n">
        <v>19711</v>
      </c>
      <c r="C660" s="7" t="n">
        <v>300000</v>
      </c>
      <c r="D660" s="6" t="n">
        <v>41</v>
      </c>
      <c r="E660" s="6" t="n">
        <v>-1</v>
      </c>
      <c r="F660" s="6" t="n">
        <v>-1</v>
      </c>
      <c r="G660" s="8" t="n">
        <v>0.0113</v>
      </c>
      <c r="H660" s="8" t="n">
        <v>0</v>
      </c>
      <c r="I660" s="9" t="n">
        <v>0</v>
      </c>
    </row>
    <row r="661">
      <c r="B661" s="6" t="n">
        <v>19744</v>
      </c>
      <c r="C661" s="7" t="n">
        <v>200000</v>
      </c>
      <c r="D661" s="6" t="n">
        <v>48</v>
      </c>
      <c r="E661" s="6" t="n">
        <v>0</v>
      </c>
      <c r="F661" s="6" t="n">
        <v>0</v>
      </c>
      <c r="G661" s="8" t="n">
        <v>0.4686</v>
      </c>
      <c r="H661" s="8" t="n">
        <v>0.0199</v>
      </c>
      <c r="I661" s="9" t="n">
        <v>0</v>
      </c>
    </row>
    <row r="662">
      <c r="B662" s="6" t="n">
        <v>19774</v>
      </c>
      <c r="C662" s="7" t="n">
        <v>150000</v>
      </c>
      <c r="D662" s="6" t="n">
        <v>48</v>
      </c>
      <c r="E662" s="6" t="n">
        <v>0</v>
      </c>
      <c r="F662" s="6" t="n">
        <v>0</v>
      </c>
      <c r="G662" s="8" t="n">
        <v>0.0649</v>
      </c>
      <c r="H662" s="8" t="n">
        <v>0</v>
      </c>
      <c r="I662" s="9" t="n">
        <v>0</v>
      </c>
    </row>
    <row r="663">
      <c r="B663" s="6" t="n">
        <v>19852</v>
      </c>
      <c r="C663" s="7" t="n">
        <v>230000</v>
      </c>
      <c r="D663" s="6" t="n">
        <v>45</v>
      </c>
      <c r="E663" s="6" t="n">
        <v>0</v>
      </c>
      <c r="F663" s="6" t="n">
        <v>0</v>
      </c>
      <c r="G663" s="8" t="n">
        <v>0.3093</v>
      </c>
      <c r="H663" s="8" t="n">
        <v>0.0422</v>
      </c>
      <c r="I663" s="9" t="n">
        <v>0</v>
      </c>
    </row>
    <row r="664">
      <c r="B664" s="6" t="n">
        <v>19878</v>
      </c>
      <c r="C664" s="7" t="n">
        <v>40000</v>
      </c>
      <c r="D664" s="6" t="n">
        <v>38</v>
      </c>
      <c r="E664" s="6" t="n">
        <v>0</v>
      </c>
      <c r="F664" s="6" t="n">
        <v>0</v>
      </c>
      <c r="G664" s="8" t="n">
        <v>1.0031</v>
      </c>
      <c r="H664" s="8" t="n">
        <v>0.05</v>
      </c>
      <c r="I664" s="9" t="n">
        <v>0</v>
      </c>
    </row>
    <row r="665">
      <c r="B665" s="6" t="n">
        <v>19921</v>
      </c>
      <c r="C665" s="7" t="n">
        <v>50000</v>
      </c>
      <c r="D665" s="6" t="n">
        <v>40</v>
      </c>
      <c r="E665" s="6" t="n">
        <v>0</v>
      </c>
      <c r="F665" s="6" t="n">
        <v>0</v>
      </c>
      <c r="G665" s="8" t="n">
        <v>0.895</v>
      </c>
      <c r="H665" s="8" t="n">
        <v>0.0498</v>
      </c>
      <c r="I665" s="9" t="n">
        <v>0</v>
      </c>
    </row>
    <row r="666">
      <c r="B666" s="6" t="n">
        <v>19922</v>
      </c>
      <c r="C666" s="7" t="n">
        <v>30000</v>
      </c>
      <c r="D666" s="6" t="n">
        <v>44</v>
      </c>
      <c r="E666" s="6" t="n">
        <v>0</v>
      </c>
      <c r="F666" s="6" t="n">
        <v>0</v>
      </c>
      <c r="G666" s="8" t="n">
        <v>0.3242</v>
      </c>
      <c r="H666" s="8" t="n">
        <v>0.1234</v>
      </c>
      <c r="I666" s="9" t="n">
        <v>0</v>
      </c>
    </row>
    <row r="667">
      <c r="B667" s="6" t="n">
        <v>19939</v>
      </c>
      <c r="C667" s="7" t="n">
        <v>290000</v>
      </c>
      <c r="D667" s="6" t="n">
        <v>45</v>
      </c>
      <c r="E667" s="6" t="n">
        <v>0</v>
      </c>
      <c r="F667" s="6" t="n">
        <v>0</v>
      </c>
      <c r="G667" s="8" t="n">
        <v>0.1253</v>
      </c>
      <c r="H667" s="8" t="n">
        <v>0.043</v>
      </c>
      <c r="I667" s="9" t="n">
        <v>0</v>
      </c>
    </row>
    <row r="668">
      <c r="B668" s="6" t="n">
        <v>20108</v>
      </c>
      <c r="C668" s="7" t="n">
        <v>50000</v>
      </c>
      <c r="D668" s="6" t="n">
        <v>47</v>
      </c>
      <c r="E668" s="6" t="n">
        <v>0</v>
      </c>
      <c r="F668" s="6" t="n">
        <v>0</v>
      </c>
      <c r="G668" s="8" t="n">
        <v>0.7859</v>
      </c>
      <c r="H668" s="8" t="n">
        <v>0.0509</v>
      </c>
      <c r="I668" s="9" t="n">
        <v>0</v>
      </c>
    </row>
    <row r="669">
      <c r="B669" s="6" t="n">
        <v>20145</v>
      </c>
      <c r="C669" s="7" t="n">
        <v>140000</v>
      </c>
      <c r="D669" s="6" t="n">
        <v>41</v>
      </c>
      <c r="E669" s="6" t="n">
        <v>0</v>
      </c>
      <c r="F669" s="6" t="n">
        <v>0</v>
      </c>
      <c r="G669" s="8" t="n">
        <v>0.9317</v>
      </c>
      <c r="H669" s="8" t="n">
        <v>0.0383</v>
      </c>
      <c r="I669" s="9" t="n">
        <v>0</v>
      </c>
    </row>
    <row r="670">
      <c r="B670" s="6" t="n">
        <v>20279</v>
      </c>
      <c r="C670" s="7" t="n">
        <v>150000</v>
      </c>
      <c r="D670" s="6" t="n">
        <v>54</v>
      </c>
      <c r="E670" s="6" t="n">
        <v>-2</v>
      </c>
      <c r="F670" s="6" t="n">
        <v>-2</v>
      </c>
      <c r="G670" s="8" t="n">
        <v>0</v>
      </c>
      <c r="H670" s="8" t="n">
        <v>0</v>
      </c>
      <c r="I670" s="10" t="n">
        <v>1</v>
      </c>
    </row>
    <row r="671">
      <c r="B671" s="6" t="n">
        <v>20285</v>
      </c>
      <c r="C671" s="7" t="n">
        <v>40000</v>
      </c>
      <c r="D671" s="6" t="n">
        <v>55</v>
      </c>
      <c r="E671" s="6" t="n">
        <v>1</v>
      </c>
      <c r="F671" s="6" t="n">
        <v>2</v>
      </c>
      <c r="G671" s="8" t="n">
        <v>0.6962</v>
      </c>
      <c r="H671" s="8" t="n">
        <v>0.0718</v>
      </c>
      <c r="I671" s="9" t="n">
        <v>0</v>
      </c>
    </row>
    <row r="672">
      <c r="B672" s="6" t="n">
        <v>20361</v>
      </c>
      <c r="C672" s="7" t="n">
        <v>300000</v>
      </c>
      <c r="D672" s="6" t="n">
        <v>35</v>
      </c>
      <c r="E672" s="6" t="n">
        <v>0</v>
      </c>
      <c r="F672" s="6" t="n">
        <v>0</v>
      </c>
      <c r="G672" s="8" t="n">
        <v>0.3043</v>
      </c>
      <c r="H672" s="8" t="n">
        <v>0.0357</v>
      </c>
      <c r="I672" s="9" t="n">
        <v>0</v>
      </c>
    </row>
    <row r="673">
      <c r="B673" s="6" t="n">
        <v>20377</v>
      </c>
      <c r="C673" s="7" t="n">
        <v>150000</v>
      </c>
      <c r="D673" s="6" t="n">
        <v>24</v>
      </c>
      <c r="E673" s="6" t="n">
        <v>0</v>
      </c>
      <c r="F673" s="6" t="n">
        <v>0</v>
      </c>
      <c r="G673" s="8" t="n">
        <v>0.9275</v>
      </c>
      <c r="H673" s="8" t="n">
        <v>0</v>
      </c>
      <c r="I673" s="9" t="n">
        <v>0</v>
      </c>
    </row>
    <row r="674">
      <c r="B674" s="6" t="n">
        <v>20394</v>
      </c>
      <c r="C674" s="7" t="n">
        <v>170000</v>
      </c>
      <c r="D674" s="6" t="n">
        <v>40</v>
      </c>
      <c r="E674" s="6" t="n">
        <v>0</v>
      </c>
      <c r="F674" s="6" t="n">
        <v>0</v>
      </c>
      <c r="G674" s="8" t="n">
        <v>1.0097</v>
      </c>
      <c r="H674" s="8" t="n">
        <v>0.0372</v>
      </c>
      <c r="I674" s="9" t="n">
        <v>0</v>
      </c>
    </row>
    <row r="675">
      <c r="B675" s="6" t="n">
        <v>20419</v>
      </c>
      <c r="C675" s="7" t="n">
        <v>110000</v>
      </c>
      <c r="D675" s="6" t="n">
        <v>26</v>
      </c>
      <c r="E675" s="6" t="n">
        <v>0</v>
      </c>
      <c r="F675" s="6" t="n">
        <v>0</v>
      </c>
      <c r="G675" s="8" t="n">
        <v>0.0926</v>
      </c>
      <c r="H675" s="8" t="n">
        <v>0.1964</v>
      </c>
      <c r="I675" s="9" t="n">
        <v>0</v>
      </c>
    </row>
    <row r="676">
      <c r="B676" s="6" t="n">
        <v>20430</v>
      </c>
      <c r="C676" s="7" t="n">
        <v>10000</v>
      </c>
      <c r="D676" s="6" t="n">
        <v>24</v>
      </c>
      <c r="E676" s="6" t="n">
        <v>2</v>
      </c>
      <c r="F676" s="6" t="n">
        <v>2</v>
      </c>
      <c r="G676" s="8" t="n">
        <v>0.8837</v>
      </c>
      <c r="H676" s="8" t="n">
        <v>0</v>
      </c>
      <c r="I676" s="10" t="n">
        <v>1</v>
      </c>
    </row>
    <row r="677">
      <c r="B677" s="6" t="n">
        <v>20482</v>
      </c>
      <c r="C677" s="7" t="n">
        <v>20000</v>
      </c>
      <c r="D677" s="6" t="n">
        <v>26</v>
      </c>
      <c r="E677" s="6" t="n">
        <v>0</v>
      </c>
      <c r="F677" s="6" t="n">
        <v>0</v>
      </c>
      <c r="G677" s="8" t="n">
        <v>0.898</v>
      </c>
      <c r="H677" s="8" t="n">
        <v>0.0842</v>
      </c>
      <c r="I677" s="9" t="n">
        <v>0</v>
      </c>
    </row>
    <row r="678">
      <c r="B678" s="6" t="n">
        <v>20483</v>
      </c>
      <c r="C678" s="7" t="n">
        <v>160000</v>
      </c>
      <c r="D678" s="6" t="n">
        <v>26</v>
      </c>
      <c r="E678" s="6" t="n">
        <v>-2</v>
      </c>
      <c r="F678" s="6" t="n">
        <v>-2</v>
      </c>
      <c r="G678" s="8" t="n">
        <v>0.0124</v>
      </c>
      <c r="H678" s="8" t="n">
        <v>0</v>
      </c>
      <c r="I678" s="9" t="n">
        <v>0</v>
      </c>
    </row>
    <row r="679">
      <c r="B679" s="6" t="n">
        <v>20579</v>
      </c>
      <c r="C679" s="7" t="n">
        <v>100000</v>
      </c>
      <c r="D679" s="6" t="n">
        <v>29</v>
      </c>
      <c r="E679" s="6" t="n">
        <v>0</v>
      </c>
      <c r="F679" s="6" t="n">
        <v>0</v>
      </c>
      <c r="G679" s="8" t="n">
        <v>0.662</v>
      </c>
      <c r="H679" s="8" t="n">
        <v>0.0348</v>
      </c>
      <c r="I679" s="9" t="n">
        <v>0</v>
      </c>
    </row>
    <row r="680">
      <c r="B680" s="6" t="n">
        <v>20612</v>
      </c>
      <c r="C680" s="7" t="n">
        <v>340000</v>
      </c>
      <c r="D680" s="6" t="n">
        <v>29</v>
      </c>
      <c r="E680" s="6" t="n">
        <v>0</v>
      </c>
      <c r="F680" s="6" t="n">
        <v>0</v>
      </c>
      <c r="G680" s="8" t="n">
        <v>0.8151</v>
      </c>
      <c r="H680" s="8" t="n">
        <v>0.0361</v>
      </c>
      <c r="I680" s="10" t="n">
        <v>1</v>
      </c>
    </row>
    <row r="681">
      <c r="B681" s="6" t="n">
        <v>20654</v>
      </c>
      <c r="C681" s="7" t="n">
        <v>310000</v>
      </c>
      <c r="D681" s="6" t="n">
        <v>30</v>
      </c>
      <c r="E681" s="6" t="n">
        <v>0</v>
      </c>
      <c r="F681" s="6" t="n">
        <v>0</v>
      </c>
      <c r="G681" s="8" t="n">
        <v>0.8179</v>
      </c>
      <c r="H681" s="8" t="n">
        <v>0.041</v>
      </c>
      <c r="I681" s="9" t="n">
        <v>0</v>
      </c>
    </row>
    <row r="682">
      <c r="B682" s="6" t="n">
        <v>20679</v>
      </c>
      <c r="C682" s="7" t="n">
        <v>90000</v>
      </c>
      <c r="D682" s="6" t="n">
        <v>47</v>
      </c>
      <c r="E682" s="6" t="n">
        <v>0</v>
      </c>
      <c r="F682" s="6" t="n">
        <v>0</v>
      </c>
      <c r="G682" s="8" t="n">
        <v>0.603</v>
      </c>
      <c r="H682" s="8" t="n">
        <v>0.0447</v>
      </c>
      <c r="I682" s="10" t="n">
        <v>1</v>
      </c>
    </row>
    <row r="683">
      <c r="B683" s="6" t="n">
        <v>20693</v>
      </c>
      <c r="C683" s="7" t="n">
        <v>50000</v>
      </c>
      <c r="D683" s="6" t="n">
        <v>29</v>
      </c>
      <c r="E683" s="6" t="n">
        <v>0</v>
      </c>
      <c r="F683" s="6" t="n">
        <v>0</v>
      </c>
      <c r="G683" s="8" t="n">
        <v>0.264</v>
      </c>
      <c r="H683" s="8" t="n">
        <v>0.1141</v>
      </c>
      <c r="I683" s="9" t="n">
        <v>0</v>
      </c>
    </row>
    <row r="684">
      <c r="B684" s="6" t="n">
        <v>20706</v>
      </c>
      <c r="C684" s="7" t="n">
        <v>90000</v>
      </c>
      <c r="D684" s="6" t="n">
        <v>39</v>
      </c>
      <c r="E684" s="6" t="n">
        <v>0</v>
      </c>
      <c r="F684" s="6" t="n">
        <v>0</v>
      </c>
      <c r="G684" s="8" t="n">
        <v>0.4078</v>
      </c>
      <c r="H684" s="8" t="n">
        <v>0.0545</v>
      </c>
      <c r="I684" s="9" t="n">
        <v>0</v>
      </c>
    </row>
    <row r="685">
      <c r="B685" s="6" t="n">
        <v>20710</v>
      </c>
      <c r="C685" s="7" t="n">
        <v>70000</v>
      </c>
      <c r="D685" s="6" t="n">
        <v>44</v>
      </c>
      <c r="E685" s="6" t="n">
        <v>1</v>
      </c>
      <c r="F685" s="6" t="n">
        <v>2</v>
      </c>
      <c r="G685" s="8" t="n">
        <v>0.7756999999999999</v>
      </c>
      <c r="H685" s="8" t="n">
        <v>0</v>
      </c>
      <c r="I685" s="10" t="n">
        <v>1</v>
      </c>
    </row>
    <row r="686">
      <c r="B686" s="6" t="n">
        <v>20717</v>
      </c>
      <c r="C686" s="7" t="n">
        <v>210000</v>
      </c>
      <c r="D686" s="6" t="n">
        <v>39</v>
      </c>
      <c r="E686" s="6" t="n">
        <v>0</v>
      </c>
      <c r="F686" s="6" t="n">
        <v>0</v>
      </c>
      <c r="G686" s="8" t="n">
        <v>0.8247</v>
      </c>
      <c r="H686" s="8" t="n">
        <v>0.0231</v>
      </c>
      <c r="I686" s="9" t="n">
        <v>0</v>
      </c>
    </row>
    <row r="687">
      <c r="B687" s="6" t="n">
        <v>20725</v>
      </c>
      <c r="C687" s="7" t="n">
        <v>270000</v>
      </c>
      <c r="D687" s="6" t="n">
        <v>38</v>
      </c>
      <c r="E687" s="6" t="n">
        <v>2</v>
      </c>
      <c r="F687" s="6" t="n">
        <v>2</v>
      </c>
      <c r="G687" s="8" t="n">
        <v>0.9572000000000001</v>
      </c>
      <c r="H687" s="8" t="n">
        <v>0.04</v>
      </c>
      <c r="I687" s="10" t="n">
        <v>1</v>
      </c>
    </row>
    <row r="688">
      <c r="B688" s="6" t="n">
        <v>20736</v>
      </c>
      <c r="C688" s="7" t="n">
        <v>100000</v>
      </c>
      <c r="D688" s="6" t="n">
        <v>43</v>
      </c>
      <c r="E688" s="6" t="n">
        <v>-1</v>
      </c>
      <c r="F688" s="6" t="n">
        <v>-1</v>
      </c>
      <c r="G688" s="8" t="n">
        <v>0.0039</v>
      </c>
      <c r="H688" s="8" t="n">
        <v>1</v>
      </c>
      <c r="I688" s="9" t="n">
        <v>0</v>
      </c>
    </row>
    <row r="689">
      <c r="B689" s="6" t="n">
        <v>20737</v>
      </c>
      <c r="C689" s="7" t="n">
        <v>20000</v>
      </c>
      <c r="D689" s="6" t="n">
        <v>22</v>
      </c>
      <c r="E689" s="6" t="n">
        <v>1</v>
      </c>
      <c r="F689" s="6" t="n">
        <v>2</v>
      </c>
      <c r="G689" s="8" t="n">
        <v>0.5296</v>
      </c>
      <c r="H689" s="8" t="n">
        <v>0</v>
      </c>
      <c r="I689" s="9" t="n">
        <v>0</v>
      </c>
    </row>
    <row r="690">
      <c r="B690" s="6" t="n">
        <v>20746</v>
      </c>
      <c r="C690" s="7" t="n">
        <v>30000</v>
      </c>
      <c r="D690" s="6" t="n">
        <v>42</v>
      </c>
      <c r="E690" s="6" t="n">
        <v>-1</v>
      </c>
      <c r="F690" s="6" t="n">
        <v>-1</v>
      </c>
      <c r="G690" s="8" t="n">
        <v>0.0927</v>
      </c>
      <c r="H690" s="8" t="n">
        <v>1.0694</v>
      </c>
      <c r="I690" s="9" t="n">
        <v>0</v>
      </c>
    </row>
    <row r="691">
      <c r="B691" s="6" t="n">
        <v>20763</v>
      </c>
      <c r="C691" s="7" t="n">
        <v>230000</v>
      </c>
      <c r="D691" s="6" t="n">
        <v>34</v>
      </c>
      <c r="E691" s="6" t="n">
        <v>-2</v>
      </c>
      <c r="F691" s="6" t="n">
        <v>-2</v>
      </c>
      <c r="G691" s="8" t="n">
        <v>0.1182</v>
      </c>
      <c r="H691" s="8" t="n">
        <v>0</v>
      </c>
      <c r="I691" s="9" t="n">
        <v>0</v>
      </c>
    </row>
    <row r="692">
      <c r="B692" s="6" t="n">
        <v>20793</v>
      </c>
      <c r="C692" s="7" t="n">
        <v>220000</v>
      </c>
      <c r="D692" s="6" t="n">
        <v>49</v>
      </c>
      <c r="E692" s="6" t="n">
        <v>-1</v>
      </c>
      <c r="F692" s="6" t="n">
        <v>-1</v>
      </c>
      <c r="G692" s="8" t="n">
        <v>0.0025</v>
      </c>
      <c r="H692" s="8" t="n">
        <v>2</v>
      </c>
      <c r="I692" s="9" t="n">
        <v>0</v>
      </c>
    </row>
    <row r="693">
      <c r="B693" s="6" t="n">
        <v>20884</v>
      </c>
      <c r="C693" s="7" t="n">
        <v>100000</v>
      </c>
      <c r="D693" s="6" t="n">
        <v>41</v>
      </c>
      <c r="E693" s="6" t="n">
        <v>-1</v>
      </c>
      <c r="F693" s="6" t="n">
        <v>2</v>
      </c>
      <c r="G693" s="8" t="n">
        <v>0.0194</v>
      </c>
      <c r="H693" s="8" t="n">
        <v>0.7728</v>
      </c>
      <c r="I693" s="10" t="n">
        <v>1</v>
      </c>
    </row>
    <row r="694">
      <c r="B694" s="6" t="n">
        <v>20948</v>
      </c>
      <c r="C694" s="7" t="n">
        <v>500000</v>
      </c>
      <c r="D694" s="6" t="n">
        <v>35</v>
      </c>
      <c r="E694" s="6" t="n">
        <v>-1</v>
      </c>
      <c r="F694" s="6" t="n">
        <v>-1</v>
      </c>
      <c r="G694" s="8" t="n">
        <v>0.0125</v>
      </c>
      <c r="H694" s="8" t="n">
        <v>1.6768</v>
      </c>
      <c r="I694" s="9" t="n">
        <v>0</v>
      </c>
    </row>
    <row r="695">
      <c r="B695" s="6" t="n">
        <v>20995</v>
      </c>
      <c r="C695" s="7" t="n">
        <v>80000</v>
      </c>
      <c r="D695" s="6" t="n">
        <v>40</v>
      </c>
      <c r="E695" s="6" t="n">
        <v>0</v>
      </c>
      <c r="F695" s="6" t="n">
        <v>0</v>
      </c>
      <c r="G695" s="8" t="n">
        <v>0.8947000000000001</v>
      </c>
      <c r="H695" s="8" t="n">
        <v>0.042</v>
      </c>
      <c r="I695" s="9" t="n">
        <v>0</v>
      </c>
    </row>
    <row r="696">
      <c r="B696" s="6" t="n">
        <v>21019</v>
      </c>
      <c r="C696" s="7" t="n">
        <v>10000</v>
      </c>
      <c r="D696" s="6" t="n">
        <v>46</v>
      </c>
      <c r="E696" s="6" t="n">
        <v>0</v>
      </c>
      <c r="F696" s="6" t="n">
        <v>0</v>
      </c>
      <c r="G696" s="8" t="n">
        <v>0.8866000000000001</v>
      </c>
      <c r="H696" s="8" t="n">
        <v>0.1289</v>
      </c>
      <c r="I696" s="9" t="n">
        <v>0</v>
      </c>
    </row>
    <row r="697">
      <c r="B697" s="6" t="n">
        <v>21046</v>
      </c>
      <c r="C697" s="7" t="n">
        <v>80000</v>
      </c>
      <c r="D697" s="6" t="n">
        <v>34</v>
      </c>
      <c r="E697" s="6" t="n">
        <v>-1</v>
      </c>
      <c r="F697" s="6" t="n">
        <v>-1</v>
      </c>
      <c r="G697" s="8" t="n">
        <v>0.06469999999999999</v>
      </c>
      <c r="H697" s="8" t="n">
        <v>2</v>
      </c>
      <c r="I697" s="9" t="n">
        <v>0</v>
      </c>
    </row>
    <row r="698">
      <c r="B698" s="6" t="n">
        <v>21058</v>
      </c>
      <c r="C698" s="7" t="n">
        <v>160000</v>
      </c>
      <c r="D698" s="6" t="n">
        <v>38</v>
      </c>
      <c r="E698" s="6" t="n">
        <v>4</v>
      </c>
      <c r="F698" s="6" t="n">
        <v>3</v>
      </c>
      <c r="G698" s="8" t="n">
        <v>0.6209</v>
      </c>
      <c r="H698" s="8" t="n">
        <v>0</v>
      </c>
      <c r="I698" s="10" t="n">
        <v>1</v>
      </c>
    </row>
    <row r="699">
      <c r="B699" s="6" t="n">
        <v>21063</v>
      </c>
      <c r="C699" s="7" t="n">
        <v>390000</v>
      </c>
      <c r="D699" s="6" t="n">
        <v>36</v>
      </c>
      <c r="E699" s="6" t="n">
        <v>1</v>
      </c>
      <c r="F699" s="6" t="n">
        <v>-2</v>
      </c>
      <c r="G699" s="8" t="n">
        <v>0</v>
      </c>
      <c r="H699" s="8" t="n">
        <v>0</v>
      </c>
      <c r="I699" s="9" t="n">
        <v>0</v>
      </c>
    </row>
    <row r="700">
      <c r="B700" s="6" t="n">
        <v>21105</v>
      </c>
      <c r="C700" s="7" t="n">
        <v>270000</v>
      </c>
      <c r="D700" s="6" t="n">
        <v>45</v>
      </c>
      <c r="E700" s="6" t="n">
        <v>1</v>
      </c>
      <c r="F700" s="6" t="n">
        <v>-2</v>
      </c>
      <c r="G700" s="8" t="n">
        <v>0</v>
      </c>
      <c r="H700" s="8" t="n">
        <v>0</v>
      </c>
      <c r="I700" s="9" t="n">
        <v>0</v>
      </c>
    </row>
    <row r="701">
      <c r="B701" s="6" t="n">
        <v>21117</v>
      </c>
      <c r="C701" s="7" t="n">
        <v>220000</v>
      </c>
      <c r="D701" s="6" t="n">
        <v>36</v>
      </c>
      <c r="E701" s="6" t="n">
        <v>-1</v>
      </c>
      <c r="F701" s="6" t="n">
        <v>2</v>
      </c>
      <c r="G701" s="8" t="n">
        <v>0.0036</v>
      </c>
      <c r="H701" s="8" t="n">
        <v>0</v>
      </c>
      <c r="I701" s="9" t="n">
        <v>0</v>
      </c>
    </row>
    <row r="702">
      <c r="B702" s="6" t="n">
        <v>21130</v>
      </c>
      <c r="C702" s="7" t="n">
        <v>240000</v>
      </c>
      <c r="D702" s="6" t="n">
        <v>37</v>
      </c>
      <c r="E702" s="6" t="n">
        <v>1</v>
      </c>
      <c r="F702" s="6" t="n">
        <v>2</v>
      </c>
      <c r="G702" s="8" t="n">
        <v>0.8825</v>
      </c>
      <c r="H702" s="8" t="n">
        <v>0.0094</v>
      </c>
      <c r="I702" s="9" t="n">
        <v>0</v>
      </c>
    </row>
    <row r="703">
      <c r="B703" s="6" t="n">
        <v>21197</v>
      </c>
      <c r="C703" s="7" t="n">
        <v>230000</v>
      </c>
      <c r="D703" s="6" t="n">
        <v>35</v>
      </c>
      <c r="E703" s="6" t="n">
        <v>0</v>
      </c>
      <c r="F703" s="6" t="n">
        <v>0</v>
      </c>
      <c r="G703" s="8" t="n">
        <v>0.7409</v>
      </c>
      <c r="H703" s="8" t="n">
        <v>0.0351</v>
      </c>
      <c r="I703" s="9" t="n">
        <v>0</v>
      </c>
    </row>
    <row r="704">
      <c r="B704" s="6" t="n">
        <v>21220</v>
      </c>
      <c r="C704" s="7" t="n">
        <v>50000</v>
      </c>
      <c r="D704" s="6" t="n">
        <v>49</v>
      </c>
      <c r="E704" s="6" t="n">
        <v>0</v>
      </c>
      <c r="F704" s="6" t="n">
        <v>0</v>
      </c>
      <c r="G704" s="8" t="n">
        <v>0.8328</v>
      </c>
      <c r="H704" s="8" t="n">
        <v>0.048</v>
      </c>
      <c r="I704" s="9" t="n">
        <v>0</v>
      </c>
    </row>
    <row r="705">
      <c r="B705" s="6" t="n">
        <v>21230</v>
      </c>
      <c r="C705" s="7" t="n">
        <v>200000</v>
      </c>
      <c r="D705" s="6" t="n">
        <v>37</v>
      </c>
      <c r="E705" s="6" t="n">
        <v>1</v>
      </c>
      <c r="F705" s="6" t="n">
        <v>-2</v>
      </c>
      <c r="G705" s="8" t="n">
        <v>0</v>
      </c>
      <c r="H705" s="8" t="n">
        <v>0</v>
      </c>
      <c r="I705" s="9" t="n">
        <v>0</v>
      </c>
    </row>
    <row r="706">
      <c r="B706" s="6" t="n">
        <v>21303</v>
      </c>
      <c r="C706" s="7" t="n">
        <v>50000</v>
      </c>
      <c r="D706" s="6" t="n">
        <v>51</v>
      </c>
      <c r="E706" s="6" t="n">
        <v>0</v>
      </c>
      <c r="F706" s="6" t="n">
        <v>0</v>
      </c>
      <c r="G706" s="8" t="n">
        <v>0.9219000000000001</v>
      </c>
      <c r="H706" s="8" t="n">
        <v>0.0397</v>
      </c>
      <c r="I706" s="9" t="n">
        <v>0</v>
      </c>
    </row>
    <row r="707">
      <c r="B707" s="6" t="n">
        <v>21342</v>
      </c>
      <c r="C707" s="7" t="n">
        <v>380000</v>
      </c>
      <c r="D707" s="6" t="n">
        <v>55</v>
      </c>
      <c r="E707" s="6" t="n">
        <v>0</v>
      </c>
      <c r="F707" s="6" t="n">
        <v>0</v>
      </c>
      <c r="G707" s="8" t="n">
        <v>0.1576</v>
      </c>
      <c r="H707" s="8" t="n">
        <v>0.0365</v>
      </c>
      <c r="I707" s="9" t="n">
        <v>0</v>
      </c>
    </row>
    <row r="708">
      <c r="B708" s="6" t="n">
        <v>21356</v>
      </c>
      <c r="C708" s="7" t="n">
        <v>80000</v>
      </c>
      <c r="D708" s="6" t="n">
        <v>56</v>
      </c>
      <c r="E708" s="6" t="n">
        <v>0</v>
      </c>
      <c r="F708" s="6" t="n">
        <v>0</v>
      </c>
      <c r="G708" s="8" t="n">
        <v>0.6237</v>
      </c>
      <c r="H708" s="8" t="n">
        <v>0.0365</v>
      </c>
      <c r="I708" s="9" t="n">
        <v>0</v>
      </c>
    </row>
    <row r="709">
      <c r="B709" s="6" t="n">
        <v>21387</v>
      </c>
      <c r="C709" s="7" t="n">
        <v>40000</v>
      </c>
      <c r="D709" s="6" t="n">
        <v>57</v>
      </c>
      <c r="E709" s="6" t="n">
        <v>0</v>
      </c>
      <c r="F709" s="6" t="n">
        <v>0</v>
      </c>
      <c r="G709" s="8" t="n">
        <v>2</v>
      </c>
      <c r="H709" s="8" t="n">
        <v>0.0313</v>
      </c>
      <c r="I709" s="9" t="n">
        <v>0</v>
      </c>
    </row>
    <row r="710">
      <c r="B710" s="6" t="n">
        <v>21388</v>
      </c>
      <c r="C710" s="7" t="n">
        <v>60000</v>
      </c>
      <c r="D710" s="6" t="n">
        <v>54</v>
      </c>
      <c r="E710" s="6" t="n">
        <v>1</v>
      </c>
      <c r="F710" s="6" t="n">
        <v>2</v>
      </c>
      <c r="G710" s="8" t="n">
        <v>1.0083</v>
      </c>
      <c r="H710" s="8" t="n">
        <v>0</v>
      </c>
      <c r="I710" s="9" t="n">
        <v>0</v>
      </c>
    </row>
    <row r="711">
      <c r="B711" s="6" t="n">
        <v>21398</v>
      </c>
      <c r="C711" s="7" t="n">
        <v>290000</v>
      </c>
      <c r="D711" s="6" t="n">
        <v>53</v>
      </c>
      <c r="E711" s="6" t="n">
        <v>0</v>
      </c>
      <c r="F711" s="6" t="n">
        <v>0</v>
      </c>
      <c r="G711" s="8" t="n">
        <v>0.9362</v>
      </c>
      <c r="H711" s="8" t="n">
        <v>0.0405</v>
      </c>
      <c r="I711" s="9" t="n">
        <v>0</v>
      </c>
    </row>
    <row r="712">
      <c r="B712" s="6" t="n">
        <v>21443</v>
      </c>
      <c r="C712" s="7" t="n">
        <v>160000</v>
      </c>
      <c r="D712" s="6" t="n">
        <v>25</v>
      </c>
      <c r="E712" s="6" t="n">
        <v>0</v>
      </c>
      <c r="F712" s="6" t="n">
        <v>0</v>
      </c>
      <c r="G712" s="8" t="n">
        <v>0.5188</v>
      </c>
      <c r="H712" s="8" t="n">
        <v>0.047</v>
      </c>
      <c r="I712" s="9" t="n">
        <v>0</v>
      </c>
    </row>
    <row r="713">
      <c r="B713" s="6" t="n">
        <v>21476</v>
      </c>
      <c r="C713" s="7" t="n">
        <v>460000</v>
      </c>
      <c r="D713" s="6" t="n">
        <v>28</v>
      </c>
      <c r="E713" s="6" t="n">
        <v>0</v>
      </c>
      <c r="F713" s="6" t="n">
        <v>0</v>
      </c>
      <c r="G713" s="8" t="n">
        <v>0.0555</v>
      </c>
      <c r="H713" s="8" t="n">
        <v>0.0523</v>
      </c>
      <c r="I713" s="9" t="n">
        <v>0</v>
      </c>
    </row>
    <row r="714">
      <c r="B714" s="6" t="n">
        <v>21481</v>
      </c>
      <c r="C714" s="7" t="n">
        <v>20000</v>
      </c>
      <c r="D714" s="6" t="n">
        <v>24</v>
      </c>
      <c r="E714" s="6" t="n">
        <v>-1</v>
      </c>
      <c r="F714" s="6" t="n">
        <v>4</v>
      </c>
      <c r="G714" s="8" t="n">
        <v>0.9958</v>
      </c>
      <c r="H714" s="8" t="n">
        <v>0.0301</v>
      </c>
      <c r="I714" s="10" t="n">
        <v>1</v>
      </c>
    </row>
    <row r="715">
      <c r="B715" s="6" t="n">
        <v>21487</v>
      </c>
      <c r="C715" s="7" t="n">
        <v>90000</v>
      </c>
      <c r="D715" s="6" t="n">
        <v>27</v>
      </c>
      <c r="E715" s="6" t="n">
        <v>0</v>
      </c>
      <c r="F715" s="6" t="n">
        <v>0</v>
      </c>
      <c r="G715" s="8" t="n">
        <v>0.5175999999999999</v>
      </c>
      <c r="H715" s="8" t="n">
        <v>0.0859</v>
      </c>
      <c r="I715" s="9" t="n">
        <v>0</v>
      </c>
    </row>
    <row r="716">
      <c r="B716" s="6" t="n">
        <v>21532</v>
      </c>
      <c r="C716" s="7" t="n">
        <v>50000</v>
      </c>
      <c r="D716" s="6" t="n">
        <v>23</v>
      </c>
      <c r="E716" s="6" t="n">
        <v>0</v>
      </c>
      <c r="F716" s="6" t="n">
        <v>0</v>
      </c>
      <c r="G716" s="8" t="n">
        <v>1.0123</v>
      </c>
      <c r="H716" s="8" t="n">
        <v>0.0494</v>
      </c>
      <c r="I716" s="9" t="n">
        <v>0</v>
      </c>
    </row>
    <row r="717">
      <c r="B717" s="6" t="n">
        <v>21677</v>
      </c>
      <c r="C717" s="7" t="n">
        <v>50000</v>
      </c>
      <c r="D717" s="6" t="n">
        <v>23</v>
      </c>
      <c r="E717" s="6" t="n">
        <v>0</v>
      </c>
      <c r="F717" s="6" t="n">
        <v>0</v>
      </c>
      <c r="G717" s="8" t="n">
        <v>0.9754</v>
      </c>
      <c r="H717" s="8" t="n">
        <v>0.0432</v>
      </c>
      <c r="I717" s="9" t="n">
        <v>0</v>
      </c>
    </row>
    <row r="718">
      <c r="B718" s="6" t="n">
        <v>21696</v>
      </c>
      <c r="C718" s="7" t="n">
        <v>270000</v>
      </c>
      <c r="D718" s="6" t="n">
        <v>25</v>
      </c>
      <c r="E718" s="6" t="n">
        <v>0</v>
      </c>
      <c r="F718" s="6" t="n">
        <v>0</v>
      </c>
      <c r="G718" s="8" t="n">
        <v>0.08359999999999999</v>
      </c>
      <c r="H718" s="8" t="n">
        <v>0.0611</v>
      </c>
      <c r="I718" s="9" t="n">
        <v>0</v>
      </c>
    </row>
    <row r="719">
      <c r="B719" s="6" t="n">
        <v>21702</v>
      </c>
      <c r="C719" s="7" t="n">
        <v>70000</v>
      </c>
      <c r="D719" s="6" t="n">
        <v>25</v>
      </c>
      <c r="E719" s="6" t="n">
        <v>2</v>
      </c>
      <c r="F719" s="6" t="n">
        <v>0</v>
      </c>
      <c r="G719" s="8" t="n">
        <v>0.273</v>
      </c>
      <c r="H719" s="8" t="n">
        <v>0.0852</v>
      </c>
      <c r="I719" s="10" t="n">
        <v>1</v>
      </c>
    </row>
    <row r="720">
      <c r="B720" s="6" t="n">
        <v>21718</v>
      </c>
      <c r="C720" s="7" t="n">
        <v>190000</v>
      </c>
      <c r="D720" s="6" t="n">
        <v>26</v>
      </c>
      <c r="E720" s="6" t="n">
        <v>1</v>
      </c>
      <c r="F720" s="6" t="n">
        <v>-1</v>
      </c>
      <c r="G720" s="8" t="n">
        <v>0</v>
      </c>
      <c r="H720" s="8" t="n">
        <v>0</v>
      </c>
      <c r="I720" s="9" t="n">
        <v>0</v>
      </c>
    </row>
    <row r="721">
      <c r="B721" s="6" t="n">
        <v>21799</v>
      </c>
      <c r="C721" s="7" t="n">
        <v>30000</v>
      </c>
      <c r="D721" s="6" t="n">
        <v>25</v>
      </c>
      <c r="E721" s="6" t="n">
        <v>0</v>
      </c>
      <c r="F721" s="6" t="n">
        <v>0</v>
      </c>
      <c r="G721" s="8" t="n">
        <v>0.8938</v>
      </c>
      <c r="H721" s="8" t="n">
        <v>0.0746</v>
      </c>
      <c r="I721" s="9" t="n">
        <v>0</v>
      </c>
    </row>
    <row r="722">
      <c r="B722" s="6" t="n">
        <v>21810</v>
      </c>
      <c r="C722" s="7" t="n">
        <v>170000</v>
      </c>
      <c r="D722" s="6" t="n">
        <v>26</v>
      </c>
      <c r="E722" s="6" t="n">
        <v>2</v>
      </c>
      <c r="F722" s="6" t="n">
        <v>0</v>
      </c>
      <c r="G722" s="8" t="n">
        <v>0.6539</v>
      </c>
      <c r="H722" s="8" t="n">
        <v>0.0366</v>
      </c>
      <c r="I722" s="10" t="n">
        <v>1</v>
      </c>
    </row>
    <row r="723">
      <c r="B723" s="6" t="n">
        <v>21820</v>
      </c>
      <c r="C723" s="7" t="n">
        <v>310000</v>
      </c>
      <c r="D723" s="6" t="n">
        <v>26</v>
      </c>
      <c r="E723" s="6" t="n">
        <v>0</v>
      </c>
      <c r="F723" s="6" t="n">
        <v>0</v>
      </c>
      <c r="G723" s="8" t="n">
        <v>0.0377</v>
      </c>
      <c r="H723" s="8" t="n">
        <v>0.2568</v>
      </c>
      <c r="I723" s="9" t="n">
        <v>0</v>
      </c>
    </row>
    <row r="724">
      <c r="B724" s="6" t="n">
        <v>21867</v>
      </c>
      <c r="C724" s="7" t="n">
        <v>80000</v>
      </c>
      <c r="D724" s="6" t="n">
        <v>26</v>
      </c>
      <c r="E724" s="6" t="n">
        <v>-1</v>
      </c>
      <c r="F724" s="6" t="n">
        <v>-1</v>
      </c>
      <c r="G724" s="8" t="n">
        <v>0.0578</v>
      </c>
      <c r="H724" s="8" t="n">
        <v>0.6474</v>
      </c>
      <c r="I724" s="9" t="n">
        <v>0</v>
      </c>
    </row>
    <row r="725">
      <c r="B725" s="6" t="n">
        <v>21876</v>
      </c>
      <c r="C725" s="7" t="n">
        <v>290000</v>
      </c>
      <c r="D725" s="6" t="n">
        <v>25</v>
      </c>
      <c r="E725" s="6" t="n">
        <v>0</v>
      </c>
      <c r="F725" s="6" t="n">
        <v>0</v>
      </c>
      <c r="G725" s="8" t="n">
        <v>0.4849</v>
      </c>
      <c r="H725" s="8" t="n">
        <v>0.0498</v>
      </c>
      <c r="I725" s="9" t="n">
        <v>0</v>
      </c>
    </row>
    <row r="726">
      <c r="B726" s="6" t="n">
        <v>21907</v>
      </c>
      <c r="C726" s="7" t="n">
        <v>330000</v>
      </c>
      <c r="D726" s="6" t="n">
        <v>27</v>
      </c>
      <c r="E726" s="6" t="n">
        <v>-2</v>
      </c>
      <c r="F726" s="6" t="n">
        <v>-2</v>
      </c>
      <c r="G726" s="8" t="n">
        <v>0</v>
      </c>
      <c r="H726" s="8" t="n">
        <v>0</v>
      </c>
      <c r="I726" s="9" t="n">
        <v>0</v>
      </c>
    </row>
    <row r="727">
      <c r="B727" s="6" t="n">
        <v>21936</v>
      </c>
      <c r="C727" s="7" t="n">
        <v>140000</v>
      </c>
      <c r="D727" s="6" t="n">
        <v>27</v>
      </c>
      <c r="E727" s="6" t="n">
        <v>0</v>
      </c>
      <c r="F727" s="6" t="n">
        <v>0</v>
      </c>
      <c r="G727" s="8" t="n">
        <v>0.9734</v>
      </c>
      <c r="H727" s="8" t="n">
        <v>0.0514</v>
      </c>
      <c r="I727" s="9" t="n">
        <v>0</v>
      </c>
    </row>
    <row r="728">
      <c r="B728" s="6" t="n">
        <v>21963</v>
      </c>
      <c r="C728" s="7" t="n">
        <v>150000</v>
      </c>
      <c r="D728" s="6" t="n">
        <v>27</v>
      </c>
      <c r="E728" s="6" t="n">
        <v>-2</v>
      </c>
      <c r="F728" s="6" t="n">
        <v>-2</v>
      </c>
      <c r="G728" s="8" t="n">
        <v>0</v>
      </c>
      <c r="H728" s="8" t="n">
        <v>0</v>
      </c>
      <c r="I728" s="9" t="n">
        <v>0</v>
      </c>
    </row>
    <row r="729">
      <c r="B729" s="6" t="n">
        <v>21974</v>
      </c>
      <c r="C729" s="7" t="n">
        <v>50000</v>
      </c>
      <c r="D729" s="6" t="n">
        <v>24</v>
      </c>
      <c r="E729" s="6" t="n">
        <v>0</v>
      </c>
      <c r="F729" s="6" t="n">
        <v>0</v>
      </c>
      <c r="G729" s="8" t="n">
        <v>0.5347</v>
      </c>
      <c r="H729" s="8" t="n">
        <v>0.0561</v>
      </c>
      <c r="I729" s="9" t="n">
        <v>0</v>
      </c>
    </row>
    <row r="730">
      <c r="B730" s="6" t="n">
        <v>22041</v>
      </c>
      <c r="C730" s="7" t="n">
        <v>150000</v>
      </c>
      <c r="D730" s="6" t="n">
        <v>25</v>
      </c>
      <c r="E730" s="6" t="n">
        <v>-1</v>
      </c>
      <c r="F730" s="6" t="n">
        <v>-1</v>
      </c>
      <c r="G730" s="8" t="n">
        <v>0.0555</v>
      </c>
      <c r="H730" s="8" t="n">
        <v>0.6078</v>
      </c>
      <c r="I730" s="9" t="n">
        <v>0</v>
      </c>
    </row>
    <row r="731">
      <c r="B731" s="6" t="n">
        <v>22043</v>
      </c>
      <c r="C731" s="7" t="n">
        <v>150000</v>
      </c>
      <c r="D731" s="6" t="n">
        <v>25</v>
      </c>
      <c r="E731" s="6" t="n">
        <v>1</v>
      </c>
      <c r="F731" s="6" t="n">
        <v>-2</v>
      </c>
      <c r="G731" s="8" t="n">
        <v>0</v>
      </c>
      <c r="H731" s="8" t="n">
        <v>0</v>
      </c>
      <c r="I731" s="9" t="n">
        <v>0</v>
      </c>
    </row>
    <row r="732">
      <c r="B732" s="6" t="n">
        <v>22073</v>
      </c>
      <c r="C732" s="7" t="n">
        <v>80000</v>
      </c>
      <c r="D732" s="6" t="n">
        <v>26</v>
      </c>
      <c r="E732" s="6" t="n">
        <v>0</v>
      </c>
      <c r="F732" s="6" t="n">
        <v>0</v>
      </c>
      <c r="G732" s="8" t="n">
        <v>1.5528</v>
      </c>
      <c r="H732" s="8" t="n">
        <v>0.0368</v>
      </c>
      <c r="I732" s="9" t="n">
        <v>0</v>
      </c>
    </row>
    <row r="733">
      <c r="B733" s="6" t="n">
        <v>22102</v>
      </c>
      <c r="C733" s="7" t="n">
        <v>50000</v>
      </c>
      <c r="D733" s="6" t="n">
        <v>28</v>
      </c>
      <c r="E733" s="6" t="n">
        <v>0</v>
      </c>
      <c r="F733" s="6" t="n">
        <v>0</v>
      </c>
      <c r="G733" s="8" t="n">
        <v>1.0555</v>
      </c>
      <c r="H733" s="8" t="n">
        <v>0.0474</v>
      </c>
      <c r="I733" s="10" t="n">
        <v>1</v>
      </c>
    </row>
    <row r="734">
      <c r="B734" s="6" t="n">
        <v>22105</v>
      </c>
      <c r="C734" s="7" t="n">
        <v>100000</v>
      </c>
      <c r="D734" s="6" t="n">
        <v>29</v>
      </c>
      <c r="E734" s="6" t="n">
        <v>0</v>
      </c>
      <c r="F734" s="6" t="n">
        <v>0</v>
      </c>
      <c r="G734" s="8" t="n">
        <v>0.07820000000000001</v>
      </c>
      <c r="H734" s="8" t="n">
        <v>0.6398</v>
      </c>
      <c r="I734" s="9" t="n">
        <v>0</v>
      </c>
    </row>
    <row r="735">
      <c r="B735" s="6" t="n">
        <v>22214</v>
      </c>
      <c r="C735" s="7" t="n">
        <v>60000</v>
      </c>
      <c r="D735" s="6" t="n">
        <v>27</v>
      </c>
      <c r="E735" s="6" t="n">
        <v>0</v>
      </c>
      <c r="F735" s="6" t="n">
        <v>0</v>
      </c>
      <c r="G735" s="8" t="n">
        <v>1.0152</v>
      </c>
      <c r="H735" s="8" t="n">
        <v>0.037</v>
      </c>
      <c r="I735" s="9" t="n">
        <v>0</v>
      </c>
    </row>
    <row r="736">
      <c r="B736" s="6" t="n">
        <v>22287</v>
      </c>
      <c r="C736" s="7" t="n">
        <v>20000</v>
      </c>
      <c r="D736" s="6" t="n">
        <v>30</v>
      </c>
      <c r="E736" s="6" t="n">
        <v>1</v>
      </c>
      <c r="F736" s="6" t="n">
        <v>-2</v>
      </c>
      <c r="G736" s="8" t="n">
        <v>0</v>
      </c>
      <c r="H736" s="8" t="n">
        <v>0</v>
      </c>
      <c r="I736" s="10" t="n">
        <v>1</v>
      </c>
    </row>
    <row r="737">
      <c r="B737" s="6" t="n">
        <v>22307</v>
      </c>
      <c r="C737" s="7" t="n">
        <v>100000</v>
      </c>
      <c r="D737" s="6" t="n">
        <v>27</v>
      </c>
      <c r="E737" s="6" t="n">
        <v>-1</v>
      </c>
      <c r="F737" s="6" t="n">
        <v>2</v>
      </c>
      <c r="G737" s="8" t="n">
        <v>0.0067</v>
      </c>
      <c r="H737" s="8" t="n">
        <v>0</v>
      </c>
      <c r="I737" s="10" t="n">
        <v>1</v>
      </c>
    </row>
    <row r="738">
      <c r="B738" s="6" t="n">
        <v>22405</v>
      </c>
      <c r="C738" s="7" t="n">
        <v>150000</v>
      </c>
      <c r="D738" s="6" t="n">
        <v>26</v>
      </c>
      <c r="E738" s="6" t="n">
        <v>0</v>
      </c>
      <c r="F738" s="6" t="n">
        <v>0</v>
      </c>
      <c r="G738" s="8" t="n">
        <v>0.9116</v>
      </c>
      <c r="H738" s="8" t="n">
        <v>0.0328</v>
      </c>
      <c r="I738" s="9" t="n">
        <v>0</v>
      </c>
    </row>
    <row r="739">
      <c r="B739" s="6" t="n">
        <v>22469</v>
      </c>
      <c r="C739" s="7" t="n">
        <v>30000</v>
      </c>
      <c r="D739" s="6" t="n">
        <v>44</v>
      </c>
      <c r="E739" s="6" t="n">
        <v>0</v>
      </c>
      <c r="F739" s="6" t="n">
        <v>0</v>
      </c>
      <c r="G739" s="8" t="n">
        <v>0.9489</v>
      </c>
      <c r="H739" s="8" t="n">
        <v>0.06370000000000001</v>
      </c>
      <c r="I739" s="10" t="n">
        <v>1</v>
      </c>
    </row>
    <row r="740">
      <c r="B740" s="6" t="n">
        <v>22506</v>
      </c>
      <c r="C740" s="7" t="n">
        <v>310000</v>
      </c>
      <c r="D740" s="6" t="n">
        <v>33</v>
      </c>
      <c r="E740" s="6" t="n">
        <v>-2</v>
      </c>
      <c r="F740" s="6" t="n">
        <v>-2</v>
      </c>
      <c r="G740" s="8" t="n">
        <v>0.008800000000000001</v>
      </c>
      <c r="H740" s="8" t="n">
        <v>0</v>
      </c>
      <c r="I740" s="10" t="n">
        <v>1</v>
      </c>
    </row>
    <row r="741">
      <c r="B741" s="6" t="n">
        <v>22534</v>
      </c>
      <c r="C741" s="7" t="n">
        <v>180000</v>
      </c>
      <c r="D741" s="6" t="n">
        <v>36</v>
      </c>
      <c r="E741" s="6" t="n">
        <v>0</v>
      </c>
      <c r="F741" s="6" t="n">
        <v>0</v>
      </c>
      <c r="G741" s="8" t="n">
        <v>0.0273</v>
      </c>
      <c r="H741" s="8" t="n">
        <v>0.4072</v>
      </c>
      <c r="I741" s="9" t="n">
        <v>0</v>
      </c>
    </row>
    <row r="742">
      <c r="B742" s="6" t="n">
        <v>22541</v>
      </c>
      <c r="C742" s="7" t="n">
        <v>260000</v>
      </c>
      <c r="D742" s="6" t="n">
        <v>46</v>
      </c>
      <c r="E742" s="6" t="n">
        <v>0</v>
      </c>
      <c r="F742" s="6" t="n">
        <v>0</v>
      </c>
      <c r="G742" s="8" t="n">
        <v>0.0622</v>
      </c>
      <c r="H742" s="8" t="n">
        <v>0.1855</v>
      </c>
      <c r="I742" s="9" t="n">
        <v>0</v>
      </c>
    </row>
    <row r="743">
      <c r="B743" s="6" t="n">
        <v>22552</v>
      </c>
      <c r="C743" s="7" t="n">
        <v>120000</v>
      </c>
      <c r="D743" s="6" t="n">
        <v>34</v>
      </c>
      <c r="E743" s="6" t="n">
        <v>-2</v>
      </c>
      <c r="F743" s="6" t="n">
        <v>-2</v>
      </c>
      <c r="G743" s="8" t="n">
        <v>0.0313</v>
      </c>
      <c r="H743" s="8" t="n">
        <v>0</v>
      </c>
      <c r="I743" s="10" t="n">
        <v>1</v>
      </c>
    </row>
    <row r="744">
      <c r="B744" s="6" t="n">
        <v>22558</v>
      </c>
      <c r="C744" s="7" t="n">
        <v>80000</v>
      </c>
      <c r="D744" s="6" t="n">
        <v>43</v>
      </c>
      <c r="E744" s="6" t="n">
        <v>0</v>
      </c>
      <c r="F744" s="6" t="n">
        <v>0</v>
      </c>
      <c r="G744" s="8" t="n">
        <v>0.9797</v>
      </c>
      <c r="H744" s="8" t="n">
        <v>0.051</v>
      </c>
      <c r="I744" s="9" t="n">
        <v>0</v>
      </c>
    </row>
    <row r="745">
      <c r="B745" s="6" t="n">
        <v>22563</v>
      </c>
      <c r="C745" s="7" t="n">
        <v>160000</v>
      </c>
      <c r="D745" s="6" t="n">
        <v>30</v>
      </c>
      <c r="E745" s="6" t="n">
        <v>0</v>
      </c>
      <c r="F745" s="6" t="n">
        <v>0</v>
      </c>
      <c r="G745" s="8" t="n">
        <v>0.08550000000000001</v>
      </c>
      <c r="H745" s="8" t="n">
        <v>0.1476</v>
      </c>
      <c r="I745" s="9" t="n">
        <v>0</v>
      </c>
    </row>
    <row r="746">
      <c r="B746" s="6" t="n">
        <v>22620</v>
      </c>
      <c r="C746" s="7" t="n">
        <v>400000</v>
      </c>
      <c r="D746" s="6" t="n">
        <v>49</v>
      </c>
      <c r="E746" s="6" t="n">
        <v>1</v>
      </c>
      <c r="F746" s="6" t="n">
        <v>-1</v>
      </c>
      <c r="G746" s="8" t="n">
        <v>0</v>
      </c>
      <c r="H746" s="8" t="n">
        <v>0</v>
      </c>
      <c r="I746" s="9" t="n">
        <v>0</v>
      </c>
    </row>
    <row r="747">
      <c r="B747" s="6" t="n">
        <v>22628</v>
      </c>
      <c r="C747" s="7" t="n">
        <v>180000</v>
      </c>
      <c r="D747" s="6" t="n">
        <v>37</v>
      </c>
      <c r="E747" s="6" t="n">
        <v>2</v>
      </c>
      <c r="F747" s="6" t="n">
        <v>-1</v>
      </c>
      <c r="G747" s="8" t="n">
        <v>0.0018</v>
      </c>
      <c r="H747" s="8" t="n">
        <v>1</v>
      </c>
      <c r="I747" s="10" t="n">
        <v>1</v>
      </c>
    </row>
    <row r="748">
      <c r="B748" s="6" t="n">
        <v>22637</v>
      </c>
      <c r="C748" s="7" t="n">
        <v>230000</v>
      </c>
      <c r="D748" s="6" t="n">
        <v>45</v>
      </c>
      <c r="E748" s="6" t="n">
        <v>0</v>
      </c>
      <c r="F748" s="6" t="n">
        <v>0</v>
      </c>
      <c r="G748" s="8" t="n">
        <v>0.0659</v>
      </c>
      <c r="H748" s="8" t="n">
        <v>0.0989</v>
      </c>
      <c r="I748" s="9" t="n">
        <v>0</v>
      </c>
    </row>
    <row r="749">
      <c r="B749" s="6" t="n">
        <v>22671</v>
      </c>
      <c r="C749" s="7" t="n">
        <v>200000</v>
      </c>
      <c r="D749" s="6" t="n">
        <v>39</v>
      </c>
      <c r="E749" s="6" t="n">
        <v>-1</v>
      </c>
      <c r="F749" s="6" t="n">
        <v>-1</v>
      </c>
      <c r="G749" s="8" t="n">
        <v>0.0051</v>
      </c>
      <c r="H749" s="8" t="n">
        <v>0</v>
      </c>
      <c r="I749" s="9" t="n">
        <v>0</v>
      </c>
    </row>
    <row r="750">
      <c r="B750" s="6" t="n">
        <v>22716</v>
      </c>
      <c r="C750" s="7" t="n">
        <v>60000</v>
      </c>
      <c r="D750" s="6" t="n">
        <v>44</v>
      </c>
      <c r="E750" s="6" t="n">
        <v>-1</v>
      </c>
      <c r="F750" s="6" t="n">
        <v>-1</v>
      </c>
      <c r="G750" s="8" t="n">
        <v>0.0467</v>
      </c>
      <c r="H750" s="8" t="n">
        <v>0</v>
      </c>
      <c r="I750" s="9" t="n">
        <v>0</v>
      </c>
    </row>
    <row r="751">
      <c r="B751" s="6" t="n">
        <v>22720</v>
      </c>
      <c r="C751" s="7" t="n">
        <v>290000</v>
      </c>
      <c r="D751" s="6" t="n">
        <v>35</v>
      </c>
      <c r="E751" s="6" t="n">
        <v>0</v>
      </c>
      <c r="F751" s="6" t="n">
        <v>0</v>
      </c>
      <c r="G751" s="8" t="n">
        <v>0.1148</v>
      </c>
      <c r="H751" s="8" t="n">
        <v>0.0481</v>
      </c>
      <c r="I751" s="9" t="n">
        <v>0</v>
      </c>
    </row>
    <row r="752">
      <c r="B752" s="6" t="n">
        <v>22781</v>
      </c>
      <c r="C752" s="7" t="n">
        <v>50000</v>
      </c>
      <c r="D752" s="6" t="n">
        <v>44</v>
      </c>
      <c r="E752" s="6" t="n">
        <v>0</v>
      </c>
      <c r="F752" s="6" t="n">
        <v>0</v>
      </c>
      <c r="G752" s="8" t="n">
        <v>0.9499</v>
      </c>
      <c r="H752" s="8" t="n">
        <v>0.0486</v>
      </c>
      <c r="I752" s="9" t="n">
        <v>0</v>
      </c>
    </row>
    <row r="753">
      <c r="B753" s="6" t="n">
        <v>22808</v>
      </c>
      <c r="C753" s="7" t="n">
        <v>370000</v>
      </c>
      <c r="D753" s="6" t="n">
        <v>35</v>
      </c>
      <c r="E753" s="6" t="n">
        <v>0</v>
      </c>
      <c r="F753" s="6" t="n">
        <v>0</v>
      </c>
      <c r="G753" s="8" t="n">
        <v>0.6385</v>
      </c>
      <c r="H753" s="8" t="n">
        <v>0.0436</v>
      </c>
      <c r="I753" s="9" t="n">
        <v>0</v>
      </c>
    </row>
    <row r="754">
      <c r="B754" s="6" t="n">
        <v>22883</v>
      </c>
      <c r="C754" s="7" t="n">
        <v>100000</v>
      </c>
      <c r="D754" s="6" t="n">
        <v>29</v>
      </c>
      <c r="E754" s="6" t="n">
        <v>0</v>
      </c>
      <c r="F754" s="6" t="n">
        <v>0</v>
      </c>
      <c r="G754" s="8" t="n">
        <v>0.8527</v>
      </c>
      <c r="H754" s="8" t="n">
        <v>0.0586</v>
      </c>
      <c r="I754" s="9" t="n">
        <v>0</v>
      </c>
    </row>
    <row r="755">
      <c r="B755" s="6" t="n">
        <v>22937</v>
      </c>
      <c r="C755" s="7" t="n">
        <v>360000</v>
      </c>
      <c r="D755" s="6" t="n">
        <v>44</v>
      </c>
      <c r="E755" s="6" t="n">
        <v>1</v>
      </c>
      <c r="F755" s="6" t="n">
        <v>2</v>
      </c>
      <c r="G755" s="8" t="n">
        <v>0.1336</v>
      </c>
      <c r="H755" s="8" t="n">
        <v>0</v>
      </c>
      <c r="I755" s="9" t="n">
        <v>0</v>
      </c>
    </row>
    <row r="756">
      <c r="B756" s="6" t="n">
        <v>22945</v>
      </c>
      <c r="C756" s="7" t="n">
        <v>220000</v>
      </c>
      <c r="D756" s="6" t="n">
        <v>35</v>
      </c>
      <c r="E756" s="6" t="n">
        <v>0</v>
      </c>
      <c r="F756" s="6" t="n">
        <v>0</v>
      </c>
      <c r="G756" s="8" t="n">
        <v>0.2079</v>
      </c>
      <c r="H756" s="8" t="n">
        <v>0.0437</v>
      </c>
      <c r="I756" s="9" t="n">
        <v>0</v>
      </c>
    </row>
    <row r="757">
      <c r="B757" s="6" t="n">
        <v>23005</v>
      </c>
      <c r="C757" s="7" t="n">
        <v>450000</v>
      </c>
      <c r="D757" s="6" t="n">
        <v>46</v>
      </c>
      <c r="E757" s="6" t="n">
        <v>-2</v>
      </c>
      <c r="F757" s="6" t="n">
        <v>-2</v>
      </c>
      <c r="G757" s="8" t="n">
        <v>0.0059</v>
      </c>
      <c r="H757" s="8" t="n">
        <v>0.7007</v>
      </c>
      <c r="I757" s="9" t="n">
        <v>0</v>
      </c>
    </row>
    <row r="758">
      <c r="B758" s="6" t="n">
        <v>23045</v>
      </c>
      <c r="C758" s="7" t="n">
        <v>440000</v>
      </c>
      <c r="D758" s="6" t="n">
        <v>36</v>
      </c>
      <c r="E758" s="6" t="n">
        <v>0</v>
      </c>
      <c r="F758" s="6" t="n">
        <v>-1</v>
      </c>
      <c r="G758" s="8" t="n">
        <v>0.0323</v>
      </c>
      <c r="H758" s="8" t="n">
        <v>0.7774</v>
      </c>
      <c r="I758" s="9" t="n">
        <v>0</v>
      </c>
    </row>
    <row r="759">
      <c r="B759" s="6" t="n">
        <v>23070</v>
      </c>
      <c r="C759" s="7" t="n">
        <v>200000</v>
      </c>
      <c r="D759" s="6" t="n">
        <v>45</v>
      </c>
      <c r="E759" s="6" t="n">
        <v>-1</v>
      </c>
      <c r="F759" s="6" t="n">
        <v>2</v>
      </c>
      <c r="G759" s="8" t="n">
        <v>0.0447</v>
      </c>
      <c r="H759" s="8" t="n">
        <v>0</v>
      </c>
      <c r="I759" s="9" t="n">
        <v>0</v>
      </c>
    </row>
    <row r="760">
      <c r="B760" s="6" t="n">
        <v>23140</v>
      </c>
      <c r="C760" s="7" t="n">
        <v>300000</v>
      </c>
      <c r="D760" s="6" t="n">
        <v>36</v>
      </c>
      <c r="E760" s="6" t="n">
        <v>-2</v>
      </c>
      <c r="F760" s="6" t="n">
        <v>-2</v>
      </c>
      <c r="G760" s="8" t="n">
        <v>0.0008</v>
      </c>
      <c r="H760" s="8" t="n">
        <v>2</v>
      </c>
      <c r="I760" s="9" t="n">
        <v>0</v>
      </c>
    </row>
    <row r="761">
      <c r="B761" s="6" t="n">
        <v>23144</v>
      </c>
      <c r="C761" s="7" t="n">
        <v>100000</v>
      </c>
      <c r="D761" s="6" t="n">
        <v>32</v>
      </c>
      <c r="E761" s="6" t="n">
        <v>0</v>
      </c>
      <c r="F761" s="6" t="n">
        <v>0</v>
      </c>
      <c r="G761" s="8" t="n">
        <v>0.9891</v>
      </c>
      <c r="H761" s="8" t="n">
        <v>0.0278</v>
      </c>
      <c r="I761" s="9" t="n">
        <v>0</v>
      </c>
    </row>
    <row r="762">
      <c r="B762" s="6" t="n">
        <v>23150</v>
      </c>
      <c r="C762" s="7" t="n">
        <v>280000</v>
      </c>
      <c r="D762" s="6" t="n">
        <v>37</v>
      </c>
      <c r="E762" s="6" t="n">
        <v>-1</v>
      </c>
      <c r="F762" s="6" t="n">
        <v>-1</v>
      </c>
      <c r="G762" s="8" t="n">
        <v>0.0067</v>
      </c>
      <c r="H762" s="8" t="n">
        <v>1.4478</v>
      </c>
      <c r="I762" s="9" t="n">
        <v>0</v>
      </c>
    </row>
    <row r="763">
      <c r="B763" s="6" t="n">
        <v>23173</v>
      </c>
      <c r="C763" s="7" t="n">
        <v>50000</v>
      </c>
      <c r="D763" s="6" t="n">
        <v>48</v>
      </c>
      <c r="E763" s="6" t="n">
        <v>-1</v>
      </c>
      <c r="F763" s="6" t="n">
        <v>0</v>
      </c>
      <c r="G763" s="8" t="n">
        <v>0.0262</v>
      </c>
      <c r="H763" s="8" t="n">
        <v>0.7639</v>
      </c>
      <c r="I763" s="9" t="n">
        <v>0</v>
      </c>
    </row>
    <row r="764">
      <c r="B764" s="6" t="n">
        <v>23233</v>
      </c>
      <c r="C764" s="7" t="n">
        <v>230000</v>
      </c>
      <c r="D764" s="6" t="n">
        <v>35</v>
      </c>
      <c r="E764" s="6" t="n">
        <v>-2</v>
      </c>
      <c r="F764" s="6" t="n">
        <v>-2</v>
      </c>
      <c r="G764" s="8" t="n">
        <v>0</v>
      </c>
      <c r="H764" s="8" t="n">
        <v>0</v>
      </c>
      <c r="I764" s="10" t="n">
        <v>1</v>
      </c>
    </row>
    <row r="765">
      <c r="B765" s="6" t="n">
        <v>23237</v>
      </c>
      <c r="C765" s="7" t="n">
        <v>300000</v>
      </c>
      <c r="D765" s="6" t="n">
        <v>49</v>
      </c>
      <c r="E765" s="6" t="n">
        <v>1</v>
      </c>
      <c r="F765" s="6" t="n">
        <v>-2</v>
      </c>
      <c r="G765" s="8" t="n">
        <v>0</v>
      </c>
      <c r="H765" s="8" t="n">
        <v>0</v>
      </c>
      <c r="I765" s="9" t="n">
        <v>0</v>
      </c>
    </row>
    <row r="766">
      <c r="B766" s="6" t="n">
        <v>23239</v>
      </c>
      <c r="C766" s="7" t="n">
        <v>50000</v>
      </c>
      <c r="D766" s="6" t="n">
        <v>37</v>
      </c>
      <c r="E766" s="6" t="n">
        <v>0</v>
      </c>
      <c r="F766" s="6" t="n">
        <v>0</v>
      </c>
      <c r="G766" s="8" t="n">
        <v>1.0133</v>
      </c>
      <c r="H766" s="8" t="n">
        <v>0.0592</v>
      </c>
      <c r="I766" s="9" t="n">
        <v>0</v>
      </c>
    </row>
    <row r="767">
      <c r="B767" s="6" t="n">
        <v>23274</v>
      </c>
      <c r="C767" s="7" t="n">
        <v>180000</v>
      </c>
      <c r="D767" s="6" t="n">
        <v>46</v>
      </c>
      <c r="E767" s="6" t="n">
        <v>-2</v>
      </c>
      <c r="F767" s="6" t="n">
        <v>-2</v>
      </c>
      <c r="G767" s="8" t="n">
        <v>0.0106</v>
      </c>
      <c r="H767" s="8" t="n">
        <v>1.2877</v>
      </c>
      <c r="I767" s="9" t="n">
        <v>0</v>
      </c>
    </row>
    <row r="768">
      <c r="B768" s="6" t="n">
        <v>23305</v>
      </c>
      <c r="C768" s="7" t="n">
        <v>50000</v>
      </c>
      <c r="D768" s="6" t="n">
        <v>37</v>
      </c>
      <c r="E768" s="6" t="n">
        <v>0</v>
      </c>
      <c r="F768" s="6" t="n">
        <v>0</v>
      </c>
      <c r="G768" s="8" t="n">
        <v>0.9778</v>
      </c>
      <c r="H768" s="8" t="n">
        <v>0.0366</v>
      </c>
      <c r="I768" s="9" t="n">
        <v>0</v>
      </c>
    </row>
    <row r="769">
      <c r="B769" s="6" t="n">
        <v>23400</v>
      </c>
      <c r="C769" s="7" t="n">
        <v>240000</v>
      </c>
      <c r="D769" s="6" t="n">
        <v>35</v>
      </c>
      <c r="E769" s="6" t="n">
        <v>-2</v>
      </c>
      <c r="F769" s="6" t="n">
        <v>-2</v>
      </c>
      <c r="G769" s="8" t="n">
        <v>0</v>
      </c>
      <c r="H769" s="8" t="n">
        <v>0</v>
      </c>
      <c r="I769" s="10" t="n">
        <v>1</v>
      </c>
    </row>
    <row r="770">
      <c r="B770" s="6" t="n">
        <v>23410</v>
      </c>
      <c r="C770" s="7" t="n">
        <v>200000</v>
      </c>
      <c r="D770" s="6" t="n">
        <v>43</v>
      </c>
      <c r="E770" s="6" t="n">
        <v>0</v>
      </c>
      <c r="F770" s="6" t="n">
        <v>0</v>
      </c>
      <c r="G770" s="8" t="n">
        <v>0.993</v>
      </c>
      <c r="H770" s="8" t="n">
        <v>0.0353</v>
      </c>
      <c r="I770" s="9" t="n">
        <v>0</v>
      </c>
    </row>
    <row r="771">
      <c r="B771" s="6" t="n">
        <v>23413</v>
      </c>
      <c r="C771" s="7" t="n">
        <v>160000</v>
      </c>
      <c r="D771" s="6" t="n">
        <v>32</v>
      </c>
      <c r="E771" s="6" t="n">
        <v>0</v>
      </c>
      <c r="F771" s="6" t="n">
        <v>0</v>
      </c>
      <c r="G771" s="8" t="n">
        <v>0.115</v>
      </c>
      <c r="H771" s="8" t="n">
        <v>0.5435</v>
      </c>
      <c r="I771" s="9" t="n">
        <v>0</v>
      </c>
    </row>
    <row r="772">
      <c r="B772" s="6" t="n">
        <v>23425</v>
      </c>
      <c r="C772" s="7" t="n">
        <v>300000</v>
      </c>
      <c r="D772" s="6" t="n">
        <v>31</v>
      </c>
      <c r="E772" s="6" t="n">
        <v>-1</v>
      </c>
      <c r="F772" s="6" t="n">
        <v>-1</v>
      </c>
      <c r="G772" s="8" t="n">
        <v>0.0554</v>
      </c>
      <c r="H772" s="8" t="n">
        <v>1.1497</v>
      </c>
      <c r="I772" s="9" t="n">
        <v>0</v>
      </c>
    </row>
    <row r="773">
      <c r="B773" s="6" t="n">
        <v>23452</v>
      </c>
      <c r="C773" s="7" t="n">
        <v>60000</v>
      </c>
      <c r="D773" s="6" t="n">
        <v>34</v>
      </c>
      <c r="E773" s="6" t="n">
        <v>2</v>
      </c>
      <c r="F773" s="6" t="n">
        <v>0</v>
      </c>
      <c r="G773" s="8" t="n">
        <v>1.0118</v>
      </c>
      <c r="H773" s="8" t="n">
        <v>0.0346</v>
      </c>
      <c r="I773" s="9" t="n">
        <v>0</v>
      </c>
    </row>
    <row r="774">
      <c r="B774" s="6" t="n">
        <v>23464</v>
      </c>
      <c r="C774" s="7" t="n">
        <v>20000</v>
      </c>
      <c r="D774" s="6" t="n">
        <v>46</v>
      </c>
      <c r="E774" s="6" t="n">
        <v>-1</v>
      </c>
      <c r="F774" s="6" t="n">
        <v>-1</v>
      </c>
      <c r="G774" s="8" t="n">
        <v>0.0094</v>
      </c>
      <c r="H774" s="8" t="n">
        <v>2</v>
      </c>
      <c r="I774" s="10" t="n">
        <v>1</v>
      </c>
    </row>
    <row r="775">
      <c r="B775" s="6" t="n">
        <v>23466</v>
      </c>
      <c r="C775" s="7" t="n">
        <v>30000</v>
      </c>
      <c r="D775" s="6" t="n">
        <v>33</v>
      </c>
      <c r="E775" s="6" t="n">
        <v>2</v>
      </c>
      <c r="F775" s="6" t="n">
        <v>2</v>
      </c>
      <c r="G775" s="8" t="n">
        <v>0.9833</v>
      </c>
      <c r="H775" s="8" t="n">
        <v>0</v>
      </c>
      <c r="I775" s="10" t="n">
        <v>1</v>
      </c>
    </row>
    <row r="776">
      <c r="B776" s="6" t="n">
        <v>23468</v>
      </c>
      <c r="C776" s="7" t="n">
        <v>230000</v>
      </c>
      <c r="D776" s="6" t="n">
        <v>30</v>
      </c>
      <c r="E776" s="6" t="n">
        <v>0</v>
      </c>
      <c r="F776" s="6" t="n">
        <v>0</v>
      </c>
      <c r="G776" s="8" t="n">
        <v>0.7335</v>
      </c>
      <c r="H776" s="8" t="n">
        <v>0.0634</v>
      </c>
      <c r="I776" s="9" t="n">
        <v>0</v>
      </c>
    </row>
    <row r="777">
      <c r="B777" s="6" t="n">
        <v>23469</v>
      </c>
      <c r="C777" s="7" t="n">
        <v>50000</v>
      </c>
      <c r="D777" s="6" t="n">
        <v>39</v>
      </c>
      <c r="E777" s="6" t="n">
        <v>1</v>
      </c>
      <c r="F777" s="6" t="n">
        <v>2</v>
      </c>
      <c r="G777" s="8" t="n">
        <v>0.3397</v>
      </c>
      <c r="H777" s="8" t="n">
        <v>0</v>
      </c>
      <c r="I777" s="10" t="n">
        <v>1</v>
      </c>
    </row>
    <row r="778">
      <c r="B778" s="6" t="n">
        <v>23472</v>
      </c>
      <c r="C778" s="7" t="n">
        <v>100000</v>
      </c>
      <c r="D778" s="6" t="n">
        <v>30</v>
      </c>
      <c r="E778" s="6" t="n">
        <v>1</v>
      </c>
      <c r="F778" s="6" t="n">
        <v>2</v>
      </c>
      <c r="G778" s="8" t="n">
        <v>0.4681</v>
      </c>
      <c r="H778" s="8" t="n">
        <v>0.0427</v>
      </c>
      <c r="I778" s="9" t="n">
        <v>0</v>
      </c>
    </row>
    <row r="779">
      <c r="B779" s="6" t="n">
        <v>23477</v>
      </c>
      <c r="C779" s="7" t="n">
        <v>480000</v>
      </c>
      <c r="D779" s="6" t="n">
        <v>32</v>
      </c>
      <c r="E779" s="6" t="n">
        <v>-2</v>
      </c>
      <c r="F779" s="6" t="n">
        <v>-2</v>
      </c>
      <c r="G779" s="8" t="n">
        <v>0.0247</v>
      </c>
      <c r="H779" s="8" t="n">
        <v>2</v>
      </c>
      <c r="I779" s="9" t="n">
        <v>0</v>
      </c>
    </row>
    <row r="780">
      <c r="B780" s="6" t="n">
        <v>23500</v>
      </c>
      <c r="C780" s="7" t="n">
        <v>140000</v>
      </c>
      <c r="D780" s="6" t="n">
        <v>33</v>
      </c>
      <c r="E780" s="6" t="n">
        <v>1</v>
      </c>
      <c r="F780" s="6" t="n">
        <v>-1</v>
      </c>
      <c r="G780" s="8" t="n">
        <v>0</v>
      </c>
      <c r="H780" s="8" t="n">
        <v>0</v>
      </c>
      <c r="I780" s="9" t="n">
        <v>0</v>
      </c>
    </row>
    <row r="781">
      <c r="B781" s="6" t="n">
        <v>23559</v>
      </c>
      <c r="C781" s="7" t="n">
        <v>290000</v>
      </c>
      <c r="D781" s="6" t="n">
        <v>34</v>
      </c>
      <c r="E781" s="6" t="n">
        <v>0</v>
      </c>
      <c r="F781" s="6" t="n">
        <v>0</v>
      </c>
      <c r="G781" s="8" t="n">
        <v>0.08799999999999999</v>
      </c>
      <c r="H781" s="8" t="n">
        <v>0.5889</v>
      </c>
      <c r="I781" s="9" t="n">
        <v>0</v>
      </c>
    </row>
    <row r="782">
      <c r="B782" s="6" t="n">
        <v>23563</v>
      </c>
      <c r="C782" s="7" t="n">
        <v>150000</v>
      </c>
      <c r="D782" s="6" t="n">
        <v>36</v>
      </c>
      <c r="E782" s="6" t="n">
        <v>0</v>
      </c>
      <c r="F782" s="6" t="n">
        <v>0</v>
      </c>
      <c r="G782" s="8" t="n">
        <v>0.848</v>
      </c>
      <c r="H782" s="8" t="n">
        <v>0.0464</v>
      </c>
      <c r="I782" s="10" t="n">
        <v>1</v>
      </c>
    </row>
    <row r="783">
      <c r="B783" s="6" t="n">
        <v>23572</v>
      </c>
      <c r="C783" s="7" t="n">
        <v>370000</v>
      </c>
      <c r="D783" s="6" t="n">
        <v>44</v>
      </c>
      <c r="E783" s="6" t="n">
        <v>-2</v>
      </c>
      <c r="F783" s="6" t="n">
        <v>-2</v>
      </c>
      <c r="G783" s="8" t="n">
        <v>0</v>
      </c>
      <c r="H783" s="8" t="n">
        <v>0</v>
      </c>
      <c r="I783" s="9" t="n">
        <v>0</v>
      </c>
    </row>
    <row r="784">
      <c r="B784" s="6" t="n">
        <v>23576</v>
      </c>
      <c r="C784" s="7" t="n">
        <v>210000</v>
      </c>
      <c r="D784" s="6" t="n">
        <v>38</v>
      </c>
      <c r="E784" s="6" t="n">
        <v>-2</v>
      </c>
      <c r="F784" s="6" t="n">
        <v>-2</v>
      </c>
      <c r="G784" s="8" t="n">
        <v>0</v>
      </c>
      <c r="H784" s="8" t="n">
        <v>0</v>
      </c>
      <c r="I784" s="9" t="n">
        <v>0</v>
      </c>
    </row>
    <row r="785">
      <c r="B785" s="6" t="n">
        <v>23630</v>
      </c>
      <c r="C785" s="7" t="n">
        <v>150000</v>
      </c>
      <c r="D785" s="6" t="n">
        <v>42</v>
      </c>
      <c r="E785" s="6" t="n">
        <v>0</v>
      </c>
      <c r="F785" s="6" t="n">
        <v>0</v>
      </c>
      <c r="G785" s="8" t="n">
        <v>0.6471</v>
      </c>
      <c r="H785" s="8" t="n">
        <v>0.0206</v>
      </c>
      <c r="I785" s="9" t="n">
        <v>0</v>
      </c>
    </row>
    <row r="786">
      <c r="B786" s="6" t="n">
        <v>23644</v>
      </c>
      <c r="C786" s="7" t="n">
        <v>200000</v>
      </c>
      <c r="D786" s="6" t="n">
        <v>31</v>
      </c>
      <c r="E786" s="6" t="n">
        <v>-2</v>
      </c>
      <c r="F786" s="6" t="n">
        <v>-2</v>
      </c>
      <c r="G786" s="8" t="n">
        <v>0.0108</v>
      </c>
      <c r="H786" s="8" t="n">
        <v>2</v>
      </c>
      <c r="I786" s="9" t="n">
        <v>0</v>
      </c>
    </row>
    <row r="787">
      <c r="B787" s="6" t="n">
        <v>23654</v>
      </c>
      <c r="C787" s="7" t="n">
        <v>150000</v>
      </c>
      <c r="D787" s="6" t="n">
        <v>38</v>
      </c>
      <c r="E787" s="6" t="n">
        <v>-2</v>
      </c>
      <c r="F787" s="6" t="n">
        <v>-2</v>
      </c>
      <c r="G787" s="8" t="n">
        <v>0.0103</v>
      </c>
      <c r="H787" s="8" t="n">
        <v>0.2999</v>
      </c>
      <c r="I787" s="9" t="n">
        <v>0</v>
      </c>
    </row>
    <row r="788">
      <c r="B788" s="6" t="n">
        <v>23697</v>
      </c>
      <c r="C788" s="7" t="n">
        <v>100000</v>
      </c>
      <c r="D788" s="6" t="n">
        <v>51</v>
      </c>
      <c r="E788" s="6" t="n">
        <v>1</v>
      </c>
      <c r="F788" s="6" t="n">
        <v>-2</v>
      </c>
      <c r="G788" s="8" t="n">
        <v>0</v>
      </c>
      <c r="H788" s="8" t="n">
        <v>0</v>
      </c>
      <c r="I788" s="10" t="n">
        <v>1</v>
      </c>
    </row>
    <row r="789">
      <c r="B789" s="6" t="n">
        <v>23705</v>
      </c>
      <c r="C789" s="7" t="n">
        <v>50000</v>
      </c>
      <c r="D789" s="6" t="n">
        <v>53</v>
      </c>
      <c r="E789" s="6" t="n">
        <v>2</v>
      </c>
      <c r="F789" s="6" t="n">
        <v>2</v>
      </c>
      <c r="G789" s="8" t="n">
        <v>0.8185</v>
      </c>
      <c r="H789" s="8" t="n">
        <v>0.0733</v>
      </c>
      <c r="I789" s="10" t="n">
        <v>1</v>
      </c>
    </row>
    <row r="790">
      <c r="B790" s="6" t="n">
        <v>23782</v>
      </c>
      <c r="C790" s="7" t="n">
        <v>20000</v>
      </c>
      <c r="D790" s="6" t="n">
        <v>50</v>
      </c>
      <c r="E790" s="6" t="n">
        <v>2</v>
      </c>
      <c r="F790" s="6" t="n">
        <v>0</v>
      </c>
      <c r="G790" s="8" t="n">
        <v>0.7944</v>
      </c>
      <c r="H790" s="8" t="n">
        <v>0.0803</v>
      </c>
      <c r="I790" s="10" t="n">
        <v>1</v>
      </c>
    </row>
    <row r="791">
      <c r="B791" s="6" t="n">
        <v>23822</v>
      </c>
      <c r="C791" s="7" t="n">
        <v>60000</v>
      </c>
      <c r="D791" s="6" t="n">
        <v>50</v>
      </c>
      <c r="E791" s="6" t="n">
        <v>2</v>
      </c>
      <c r="F791" s="6" t="n">
        <v>0</v>
      </c>
      <c r="G791" s="8" t="n">
        <v>1.0225</v>
      </c>
      <c r="H791" s="8" t="n">
        <v>0.0473</v>
      </c>
      <c r="I791" s="10" t="n">
        <v>1</v>
      </c>
    </row>
    <row r="792">
      <c r="B792" s="6" t="n">
        <v>23884</v>
      </c>
      <c r="C792" s="7" t="n">
        <v>50000</v>
      </c>
      <c r="D792" s="6" t="n">
        <v>23</v>
      </c>
      <c r="E792" s="6" t="n">
        <v>-1</v>
      </c>
      <c r="F792" s="6" t="n">
        <v>-1</v>
      </c>
      <c r="G792" s="8" t="n">
        <v>0.9142</v>
      </c>
      <c r="H792" s="8" t="n">
        <v>0.1313</v>
      </c>
      <c r="I792" s="9" t="n">
        <v>0</v>
      </c>
    </row>
    <row r="793">
      <c r="B793" s="6" t="n">
        <v>23897</v>
      </c>
      <c r="C793" s="7" t="n">
        <v>150000</v>
      </c>
      <c r="D793" s="6" t="n">
        <v>22</v>
      </c>
      <c r="E793" s="6" t="n">
        <v>-1</v>
      </c>
      <c r="F793" s="6" t="n">
        <v>0</v>
      </c>
      <c r="G793" s="8" t="n">
        <v>0.5518999999999999</v>
      </c>
      <c r="H793" s="8" t="n">
        <v>0.0385</v>
      </c>
      <c r="I793" s="9" t="n">
        <v>0</v>
      </c>
    </row>
    <row r="794">
      <c r="B794" s="6" t="n">
        <v>23940</v>
      </c>
      <c r="C794" s="7" t="n">
        <v>50000</v>
      </c>
      <c r="D794" s="6" t="n">
        <v>27</v>
      </c>
      <c r="E794" s="6" t="n">
        <v>1</v>
      </c>
      <c r="F794" s="6" t="n">
        <v>2</v>
      </c>
      <c r="G794" s="8" t="n">
        <v>0.9514</v>
      </c>
      <c r="H794" s="8" t="n">
        <v>0</v>
      </c>
      <c r="I794" s="10" t="n">
        <v>1</v>
      </c>
    </row>
    <row r="795">
      <c r="B795" s="6" t="n">
        <v>23951</v>
      </c>
      <c r="C795" s="7" t="n">
        <v>70000</v>
      </c>
      <c r="D795" s="6" t="n">
        <v>26</v>
      </c>
      <c r="E795" s="6" t="n">
        <v>1</v>
      </c>
      <c r="F795" s="6" t="n">
        <v>2</v>
      </c>
      <c r="G795" s="8" t="n">
        <v>0.1227</v>
      </c>
      <c r="H795" s="8" t="n">
        <v>0.1281</v>
      </c>
      <c r="I795" s="9" t="n">
        <v>0</v>
      </c>
    </row>
    <row r="796">
      <c r="B796" s="6" t="n">
        <v>23974</v>
      </c>
      <c r="C796" s="7" t="n">
        <v>50000</v>
      </c>
      <c r="D796" s="6" t="n">
        <v>25</v>
      </c>
      <c r="E796" s="6" t="n">
        <v>0</v>
      </c>
      <c r="F796" s="6" t="n">
        <v>0</v>
      </c>
      <c r="G796" s="8" t="n">
        <v>0.3633</v>
      </c>
      <c r="H796" s="8" t="n">
        <v>0.1046</v>
      </c>
      <c r="I796" s="9" t="n">
        <v>0</v>
      </c>
    </row>
    <row r="797">
      <c r="B797" s="6" t="n">
        <v>23989</v>
      </c>
      <c r="C797" s="7" t="n">
        <v>20000</v>
      </c>
      <c r="D797" s="6" t="n">
        <v>27</v>
      </c>
      <c r="E797" s="6" t="n">
        <v>0</v>
      </c>
      <c r="F797" s="6" t="n">
        <v>0</v>
      </c>
      <c r="G797" s="8" t="n">
        <v>0.1002</v>
      </c>
      <c r="H797" s="8" t="n">
        <v>0.5422</v>
      </c>
      <c r="I797" s="9" t="n">
        <v>0</v>
      </c>
    </row>
    <row r="798">
      <c r="B798" s="6" t="n">
        <v>24011</v>
      </c>
      <c r="C798" s="7" t="n">
        <v>90000</v>
      </c>
      <c r="D798" s="6" t="n">
        <v>25</v>
      </c>
      <c r="E798" s="6" t="n">
        <v>0</v>
      </c>
      <c r="F798" s="6" t="n">
        <v>0</v>
      </c>
      <c r="G798" s="8" t="n">
        <v>1.0128</v>
      </c>
      <c r="H798" s="8" t="n">
        <v>0.0379</v>
      </c>
      <c r="I798" s="9" t="n">
        <v>0</v>
      </c>
    </row>
    <row r="799">
      <c r="B799" s="6" t="n">
        <v>24062</v>
      </c>
      <c r="C799" s="7" t="n">
        <v>120000</v>
      </c>
      <c r="D799" s="6" t="n">
        <v>27</v>
      </c>
      <c r="E799" s="6" t="n">
        <v>0</v>
      </c>
      <c r="F799" s="6" t="n">
        <v>0</v>
      </c>
      <c r="G799" s="8" t="n">
        <v>0.2445</v>
      </c>
      <c r="H799" s="8" t="n">
        <v>0.1722</v>
      </c>
      <c r="I799" s="9" t="n">
        <v>0</v>
      </c>
    </row>
    <row r="800">
      <c r="B800" s="6" t="n">
        <v>24078</v>
      </c>
      <c r="C800" s="7" t="n">
        <v>140000</v>
      </c>
      <c r="D800" s="6" t="n">
        <v>27</v>
      </c>
      <c r="E800" s="6" t="n">
        <v>0</v>
      </c>
      <c r="F800" s="6" t="n">
        <v>-1</v>
      </c>
      <c r="G800" s="8" t="n">
        <v>0.1718</v>
      </c>
      <c r="H800" s="8" t="n">
        <v>0.0837</v>
      </c>
      <c r="I800" s="9" t="n">
        <v>0</v>
      </c>
    </row>
    <row r="801">
      <c r="B801" s="6" t="n">
        <v>24097</v>
      </c>
      <c r="C801" s="7" t="n">
        <v>20000</v>
      </c>
      <c r="D801" s="6" t="n">
        <v>25</v>
      </c>
      <c r="E801" s="6" t="n">
        <v>-1</v>
      </c>
      <c r="F801" s="6" t="n">
        <v>-1</v>
      </c>
      <c r="G801" s="8" t="n">
        <v>0.0384</v>
      </c>
      <c r="H801" s="8" t="n">
        <v>1.9506</v>
      </c>
      <c r="I801" s="9" t="n">
        <v>0</v>
      </c>
    </row>
    <row r="802">
      <c r="B802" s="6" t="n">
        <v>24145</v>
      </c>
      <c r="C802" s="7" t="n">
        <v>30000</v>
      </c>
      <c r="D802" s="6" t="n">
        <v>28</v>
      </c>
      <c r="E802" s="6" t="n">
        <v>0</v>
      </c>
      <c r="F802" s="6" t="n">
        <v>0</v>
      </c>
      <c r="G802" s="8" t="n">
        <v>0.9745</v>
      </c>
      <c r="H802" s="8" t="n">
        <v>0.0684</v>
      </c>
      <c r="I802" s="9" t="n">
        <v>0</v>
      </c>
    </row>
    <row r="803">
      <c r="B803" s="6" t="n">
        <v>24155</v>
      </c>
      <c r="C803" s="7" t="n">
        <v>110000</v>
      </c>
      <c r="D803" s="6" t="n">
        <v>29</v>
      </c>
      <c r="E803" s="6" t="n">
        <v>2</v>
      </c>
      <c r="F803" s="6" t="n">
        <v>2</v>
      </c>
      <c r="G803" s="8" t="n">
        <v>0.5064</v>
      </c>
      <c r="H803" s="8" t="n">
        <v>0.0898</v>
      </c>
      <c r="I803" s="10" t="n">
        <v>1</v>
      </c>
    </row>
    <row r="804">
      <c r="B804" s="6" t="n">
        <v>24162</v>
      </c>
      <c r="C804" s="7" t="n">
        <v>470000</v>
      </c>
      <c r="D804" s="6" t="n">
        <v>29</v>
      </c>
      <c r="E804" s="6" t="n">
        <v>-1</v>
      </c>
      <c r="F804" s="6" t="n">
        <v>0</v>
      </c>
      <c r="G804" s="8" t="n">
        <v>0.4589</v>
      </c>
      <c r="H804" s="8" t="n">
        <v>0.0343</v>
      </c>
      <c r="I804" s="9" t="n">
        <v>0</v>
      </c>
    </row>
    <row r="805">
      <c r="B805" s="6" t="n">
        <v>24173</v>
      </c>
      <c r="C805" s="7" t="n">
        <v>20000</v>
      </c>
      <c r="D805" s="6" t="n">
        <v>28</v>
      </c>
      <c r="E805" s="6" t="n">
        <v>1</v>
      </c>
      <c r="F805" s="6" t="n">
        <v>2</v>
      </c>
      <c r="G805" s="8" t="n">
        <v>0.9267</v>
      </c>
      <c r="H805" s="8" t="n">
        <v>0</v>
      </c>
      <c r="I805" s="9" t="n">
        <v>0</v>
      </c>
    </row>
    <row r="806">
      <c r="B806" s="6" t="n">
        <v>24216</v>
      </c>
      <c r="C806" s="7" t="n">
        <v>270000</v>
      </c>
      <c r="D806" s="6" t="n">
        <v>29</v>
      </c>
      <c r="E806" s="6" t="n">
        <v>-1</v>
      </c>
      <c r="F806" s="6" t="n">
        <v>-1</v>
      </c>
      <c r="G806" s="8" t="n">
        <v>0.0058</v>
      </c>
      <c r="H806" s="8" t="n">
        <v>2</v>
      </c>
      <c r="I806" s="9" t="n">
        <v>0</v>
      </c>
    </row>
    <row r="807">
      <c r="B807" s="6" t="n">
        <v>24224</v>
      </c>
      <c r="C807" s="7" t="n">
        <v>580000</v>
      </c>
      <c r="D807" s="6" t="n">
        <v>32</v>
      </c>
      <c r="E807" s="6" t="n">
        <v>-1</v>
      </c>
      <c r="F807" s="6" t="n">
        <v>0</v>
      </c>
      <c r="G807" s="8" t="n">
        <v>0.0848</v>
      </c>
      <c r="H807" s="8" t="n">
        <v>0.2376</v>
      </c>
      <c r="I807" s="9" t="n">
        <v>0</v>
      </c>
    </row>
    <row r="808">
      <c r="B808" s="6" t="n">
        <v>24251</v>
      </c>
      <c r="C808" s="7" t="n">
        <v>70000</v>
      </c>
      <c r="D808" s="6" t="n">
        <v>30</v>
      </c>
      <c r="E808" s="6" t="n">
        <v>-1</v>
      </c>
      <c r="F808" s="6" t="n">
        <v>2</v>
      </c>
      <c r="G808" s="8" t="n">
        <v>0.0119</v>
      </c>
      <c r="H808" s="8" t="n">
        <v>0</v>
      </c>
      <c r="I808" s="9" t="n">
        <v>0</v>
      </c>
    </row>
    <row r="809">
      <c r="B809" s="6" t="n">
        <v>24265</v>
      </c>
      <c r="C809" s="7" t="n">
        <v>30000</v>
      </c>
      <c r="D809" s="6" t="n">
        <v>25</v>
      </c>
      <c r="E809" s="6" t="n">
        <v>-2</v>
      </c>
      <c r="F809" s="6" t="n">
        <v>-2</v>
      </c>
      <c r="G809" s="8" t="n">
        <v>0.0279</v>
      </c>
      <c r="H809" s="8" t="n">
        <v>1</v>
      </c>
      <c r="I809" s="9" t="n">
        <v>0</v>
      </c>
    </row>
    <row r="810">
      <c r="B810" s="6" t="n">
        <v>24321</v>
      </c>
      <c r="C810" s="7" t="n">
        <v>780000</v>
      </c>
      <c r="D810" s="6" t="n">
        <v>48</v>
      </c>
      <c r="E810" s="6" t="n">
        <v>0</v>
      </c>
      <c r="F810" s="6" t="n">
        <v>0</v>
      </c>
      <c r="G810" s="8" t="n">
        <v>0.2198</v>
      </c>
      <c r="H810" s="8" t="n">
        <v>0.0583</v>
      </c>
      <c r="I810" s="9" t="n">
        <v>0</v>
      </c>
    </row>
    <row r="811">
      <c r="B811" s="6" t="n">
        <v>24333</v>
      </c>
      <c r="C811" s="7" t="n">
        <v>50000</v>
      </c>
      <c r="D811" s="6" t="n">
        <v>49</v>
      </c>
      <c r="E811" s="6" t="n">
        <v>2</v>
      </c>
      <c r="F811" s="6" t="n">
        <v>2</v>
      </c>
      <c r="G811" s="8" t="n">
        <v>0.9989</v>
      </c>
      <c r="H811" s="8" t="n">
        <v>0</v>
      </c>
      <c r="I811" s="10" t="n">
        <v>1</v>
      </c>
    </row>
    <row r="812">
      <c r="B812" s="6" t="n">
        <v>24380</v>
      </c>
      <c r="C812" s="7" t="n">
        <v>330000</v>
      </c>
      <c r="D812" s="6" t="n">
        <v>49</v>
      </c>
      <c r="E812" s="6" t="n">
        <v>-2</v>
      </c>
      <c r="F812" s="6" t="n">
        <v>-2</v>
      </c>
      <c r="G812" s="8" t="n">
        <v>0.0176</v>
      </c>
      <c r="H812" s="8" t="n">
        <v>0.0112</v>
      </c>
      <c r="I812" s="9" t="n">
        <v>0</v>
      </c>
    </row>
    <row r="813">
      <c r="B813" s="6" t="n">
        <v>24398</v>
      </c>
      <c r="C813" s="7" t="n">
        <v>20000</v>
      </c>
      <c r="D813" s="6" t="n">
        <v>36</v>
      </c>
      <c r="E813" s="6" t="n">
        <v>3</v>
      </c>
      <c r="F813" s="6" t="n">
        <v>2</v>
      </c>
      <c r="G813" s="8" t="n">
        <v>0.0525</v>
      </c>
      <c r="H813" s="8" t="n">
        <v>0</v>
      </c>
      <c r="I813" s="10" t="n">
        <v>1</v>
      </c>
    </row>
    <row r="814">
      <c r="B814" s="6" t="n">
        <v>24521</v>
      </c>
      <c r="C814" s="7" t="n">
        <v>350000</v>
      </c>
      <c r="D814" s="6" t="n">
        <v>33</v>
      </c>
      <c r="E814" s="6" t="n">
        <v>0</v>
      </c>
      <c r="F814" s="6" t="n">
        <v>0</v>
      </c>
      <c r="G814" s="8" t="n">
        <v>0.07290000000000001</v>
      </c>
      <c r="H814" s="8" t="n">
        <v>0.0706</v>
      </c>
      <c r="I814" s="9" t="n">
        <v>0</v>
      </c>
    </row>
    <row r="815">
      <c r="B815" s="6" t="n">
        <v>24547</v>
      </c>
      <c r="C815" s="7" t="n">
        <v>120000</v>
      </c>
      <c r="D815" s="6" t="n">
        <v>39</v>
      </c>
      <c r="E815" s="6" t="n">
        <v>-1</v>
      </c>
      <c r="F815" s="6" t="n">
        <v>-1</v>
      </c>
      <c r="G815" s="8" t="n">
        <v>0.25</v>
      </c>
      <c r="H815" s="8" t="n">
        <v>0</v>
      </c>
      <c r="I815" s="9" t="n">
        <v>0</v>
      </c>
    </row>
    <row r="816">
      <c r="B816" s="6" t="n">
        <v>24575</v>
      </c>
      <c r="C816" s="7" t="n">
        <v>140000</v>
      </c>
      <c r="D816" s="6" t="n">
        <v>39</v>
      </c>
      <c r="E816" s="6" t="n">
        <v>0</v>
      </c>
      <c r="F816" s="6" t="n">
        <v>0</v>
      </c>
      <c r="G816" s="8" t="n">
        <v>0.6633</v>
      </c>
      <c r="H816" s="8" t="n">
        <v>0.043</v>
      </c>
      <c r="I816" s="9" t="n">
        <v>0</v>
      </c>
    </row>
    <row r="817">
      <c r="B817" s="6" t="n">
        <v>24614</v>
      </c>
      <c r="C817" s="7" t="n">
        <v>150000</v>
      </c>
      <c r="D817" s="6" t="n">
        <v>33</v>
      </c>
      <c r="E817" s="6" t="n">
        <v>0</v>
      </c>
      <c r="F817" s="6" t="n">
        <v>0</v>
      </c>
      <c r="G817" s="8" t="n">
        <v>0.1815</v>
      </c>
      <c r="H817" s="8" t="n">
        <v>0.1837</v>
      </c>
      <c r="I817" s="9" t="n">
        <v>0</v>
      </c>
    </row>
    <row r="818">
      <c r="B818" s="6" t="n">
        <v>24629</v>
      </c>
      <c r="C818" s="7" t="n">
        <v>140000</v>
      </c>
      <c r="D818" s="6" t="n">
        <v>29</v>
      </c>
      <c r="E818" s="6" t="n">
        <v>0</v>
      </c>
      <c r="F818" s="6" t="n">
        <v>0</v>
      </c>
      <c r="G818" s="8" t="n">
        <v>0.9474</v>
      </c>
      <c r="H818" s="8" t="n">
        <v>0.0377</v>
      </c>
      <c r="I818" s="9" t="n">
        <v>0</v>
      </c>
    </row>
    <row r="819">
      <c r="B819" s="6" t="n">
        <v>24709</v>
      </c>
      <c r="C819" s="7" t="n">
        <v>100000</v>
      </c>
      <c r="D819" s="6" t="n">
        <v>42</v>
      </c>
      <c r="E819" s="6" t="n">
        <v>2</v>
      </c>
      <c r="F819" s="6" t="n">
        <v>0</v>
      </c>
      <c r="G819" s="8" t="n">
        <v>0.9593</v>
      </c>
      <c r="H819" s="8" t="n">
        <v>0.0521</v>
      </c>
      <c r="I819" s="9" t="n">
        <v>0</v>
      </c>
    </row>
    <row r="820">
      <c r="B820" s="6" t="n">
        <v>24727</v>
      </c>
      <c r="C820" s="7" t="n">
        <v>150000</v>
      </c>
      <c r="D820" s="6" t="n">
        <v>42</v>
      </c>
      <c r="E820" s="6" t="n">
        <v>-2</v>
      </c>
      <c r="F820" s="6" t="n">
        <v>-2</v>
      </c>
      <c r="G820" s="8" t="n">
        <v>0</v>
      </c>
      <c r="H820" s="8" t="n">
        <v>0</v>
      </c>
      <c r="I820" s="10" t="n">
        <v>1</v>
      </c>
    </row>
    <row r="821">
      <c r="B821" s="6" t="n">
        <v>24864</v>
      </c>
      <c r="C821" s="7" t="n">
        <v>100000</v>
      </c>
      <c r="D821" s="6" t="n">
        <v>41</v>
      </c>
      <c r="E821" s="6" t="n">
        <v>-1</v>
      </c>
      <c r="F821" s="6" t="n">
        <v>-1</v>
      </c>
      <c r="G821" s="8" t="n">
        <v>0.0009</v>
      </c>
      <c r="H821" s="8" t="n">
        <v>2</v>
      </c>
      <c r="I821" s="10" t="n">
        <v>1</v>
      </c>
    </row>
    <row r="822">
      <c r="B822" s="6" t="n">
        <v>24871</v>
      </c>
      <c r="C822" s="7" t="n">
        <v>170000</v>
      </c>
      <c r="D822" s="6" t="n">
        <v>37</v>
      </c>
      <c r="E822" s="6" t="n">
        <v>0</v>
      </c>
      <c r="F822" s="6" t="n">
        <v>0</v>
      </c>
      <c r="G822" s="8" t="n">
        <v>1.1009</v>
      </c>
      <c r="H822" s="8" t="n">
        <v>0.0347</v>
      </c>
      <c r="I822" s="10" t="n">
        <v>1</v>
      </c>
    </row>
    <row r="823">
      <c r="B823" s="6" t="n">
        <v>24920</v>
      </c>
      <c r="C823" s="7" t="n">
        <v>150000</v>
      </c>
      <c r="D823" s="6" t="n">
        <v>41</v>
      </c>
      <c r="E823" s="6" t="n">
        <v>-1</v>
      </c>
      <c r="F823" s="6" t="n">
        <v>2</v>
      </c>
      <c r="G823" s="8" t="n">
        <v>0.0132</v>
      </c>
      <c r="H823" s="8" t="n">
        <v>0</v>
      </c>
      <c r="I823" s="9" t="n">
        <v>0</v>
      </c>
    </row>
    <row r="824">
      <c r="B824" s="6" t="n">
        <v>24939</v>
      </c>
      <c r="C824" s="7" t="n">
        <v>210000</v>
      </c>
      <c r="D824" s="6" t="n">
        <v>40</v>
      </c>
      <c r="E824" s="6" t="n">
        <v>2</v>
      </c>
      <c r="F824" s="6" t="n">
        <v>2</v>
      </c>
      <c r="G824" s="8" t="n">
        <v>0.7203000000000001</v>
      </c>
      <c r="H824" s="8" t="n">
        <v>0.0331</v>
      </c>
      <c r="I824" s="10" t="n">
        <v>1</v>
      </c>
    </row>
    <row r="825">
      <c r="B825" s="6" t="n">
        <v>24976</v>
      </c>
      <c r="C825" s="7" t="n">
        <v>90000</v>
      </c>
      <c r="D825" s="6" t="n">
        <v>44</v>
      </c>
      <c r="E825" s="6" t="n">
        <v>0</v>
      </c>
      <c r="F825" s="6" t="n">
        <v>0</v>
      </c>
      <c r="G825" s="8" t="n">
        <v>0.1824</v>
      </c>
      <c r="H825" s="8" t="n">
        <v>0.07920000000000001</v>
      </c>
      <c r="I825" s="9" t="n">
        <v>0</v>
      </c>
    </row>
    <row r="826">
      <c r="B826" s="6" t="n">
        <v>25026</v>
      </c>
      <c r="C826" s="7" t="n">
        <v>500000</v>
      </c>
      <c r="D826" s="6" t="n">
        <v>51</v>
      </c>
      <c r="E826" s="6" t="n">
        <v>0</v>
      </c>
      <c r="F826" s="6" t="n">
        <v>0</v>
      </c>
      <c r="G826" s="8" t="n">
        <v>0.1589</v>
      </c>
      <c r="H826" s="8" t="n">
        <v>0.0378</v>
      </c>
      <c r="I826" s="9" t="n">
        <v>0</v>
      </c>
    </row>
    <row r="827">
      <c r="B827" s="6" t="n">
        <v>25032</v>
      </c>
      <c r="C827" s="7" t="n">
        <v>90000</v>
      </c>
      <c r="D827" s="6" t="n">
        <v>58</v>
      </c>
      <c r="E827" s="6" t="n">
        <v>0</v>
      </c>
      <c r="F827" s="6" t="n">
        <v>0</v>
      </c>
      <c r="G827" s="8" t="n">
        <v>1.0415</v>
      </c>
      <c r="H827" s="8" t="n">
        <v>0.0384</v>
      </c>
      <c r="I827" s="9" t="n">
        <v>0</v>
      </c>
    </row>
    <row r="828">
      <c r="B828" s="6" t="n">
        <v>25072</v>
      </c>
      <c r="C828" s="7" t="n">
        <v>50000</v>
      </c>
      <c r="D828" s="6" t="n">
        <v>54</v>
      </c>
      <c r="E828" s="6" t="n">
        <v>2</v>
      </c>
      <c r="F828" s="6" t="n">
        <v>0</v>
      </c>
      <c r="G828" s="8" t="n">
        <v>0.9286</v>
      </c>
      <c r="H828" s="8" t="n">
        <v>0.0378</v>
      </c>
      <c r="I828" s="9" t="n">
        <v>0</v>
      </c>
    </row>
    <row r="829">
      <c r="B829" s="6" t="n">
        <v>25152</v>
      </c>
      <c r="C829" s="7" t="n">
        <v>350000</v>
      </c>
      <c r="D829" s="6" t="n">
        <v>33</v>
      </c>
      <c r="E829" s="6" t="n">
        <v>-2</v>
      </c>
      <c r="F829" s="6" t="n">
        <v>-2</v>
      </c>
      <c r="G829" s="8" t="n">
        <v>0.0172</v>
      </c>
      <c r="H829" s="8" t="n">
        <v>0.7227</v>
      </c>
      <c r="I829" s="9" t="n">
        <v>0</v>
      </c>
    </row>
    <row r="830">
      <c r="B830" s="6" t="n">
        <v>25156</v>
      </c>
      <c r="C830" s="7" t="n">
        <v>30000</v>
      </c>
      <c r="D830" s="6" t="n">
        <v>24</v>
      </c>
      <c r="E830" s="6" t="n">
        <v>1</v>
      </c>
      <c r="F830" s="6" t="n">
        <v>2</v>
      </c>
      <c r="G830" s="8" t="n">
        <v>0.9885</v>
      </c>
      <c r="H830" s="8" t="n">
        <v>0</v>
      </c>
      <c r="I830" s="9" t="n">
        <v>0</v>
      </c>
    </row>
    <row r="831">
      <c r="B831" s="6" t="n">
        <v>25172</v>
      </c>
      <c r="C831" s="7" t="n">
        <v>50000</v>
      </c>
      <c r="D831" s="6" t="n">
        <v>22</v>
      </c>
      <c r="E831" s="6" t="n">
        <v>0</v>
      </c>
      <c r="F831" s="6" t="n">
        <v>0</v>
      </c>
      <c r="G831" s="8" t="n">
        <v>0.16</v>
      </c>
      <c r="H831" s="8" t="n">
        <v>0.1398</v>
      </c>
      <c r="I831" s="9" t="n">
        <v>0</v>
      </c>
    </row>
    <row r="832">
      <c r="B832" s="6" t="n">
        <v>25177</v>
      </c>
      <c r="C832" s="7" t="n">
        <v>50000</v>
      </c>
      <c r="D832" s="6" t="n">
        <v>22</v>
      </c>
      <c r="E832" s="6" t="n">
        <v>2</v>
      </c>
      <c r="F832" s="6" t="n">
        <v>2</v>
      </c>
      <c r="G832" s="8" t="n">
        <v>1.0117</v>
      </c>
      <c r="H832" s="8" t="n">
        <v>0.0455</v>
      </c>
      <c r="I832" s="9" t="n">
        <v>0</v>
      </c>
    </row>
    <row r="833">
      <c r="B833" s="6" t="n">
        <v>25207</v>
      </c>
      <c r="C833" s="7" t="n">
        <v>110000</v>
      </c>
      <c r="D833" s="6" t="n">
        <v>23</v>
      </c>
      <c r="E833" s="6" t="n">
        <v>-1</v>
      </c>
      <c r="F833" s="6" t="n">
        <v>-1</v>
      </c>
      <c r="G833" s="8" t="n">
        <v>0.0049</v>
      </c>
      <c r="H833" s="8" t="n">
        <v>1</v>
      </c>
      <c r="I833" s="9" t="n">
        <v>0</v>
      </c>
    </row>
    <row r="834">
      <c r="B834" s="6" t="n">
        <v>25209</v>
      </c>
      <c r="C834" s="7" t="n">
        <v>80000</v>
      </c>
      <c r="D834" s="6" t="n">
        <v>23</v>
      </c>
      <c r="E834" s="6" t="n">
        <v>0</v>
      </c>
      <c r="F834" s="6" t="n">
        <v>0</v>
      </c>
      <c r="G834" s="8" t="n">
        <v>0.6498</v>
      </c>
      <c r="H834" s="8" t="n">
        <v>0.1283</v>
      </c>
      <c r="I834" s="9" t="n">
        <v>0</v>
      </c>
    </row>
    <row r="835">
      <c r="B835" s="6" t="n">
        <v>25221</v>
      </c>
      <c r="C835" s="7" t="n">
        <v>10000</v>
      </c>
      <c r="D835" s="6" t="n">
        <v>24</v>
      </c>
      <c r="E835" s="6" t="n">
        <v>1</v>
      </c>
      <c r="F835" s="6" t="n">
        <v>2</v>
      </c>
      <c r="G835" s="8" t="n">
        <v>0.6778999999999999</v>
      </c>
      <c r="H835" s="8" t="n">
        <v>0</v>
      </c>
      <c r="I835" s="9" t="n">
        <v>0</v>
      </c>
    </row>
    <row r="836">
      <c r="B836" s="6" t="n">
        <v>25227</v>
      </c>
      <c r="C836" s="7" t="n">
        <v>80000</v>
      </c>
      <c r="D836" s="6" t="n">
        <v>25</v>
      </c>
      <c r="E836" s="6" t="n">
        <v>0</v>
      </c>
      <c r="F836" s="6" t="n">
        <v>0</v>
      </c>
      <c r="G836" s="8" t="n">
        <v>0.3357</v>
      </c>
      <c r="H836" s="8" t="n">
        <v>0.0888</v>
      </c>
      <c r="I836" s="9" t="n">
        <v>0</v>
      </c>
    </row>
    <row r="837">
      <c r="B837" s="6" t="n">
        <v>25243</v>
      </c>
      <c r="C837" s="7" t="n">
        <v>40000</v>
      </c>
      <c r="D837" s="6" t="n">
        <v>26</v>
      </c>
      <c r="E837" s="6" t="n">
        <v>-1</v>
      </c>
      <c r="F837" s="6" t="n">
        <v>-1</v>
      </c>
      <c r="G837" s="8" t="n">
        <v>0.0304</v>
      </c>
      <c r="H837" s="8" t="n">
        <v>0.6382</v>
      </c>
      <c r="I837" s="9" t="n">
        <v>0</v>
      </c>
    </row>
    <row r="838">
      <c r="B838" s="6" t="n">
        <v>25253</v>
      </c>
      <c r="C838" s="7" t="n">
        <v>30000</v>
      </c>
      <c r="D838" s="6" t="n">
        <v>24</v>
      </c>
      <c r="E838" s="6" t="n">
        <v>2</v>
      </c>
      <c r="F838" s="6" t="n">
        <v>2</v>
      </c>
      <c r="G838" s="8" t="n">
        <v>0.7968</v>
      </c>
      <c r="H838" s="8" t="n">
        <v>0</v>
      </c>
      <c r="I838" s="10" t="n">
        <v>1</v>
      </c>
    </row>
    <row r="839">
      <c r="B839" s="6" t="n">
        <v>25282</v>
      </c>
      <c r="C839" s="7" t="n">
        <v>150000</v>
      </c>
      <c r="D839" s="6" t="n">
        <v>26</v>
      </c>
      <c r="E839" s="6" t="n">
        <v>-1</v>
      </c>
      <c r="F839" s="6" t="n">
        <v>-1</v>
      </c>
      <c r="G839" s="8" t="n">
        <v>0.0016</v>
      </c>
      <c r="H839" s="8" t="n">
        <v>2</v>
      </c>
      <c r="I839" s="9" t="n">
        <v>0</v>
      </c>
    </row>
    <row r="840">
      <c r="B840" s="6" t="n">
        <v>25301</v>
      </c>
      <c r="C840" s="7" t="n">
        <v>50000</v>
      </c>
      <c r="D840" s="6" t="n">
        <v>25</v>
      </c>
      <c r="E840" s="6" t="n">
        <v>0</v>
      </c>
      <c r="F840" s="6" t="n">
        <v>0</v>
      </c>
      <c r="G840" s="8" t="n">
        <v>0.1832</v>
      </c>
      <c r="H840" s="8" t="n">
        <v>0.1637</v>
      </c>
      <c r="I840" s="9" t="n">
        <v>0</v>
      </c>
    </row>
    <row r="841">
      <c r="B841" s="6" t="n">
        <v>25386</v>
      </c>
      <c r="C841" s="7" t="n">
        <v>360000</v>
      </c>
      <c r="D841" s="6" t="n">
        <v>29</v>
      </c>
      <c r="E841" s="6" t="n">
        <v>-1</v>
      </c>
      <c r="F841" s="6" t="n">
        <v>-1</v>
      </c>
      <c r="G841" s="8" t="n">
        <v>0.0025</v>
      </c>
      <c r="H841" s="8" t="n">
        <v>2</v>
      </c>
      <c r="I841" s="9" t="n">
        <v>0</v>
      </c>
    </row>
    <row r="842">
      <c r="B842" s="6" t="n">
        <v>25397</v>
      </c>
      <c r="C842" s="7" t="n">
        <v>300000</v>
      </c>
      <c r="D842" s="6" t="n">
        <v>26</v>
      </c>
      <c r="E842" s="6" t="n">
        <v>-1</v>
      </c>
      <c r="F842" s="6" t="n">
        <v>-1</v>
      </c>
      <c r="G842" s="8" t="n">
        <v>0.0037</v>
      </c>
      <c r="H842" s="8" t="n">
        <v>0.6236</v>
      </c>
      <c r="I842" s="9" t="n">
        <v>0</v>
      </c>
    </row>
    <row r="843">
      <c r="B843" s="6" t="n">
        <v>25421</v>
      </c>
      <c r="C843" s="7" t="n">
        <v>20000</v>
      </c>
      <c r="D843" s="6" t="n">
        <v>27</v>
      </c>
      <c r="E843" s="6" t="n">
        <v>2</v>
      </c>
      <c r="F843" s="6" t="n">
        <v>2</v>
      </c>
      <c r="G843" s="8" t="n">
        <v>0.8656</v>
      </c>
      <c r="H843" s="8" t="n">
        <v>0</v>
      </c>
      <c r="I843" s="10" t="n">
        <v>1</v>
      </c>
    </row>
    <row r="844">
      <c r="B844" s="6" t="n">
        <v>25455</v>
      </c>
      <c r="C844" s="7" t="n">
        <v>320000</v>
      </c>
      <c r="D844" s="6" t="n">
        <v>27</v>
      </c>
      <c r="E844" s="6" t="n">
        <v>-2</v>
      </c>
      <c r="F844" s="6" t="n">
        <v>-2</v>
      </c>
      <c r="G844" s="8" t="n">
        <v>0.0037</v>
      </c>
      <c r="H844" s="8" t="n">
        <v>0</v>
      </c>
      <c r="I844" s="9" t="n">
        <v>0</v>
      </c>
    </row>
    <row r="845">
      <c r="B845" s="6" t="n">
        <v>25508</v>
      </c>
      <c r="C845" s="7" t="n">
        <v>380000</v>
      </c>
      <c r="D845" s="6" t="n">
        <v>30</v>
      </c>
      <c r="E845" s="6" t="n">
        <v>0</v>
      </c>
      <c r="F845" s="6" t="n">
        <v>0</v>
      </c>
      <c r="G845" s="8" t="n">
        <v>0.7779</v>
      </c>
      <c r="H845" s="8" t="n">
        <v>0.0455</v>
      </c>
      <c r="I845" s="9" t="n">
        <v>0</v>
      </c>
    </row>
    <row r="846">
      <c r="B846" s="6" t="n">
        <v>25543</v>
      </c>
      <c r="C846" s="7" t="n">
        <v>320000</v>
      </c>
      <c r="D846" s="6" t="n">
        <v>35</v>
      </c>
      <c r="E846" s="6" t="n">
        <v>0</v>
      </c>
      <c r="F846" s="6" t="n">
        <v>0</v>
      </c>
      <c r="G846" s="8" t="n">
        <v>0.1393</v>
      </c>
      <c r="H846" s="8" t="n">
        <v>0.0461</v>
      </c>
      <c r="I846" s="9" t="n">
        <v>0</v>
      </c>
    </row>
    <row r="847">
      <c r="B847" s="6" t="n">
        <v>25561</v>
      </c>
      <c r="C847" s="7" t="n">
        <v>500000</v>
      </c>
      <c r="D847" s="6" t="n">
        <v>28</v>
      </c>
      <c r="E847" s="6" t="n">
        <v>0</v>
      </c>
      <c r="F847" s="6" t="n">
        <v>0</v>
      </c>
      <c r="G847" s="8" t="n">
        <v>0.6042</v>
      </c>
      <c r="H847" s="8" t="n">
        <v>0.0333</v>
      </c>
      <c r="I847" s="9" t="n">
        <v>0</v>
      </c>
    </row>
    <row r="848">
      <c r="B848" s="6" t="n">
        <v>25587</v>
      </c>
      <c r="C848" s="7" t="n">
        <v>60000</v>
      </c>
      <c r="D848" s="6" t="n">
        <v>33</v>
      </c>
      <c r="E848" s="6" t="n">
        <v>-1</v>
      </c>
      <c r="F848" s="6" t="n">
        <v>-1</v>
      </c>
      <c r="G848" s="8" t="n">
        <v>0.07099999999999999</v>
      </c>
      <c r="H848" s="8" t="n">
        <v>0.1831</v>
      </c>
      <c r="I848" s="10" t="n">
        <v>1</v>
      </c>
    </row>
    <row r="849">
      <c r="B849" s="6" t="n">
        <v>25602</v>
      </c>
      <c r="C849" s="7" t="n">
        <v>200000</v>
      </c>
      <c r="D849" s="6" t="n">
        <v>40</v>
      </c>
      <c r="E849" s="6" t="n">
        <v>0</v>
      </c>
      <c r="F849" s="6" t="n">
        <v>0</v>
      </c>
      <c r="G849" s="8" t="n">
        <v>1.1274</v>
      </c>
      <c r="H849" s="8" t="n">
        <v>0.0322</v>
      </c>
      <c r="I849" s="9" t="n">
        <v>0</v>
      </c>
    </row>
    <row r="850">
      <c r="B850" s="6" t="n">
        <v>25621</v>
      </c>
      <c r="C850" s="7" t="n">
        <v>70000</v>
      </c>
      <c r="D850" s="6" t="n">
        <v>29</v>
      </c>
      <c r="E850" s="6" t="n">
        <v>0</v>
      </c>
      <c r="F850" s="6" t="n">
        <v>0</v>
      </c>
      <c r="G850" s="8" t="n">
        <v>0.9476</v>
      </c>
      <c r="H850" s="8" t="n">
        <v>0.046</v>
      </c>
      <c r="I850" s="9" t="n">
        <v>0</v>
      </c>
    </row>
    <row r="851">
      <c r="B851" s="6" t="n">
        <v>25646</v>
      </c>
      <c r="C851" s="7" t="n">
        <v>40000</v>
      </c>
      <c r="D851" s="6" t="n">
        <v>44</v>
      </c>
      <c r="E851" s="6" t="n">
        <v>2</v>
      </c>
      <c r="F851" s="6" t="n">
        <v>2</v>
      </c>
      <c r="G851" s="8" t="n">
        <v>0.8879</v>
      </c>
      <c r="H851" s="8" t="n">
        <v>0.0436</v>
      </c>
      <c r="I851" s="10" t="n">
        <v>1</v>
      </c>
    </row>
    <row r="852">
      <c r="B852" s="6" t="n">
        <v>25663</v>
      </c>
      <c r="C852" s="7" t="n">
        <v>100000</v>
      </c>
      <c r="D852" s="6" t="n">
        <v>34</v>
      </c>
      <c r="E852" s="6" t="n">
        <v>0</v>
      </c>
      <c r="F852" s="6" t="n">
        <v>0</v>
      </c>
      <c r="G852" s="8" t="n">
        <v>0.1482</v>
      </c>
      <c r="H852" s="8" t="n">
        <v>0.1357</v>
      </c>
      <c r="I852" s="9" t="n">
        <v>0</v>
      </c>
    </row>
    <row r="853">
      <c r="B853" s="6" t="n">
        <v>25673</v>
      </c>
      <c r="C853" s="7" t="n">
        <v>170000</v>
      </c>
      <c r="D853" s="6" t="n">
        <v>38</v>
      </c>
      <c r="E853" s="6" t="n">
        <v>0</v>
      </c>
      <c r="F853" s="6" t="n">
        <v>0</v>
      </c>
      <c r="G853" s="8" t="n">
        <v>0.8045</v>
      </c>
      <c r="H853" s="8" t="n">
        <v>0.0366</v>
      </c>
      <c r="I853" s="9" t="n">
        <v>0</v>
      </c>
    </row>
    <row r="854">
      <c r="B854" s="6" t="n">
        <v>25698</v>
      </c>
      <c r="C854" s="7" t="n">
        <v>140000</v>
      </c>
      <c r="D854" s="6" t="n">
        <v>39</v>
      </c>
      <c r="E854" s="6" t="n">
        <v>-1</v>
      </c>
      <c r="F854" s="6" t="n">
        <v>-1</v>
      </c>
      <c r="G854" s="8" t="n">
        <v>0.004</v>
      </c>
      <c r="H854" s="8" t="n">
        <v>2</v>
      </c>
      <c r="I854" s="9" t="n">
        <v>0</v>
      </c>
    </row>
    <row r="855">
      <c r="B855" s="6" t="n">
        <v>25705</v>
      </c>
      <c r="C855" s="7" t="n">
        <v>260000</v>
      </c>
      <c r="D855" s="6" t="n">
        <v>29</v>
      </c>
      <c r="E855" s="6" t="n">
        <v>2</v>
      </c>
      <c r="F855" s="6" t="n">
        <v>2</v>
      </c>
      <c r="G855" s="8" t="n">
        <v>0.003</v>
      </c>
      <c r="H855" s="8" t="n">
        <v>0</v>
      </c>
      <c r="I855" s="10" t="n">
        <v>1</v>
      </c>
    </row>
    <row r="856">
      <c r="B856" s="6" t="n">
        <v>25740</v>
      </c>
      <c r="C856" s="7" t="n">
        <v>90000</v>
      </c>
      <c r="D856" s="6" t="n">
        <v>45</v>
      </c>
      <c r="E856" s="6" t="n">
        <v>2</v>
      </c>
      <c r="F856" s="6" t="n">
        <v>2</v>
      </c>
      <c r="G856" s="8" t="n">
        <v>0.5091</v>
      </c>
      <c r="H856" s="8" t="n">
        <v>0.0436</v>
      </c>
      <c r="I856" s="10" t="n">
        <v>1</v>
      </c>
    </row>
    <row r="857">
      <c r="B857" s="6" t="n">
        <v>25746</v>
      </c>
      <c r="C857" s="7" t="n">
        <v>240000</v>
      </c>
      <c r="D857" s="6" t="n">
        <v>38</v>
      </c>
      <c r="E857" s="6" t="n">
        <v>0</v>
      </c>
      <c r="F857" s="6" t="n">
        <v>0</v>
      </c>
      <c r="G857" s="8" t="n">
        <v>0.1374</v>
      </c>
      <c r="H857" s="8" t="n">
        <v>0.4548</v>
      </c>
      <c r="I857" s="9" t="n">
        <v>0</v>
      </c>
    </row>
    <row r="858">
      <c r="B858" s="6" t="n">
        <v>25750</v>
      </c>
      <c r="C858" s="7" t="n">
        <v>130000</v>
      </c>
      <c r="D858" s="6" t="n">
        <v>43</v>
      </c>
      <c r="E858" s="6" t="n">
        <v>0</v>
      </c>
      <c r="F858" s="6" t="n">
        <v>0</v>
      </c>
      <c r="G858" s="8" t="n">
        <v>0.9767</v>
      </c>
      <c r="H858" s="8" t="n">
        <v>0.0531</v>
      </c>
      <c r="I858" s="10" t="n">
        <v>1</v>
      </c>
    </row>
    <row r="859">
      <c r="B859" s="6" t="n">
        <v>25779</v>
      </c>
      <c r="C859" s="7" t="n">
        <v>300000</v>
      </c>
      <c r="D859" s="6" t="n">
        <v>46</v>
      </c>
      <c r="E859" s="6" t="n">
        <v>1</v>
      </c>
      <c r="F859" s="6" t="n">
        <v>-2</v>
      </c>
      <c r="G859" s="8" t="n">
        <v>0</v>
      </c>
      <c r="H859" s="8" t="n">
        <v>0</v>
      </c>
      <c r="I859" s="9" t="n">
        <v>0</v>
      </c>
    </row>
    <row r="860">
      <c r="B860" s="6" t="n">
        <v>25807</v>
      </c>
      <c r="C860" s="7" t="n">
        <v>150000</v>
      </c>
      <c r="D860" s="6" t="n">
        <v>30</v>
      </c>
      <c r="E860" s="6" t="n">
        <v>0</v>
      </c>
      <c r="F860" s="6" t="n">
        <v>0</v>
      </c>
      <c r="G860" s="8" t="n">
        <v>0.4664</v>
      </c>
      <c r="H860" s="8" t="n">
        <v>0.0268</v>
      </c>
      <c r="I860" s="9" t="n">
        <v>0</v>
      </c>
    </row>
    <row r="861">
      <c r="B861" s="6" t="n">
        <v>25880</v>
      </c>
      <c r="C861" s="7" t="n">
        <v>200000</v>
      </c>
      <c r="D861" s="6" t="n">
        <v>32</v>
      </c>
      <c r="E861" s="6" t="n">
        <v>-1</v>
      </c>
      <c r="F861" s="6" t="n">
        <v>0</v>
      </c>
      <c r="G861" s="8" t="n">
        <v>0.056</v>
      </c>
      <c r="H861" s="8" t="n">
        <v>0.5363</v>
      </c>
      <c r="I861" s="9" t="n">
        <v>0</v>
      </c>
    </row>
    <row r="862">
      <c r="B862" s="6" t="n">
        <v>25893</v>
      </c>
      <c r="C862" s="7" t="n">
        <v>210000</v>
      </c>
      <c r="D862" s="6" t="n">
        <v>28</v>
      </c>
      <c r="E862" s="6" t="n">
        <v>0</v>
      </c>
      <c r="F862" s="6" t="n">
        <v>0</v>
      </c>
      <c r="G862" s="8" t="n">
        <v>0.1275</v>
      </c>
      <c r="H862" s="8" t="n">
        <v>0.0747</v>
      </c>
      <c r="I862" s="9" t="n">
        <v>0</v>
      </c>
    </row>
    <row r="863">
      <c r="B863" s="6" t="n">
        <v>25909</v>
      </c>
      <c r="C863" s="7" t="n">
        <v>80000</v>
      </c>
      <c r="D863" s="6" t="n">
        <v>32</v>
      </c>
      <c r="E863" s="6" t="n">
        <v>0</v>
      </c>
      <c r="F863" s="6" t="n">
        <v>0</v>
      </c>
      <c r="G863" s="8" t="n">
        <v>0.07480000000000001</v>
      </c>
      <c r="H863" s="8" t="n">
        <v>0</v>
      </c>
      <c r="I863" s="9" t="n">
        <v>0</v>
      </c>
    </row>
    <row r="864">
      <c r="B864" s="6" t="n">
        <v>25975</v>
      </c>
      <c r="C864" s="7" t="n">
        <v>70000</v>
      </c>
      <c r="D864" s="6" t="n">
        <v>33</v>
      </c>
      <c r="E864" s="6" t="n">
        <v>0</v>
      </c>
      <c r="F864" s="6" t="n">
        <v>0</v>
      </c>
      <c r="G864" s="8" t="n">
        <v>0.8111</v>
      </c>
      <c r="H864" s="8" t="n">
        <v>0.3522</v>
      </c>
      <c r="I864" s="9" t="n">
        <v>0</v>
      </c>
    </row>
    <row r="865">
      <c r="B865" s="6" t="n">
        <v>25977</v>
      </c>
      <c r="C865" s="7" t="n">
        <v>20000</v>
      </c>
      <c r="D865" s="6" t="n">
        <v>45</v>
      </c>
      <c r="E865" s="6" t="n">
        <v>0</v>
      </c>
      <c r="F865" s="6" t="n">
        <v>0</v>
      </c>
      <c r="G865" s="8" t="n">
        <v>0.719</v>
      </c>
      <c r="H865" s="8" t="n">
        <v>0.1088</v>
      </c>
      <c r="I865" s="10" t="n">
        <v>1</v>
      </c>
    </row>
    <row r="866">
      <c r="B866" s="6" t="n">
        <v>26046</v>
      </c>
      <c r="C866" s="7" t="n">
        <v>230000</v>
      </c>
      <c r="D866" s="6" t="n">
        <v>47</v>
      </c>
      <c r="E866" s="6" t="n">
        <v>-1</v>
      </c>
      <c r="F866" s="6" t="n">
        <v>-1</v>
      </c>
      <c r="G866" s="8" t="n">
        <v>0.027</v>
      </c>
      <c r="H866" s="8" t="n">
        <v>0.8842</v>
      </c>
      <c r="I866" s="9" t="n">
        <v>0</v>
      </c>
    </row>
    <row r="867">
      <c r="B867" s="6" t="n">
        <v>26088</v>
      </c>
      <c r="C867" s="7" t="n">
        <v>50000</v>
      </c>
      <c r="D867" s="6" t="n">
        <v>37</v>
      </c>
      <c r="E867" s="6" t="n">
        <v>0</v>
      </c>
      <c r="F867" s="6" t="n">
        <v>0</v>
      </c>
      <c r="G867" s="8" t="n">
        <v>0.7684</v>
      </c>
      <c r="H867" s="8" t="n">
        <v>0.2603</v>
      </c>
      <c r="I867" s="9" t="n">
        <v>0</v>
      </c>
    </row>
    <row r="868">
      <c r="B868" s="6" t="n">
        <v>26089</v>
      </c>
      <c r="C868" s="7" t="n">
        <v>100000</v>
      </c>
      <c r="D868" s="6" t="n">
        <v>36</v>
      </c>
      <c r="E868" s="6" t="n">
        <v>2</v>
      </c>
      <c r="F868" s="6" t="n">
        <v>0</v>
      </c>
      <c r="G868" s="8" t="n">
        <v>1.0028</v>
      </c>
      <c r="H868" s="8" t="n">
        <v>0.0499</v>
      </c>
      <c r="I868" s="9" t="n">
        <v>0</v>
      </c>
    </row>
    <row r="869">
      <c r="B869" s="6" t="n">
        <v>26119</v>
      </c>
      <c r="C869" s="7" t="n">
        <v>200000</v>
      </c>
      <c r="D869" s="6" t="n">
        <v>30</v>
      </c>
      <c r="E869" s="6" t="n">
        <v>0</v>
      </c>
      <c r="F869" s="6" t="n">
        <v>0</v>
      </c>
      <c r="G869" s="8" t="n">
        <v>0.1927</v>
      </c>
      <c r="H869" s="8" t="n">
        <v>0.05</v>
      </c>
      <c r="I869" s="9" t="n">
        <v>0</v>
      </c>
    </row>
    <row r="870">
      <c r="B870" s="6" t="n">
        <v>26121</v>
      </c>
      <c r="C870" s="7" t="n">
        <v>50000</v>
      </c>
      <c r="D870" s="6" t="n">
        <v>30</v>
      </c>
      <c r="E870" s="6" t="n">
        <v>0</v>
      </c>
      <c r="F870" s="6" t="n">
        <v>0</v>
      </c>
      <c r="G870" s="8" t="n">
        <v>0.8465</v>
      </c>
      <c r="H870" s="8" t="n">
        <v>0.0354</v>
      </c>
      <c r="I870" s="9" t="n">
        <v>0</v>
      </c>
    </row>
    <row r="871">
      <c r="B871" s="6" t="n">
        <v>26142</v>
      </c>
      <c r="C871" s="7" t="n">
        <v>360000</v>
      </c>
      <c r="D871" s="6" t="n">
        <v>30</v>
      </c>
      <c r="E871" s="6" t="n">
        <v>-1</v>
      </c>
      <c r="F871" s="6" t="n">
        <v>0</v>
      </c>
      <c r="G871" s="8" t="n">
        <v>0.0328</v>
      </c>
      <c r="H871" s="8" t="n">
        <v>0.8463000000000001</v>
      </c>
      <c r="I871" s="9" t="n">
        <v>0</v>
      </c>
    </row>
    <row r="872">
      <c r="B872" s="6" t="n">
        <v>26163</v>
      </c>
      <c r="C872" s="7" t="n">
        <v>310000</v>
      </c>
      <c r="D872" s="6" t="n">
        <v>38</v>
      </c>
      <c r="E872" s="6" t="n">
        <v>-2</v>
      </c>
      <c r="F872" s="6" t="n">
        <v>-2</v>
      </c>
      <c r="G872" s="8" t="n">
        <v>0</v>
      </c>
      <c r="H872" s="8" t="n">
        <v>0</v>
      </c>
      <c r="I872" s="9" t="n">
        <v>0</v>
      </c>
    </row>
    <row r="873">
      <c r="B873" s="6" t="n">
        <v>26208</v>
      </c>
      <c r="C873" s="7" t="n">
        <v>180000</v>
      </c>
      <c r="D873" s="6" t="n">
        <v>36</v>
      </c>
      <c r="E873" s="6" t="n">
        <v>0</v>
      </c>
      <c r="F873" s="6" t="n">
        <v>0</v>
      </c>
      <c r="G873" s="8" t="n">
        <v>0.0495</v>
      </c>
      <c r="H873" s="8" t="n">
        <v>0.116</v>
      </c>
      <c r="I873" s="9" t="n">
        <v>0</v>
      </c>
    </row>
    <row r="874">
      <c r="B874" s="6" t="n">
        <v>26220</v>
      </c>
      <c r="C874" s="7" t="n">
        <v>100000</v>
      </c>
      <c r="D874" s="6" t="n">
        <v>38</v>
      </c>
      <c r="E874" s="6" t="n">
        <v>0</v>
      </c>
      <c r="F874" s="6" t="n">
        <v>0</v>
      </c>
      <c r="G874" s="8" t="n">
        <v>0.9671</v>
      </c>
      <c r="H874" s="8" t="n">
        <v>0.0421</v>
      </c>
      <c r="I874" s="9" t="n">
        <v>0</v>
      </c>
    </row>
    <row r="875">
      <c r="B875" s="6" t="n">
        <v>26232</v>
      </c>
      <c r="C875" s="7" t="n">
        <v>110000</v>
      </c>
      <c r="D875" s="6" t="n">
        <v>36</v>
      </c>
      <c r="E875" s="6" t="n">
        <v>0</v>
      </c>
      <c r="F875" s="6" t="n">
        <v>0</v>
      </c>
      <c r="G875" s="8" t="n">
        <v>1.0372</v>
      </c>
      <c r="H875" s="8" t="n">
        <v>0.0493</v>
      </c>
      <c r="I875" s="9" t="n">
        <v>0</v>
      </c>
    </row>
    <row r="876">
      <c r="B876" s="6" t="n">
        <v>26247</v>
      </c>
      <c r="C876" s="7" t="n">
        <v>80000</v>
      </c>
      <c r="D876" s="6" t="n">
        <v>30</v>
      </c>
      <c r="E876" s="6" t="n">
        <v>1</v>
      </c>
      <c r="F876" s="6" t="n">
        <v>2</v>
      </c>
      <c r="G876" s="8" t="n">
        <v>0.8743</v>
      </c>
      <c r="H876" s="8" t="n">
        <v>0</v>
      </c>
      <c r="I876" s="10" t="n">
        <v>1</v>
      </c>
    </row>
    <row r="877">
      <c r="B877" s="6" t="n">
        <v>26325</v>
      </c>
      <c r="C877" s="7" t="n">
        <v>380000</v>
      </c>
      <c r="D877" s="6" t="n">
        <v>40</v>
      </c>
      <c r="E877" s="6" t="n">
        <v>0</v>
      </c>
      <c r="F877" s="6" t="n">
        <v>-1</v>
      </c>
      <c r="G877" s="8" t="n">
        <v>0.0115</v>
      </c>
      <c r="H877" s="8" t="n">
        <v>0.5877</v>
      </c>
      <c r="I877" s="10" t="n">
        <v>1</v>
      </c>
    </row>
    <row r="878">
      <c r="B878" s="6" t="n">
        <v>26384</v>
      </c>
      <c r="C878" s="7" t="n">
        <v>320000</v>
      </c>
      <c r="D878" s="6" t="n">
        <v>30</v>
      </c>
      <c r="E878" s="6" t="n">
        <v>-1</v>
      </c>
      <c r="F878" s="6" t="n">
        <v>-1</v>
      </c>
      <c r="G878" s="8" t="n">
        <v>0.0321</v>
      </c>
      <c r="H878" s="8" t="n">
        <v>0.242</v>
      </c>
      <c r="I878" s="9" t="n">
        <v>0</v>
      </c>
    </row>
    <row r="879">
      <c r="B879" s="6" t="n">
        <v>26393</v>
      </c>
      <c r="C879" s="7" t="n">
        <v>380000</v>
      </c>
      <c r="D879" s="6" t="n">
        <v>43</v>
      </c>
      <c r="E879" s="6" t="n">
        <v>-1</v>
      </c>
      <c r="F879" s="6" t="n">
        <v>-1</v>
      </c>
      <c r="G879" s="8" t="n">
        <v>0.0496</v>
      </c>
      <c r="H879" s="8" t="n">
        <v>1.107</v>
      </c>
      <c r="I879" s="9" t="n">
        <v>0</v>
      </c>
    </row>
    <row r="880">
      <c r="B880" s="6" t="n">
        <v>26409</v>
      </c>
      <c r="C880" s="7" t="n">
        <v>240000</v>
      </c>
      <c r="D880" s="6" t="n">
        <v>36</v>
      </c>
      <c r="E880" s="6" t="n">
        <v>-1</v>
      </c>
      <c r="F880" s="6" t="n">
        <v>-1</v>
      </c>
      <c r="G880" s="8" t="n">
        <v>0.0163</v>
      </c>
      <c r="H880" s="8" t="n">
        <v>0.7514</v>
      </c>
      <c r="I880" s="10" t="n">
        <v>1</v>
      </c>
    </row>
    <row r="881">
      <c r="B881" s="6" t="n">
        <v>26428</v>
      </c>
      <c r="C881" s="7" t="n">
        <v>220000</v>
      </c>
      <c r="D881" s="6" t="n">
        <v>32</v>
      </c>
      <c r="E881" s="6" t="n">
        <v>0</v>
      </c>
      <c r="F881" s="6" t="n">
        <v>0</v>
      </c>
      <c r="G881" s="8" t="n">
        <v>0.9893</v>
      </c>
      <c r="H881" s="8" t="n">
        <v>0.0368</v>
      </c>
      <c r="I881" s="9" t="n">
        <v>0</v>
      </c>
    </row>
    <row r="882">
      <c r="B882" s="6" t="n">
        <v>26432</v>
      </c>
      <c r="C882" s="7" t="n">
        <v>50000</v>
      </c>
      <c r="D882" s="6" t="n">
        <v>38</v>
      </c>
      <c r="E882" s="6" t="n">
        <v>0</v>
      </c>
      <c r="F882" s="6" t="n">
        <v>0</v>
      </c>
      <c r="G882" s="8" t="n">
        <v>0.7789</v>
      </c>
      <c r="H882" s="8" t="n">
        <v>0.0645</v>
      </c>
      <c r="I882" s="9" t="n">
        <v>0</v>
      </c>
    </row>
    <row r="883">
      <c r="B883" s="6" t="n">
        <v>26460</v>
      </c>
      <c r="C883" s="7" t="n">
        <v>20000</v>
      </c>
      <c r="D883" s="6" t="n">
        <v>49</v>
      </c>
      <c r="E883" s="6" t="n">
        <v>0</v>
      </c>
      <c r="F883" s="6" t="n">
        <v>0</v>
      </c>
      <c r="G883" s="8" t="n">
        <v>0.678</v>
      </c>
      <c r="H883" s="8" t="n">
        <v>0.1138</v>
      </c>
      <c r="I883" s="10" t="n">
        <v>1</v>
      </c>
    </row>
    <row r="884">
      <c r="B884" s="6" t="n">
        <v>26468</v>
      </c>
      <c r="C884" s="7" t="n">
        <v>100000</v>
      </c>
      <c r="D884" s="6" t="n">
        <v>49</v>
      </c>
      <c r="E884" s="6" t="n">
        <v>0</v>
      </c>
      <c r="F884" s="6" t="n">
        <v>0</v>
      </c>
      <c r="G884" s="8" t="n">
        <v>0.4109</v>
      </c>
      <c r="H884" s="8" t="n">
        <v>0.0487</v>
      </c>
      <c r="I884" s="9" t="n">
        <v>0</v>
      </c>
    </row>
    <row r="885">
      <c r="B885" s="6" t="n">
        <v>26472</v>
      </c>
      <c r="C885" s="7" t="n">
        <v>100000</v>
      </c>
      <c r="D885" s="6" t="n">
        <v>51</v>
      </c>
      <c r="E885" s="6" t="n">
        <v>-1</v>
      </c>
      <c r="F885" s="6" t="n">
        <v>-1</v>
      </c>
      <c r="G885" s="8" t="n">
        <v>0.002</v>
      </c>
      <c r="H885" s="8" t="n">
        <v>0.5</v>
      </c>
      <c r="I885" s="9" t="n">
        <v>0</v>
      </c>
    </row>
    <row r="886">
      <c r="B886" s="6" t="n">
        <v>26477</v>
      </c>
      <c r="C886" s="7" t="n">
        <v>380000</v>
      </c>
      <c r="D886" s="6" t="n">
        <v>51</v>
      </c>
      <c r="E886" s="6" t="n">
        <v>-1</v>
      </c>
      <c r="F886" s="6" t="n">
        <v>-1</v>
      </c>
      <c r="G886" s="8" t="n">
        <v>0.115</v>
      </c>
      <c r="H886" s="8" t="n">
        <v>1.389</v>
      </c>
      <c r="I886" s="9" t="n">
        <v>0</v>
      </c>
    </row>
    <row r="887">
      <c r="B887" s="6" t="n">
        <v>26591</v>
      </c>
      <c r="C887" s="7" t="n">
        <v>90000</v>
      </c>
      <c r="D887" s="6" t="n">
        <v>34</v>
      </c>
      <c r="E887" s="6" t="n">
        <v>0</v>
      </c>
      <c r="F887" s="6" t="n">
        <v>0</v>
      </c>
      <c r="G887" s="8" t="n">
        <v>0.9586</v>
      </c>
      <c r="H887" s="8" t="n">
        <v>0.0464</v>
      </c>
      <c r="I887" s="9" t="n">
        <v>0</v>
      </c>
    </row>
    <row r="888">
      <c r="B888" s="6" t="n">
        <v>26597</v>
      </c>
      <c r="C888" s="7" t="n">
        <v>20000</v>
      </c>
      <c r="D888" s="6" t="n">
        <v>27</v>
      </c>
      <c r="E888" s="6" t="n">
        <v>0</v>
      </c>
      <c r="F888" s="6" t="n">
        <v>0</v>
      </c>
      <c r="G888" s="8" t="n">
        <v>0.967</v>
      </c>
      <c r="H888" s="8" t="n">
        <v>0.0776</v>
      </c>
      <c r="I888" s="9" t="n">
        <v>0</v>
      </c>
    </row>
    <row r="889">
      <c r="B889" s="6" t="n">
        <v>26626</v>
      </c>
      <c r="C889" s="7" t="n">
        <v>170000</v>
      </c>
      <c r="D889" s="6" t="n">
        <v>26</v>
      </c>
      <c r="E889" s="6" t="n">
        <v>0</v>
      </c>
      <c r="F889" s="6" t="n">
        <v>0</v>
      </c>
      <c r="G889" s="8" t="n">
        <v>0.6946</v>
      </c>
      <c r="H889" s="8" t="n">
        <v>0.0322</v>
      </c>
      <c r="I889" s="9" t="n">
        <v>0</v>
      </c>
    </row>
    <row r="890">
      <c r="B890" s="6" t="n">
        <v>26720</v>
      </c>
      <c r="C890" s="7" t="n">
        <v>30000</v>
      </c>
      <c r="D890" s="6" t="n">
        <v>25</v>
      </c>
      <c r="E890" s="6" t="n">
        <v>1</v>
      </c>
      <c r="F890" s="6" t="n">
        <v>2</v>
      </c>
      <c r="G890" s="8" t="n">
        <v>0.4308</v>
      </c>
      <c r="H890" s="8" t="n">
        <v>0.0774</v>
      </c>
      <c r="I890" s="10" t="n">
        <v>1</v>
      </c>
    </row>
    <row r="891">
      <c r="B891" s="6" t="n">
        <v>26750</v>
      </c>
      <c r="C891" s="7" t="n">
        <v>60000</v>
      </c>
      <c r="D891" s="6" t="n">
        <v>27</v>
      </c>
      <c r="E891" s="6" t="n">
        <v>2</v>
      </c>
      <c r="F891" s="6" t="n">
        <v>0</v>
      </c>
      <c r="G891" s="8" t="n">
        <v>0.9766</v>
      </c>
      <c r="H891" s="8" t="n">
        <v>0.0449</v>
      </c>
      <c r="I891" s="10" t="n">
        <v>1</v>
      </c>
    </row>
    <row r="892">
      <c r="B892" s="6" t="n">
        <v>26753</v>
      </c>
      <c r="C892" s="7" t="n">
        <v>120000</v>
      </c>
      <c r="D892" s="6" t="n">
        <v>28</v>
      </c>
      <c r="E892" s="6" t="n">
        <v>0</v>
      </c>
      <c r="F892" s="6" t="n">
        <v>0</v>
      </c>
      <c r="G892" s="8" t="n">
        <v>0.4974</v>
      </c>
      <c r="H892" s="8" t="n">
        <v>0.0503</v>
      </c>
      <c r="I892" s="9" t="n">
        <v>0</v>
      </c>
    </row>
    <row r="893">
      <c r="B893" s="6" t="n">
        <v>26781</v>
      </c>
      <c r="C893" s="7" t="n">
        <v>400000</v>
      </c>
      <c r="D893" s="6" t="n">
        <v>30</v>
      </c>
      <c r="E893" s="6" t="n">
        <v>0</v>
      </c>
      <c r="F893" s="6" t="n">
        <v>0</v>
      </c>
      <c r="G893" s="8" t="n">
        <v>0.032</v>
      </c>
      <c r="H893" s="8" t="n">
        <v>0.4233</v>
      </c>
      <c r="I893" s="9" t="n">
        <v>0</v>
      </c>
    </row>
    <row r="894">
      <c r="B894" s="6" t="n">
        <v>26790</v>
      </c>
      <c r="C894" s="7" t="n">
        <v>50000</v>
      </c>
      <c r="D894" s="6" t="n">
        <v>29</v>
      </c>
      <c r="E894" s="6" t="n">
        <v>1</v>
      </c>
      <c r="F894" s="6" t="n">
        <v>-1</v>
      </c>
      <c r="G894" s="8" t="n">
        <v>0</v>
      </c>
      <c r="H894" s="8" t="n">
        <v>0</v>
      </c>
      <c r="I894" s="9" t="n">
        <v>0</v>
      </c>
    </row>
    <row r="895">
      <c r="B895" s="6" t="n">
        <v>26866</v>
      </c>
      <c r="C895" s="7" t="n">
        <v>140000</v>
      </c>
      <c r="D895" s="6" t="n">
        <v>48</v>
      </c>
      <c r="E895" s="6" t="n">
        <v>1</v>
      </c>
      <c r="F895" s="6" t="n">
        <v>2</v>
      </c>
      <c r="G895" s="8" t="n">
        <v>0.6151</v>
      </c>
      <c r="H895" s="8" t="n">
        <v>0.0476</v>
      </c>
      <c r="I895" s="10" t="n">
        <v>1</v>
      </c>
    </row>
    <row r="896">
      <c r="B896" s="6" t="n">
        <v>26879</v>
      </c>
      <c r="C896" s="7" t="n">
        <v>200000</v>
      </c>
      <c r="D896" s="6" t="n">
        <v>49</v>
      </c>
      <c r="E896" s="6" t="n">
        <v>0</v>
      </c>
      <c r="F896" s="6" t="n">
        <v>0</v>
      </c>
      <c r="G896" s="8" t="n">
        <v>0.2461</v>
      </c>
      <c r="H896" s="8" t="n">
        <v>0.0343</v>
      </c>
      <c r="I896" s="9" t="n">
        <v>0</v>
      </c>
    </row>
    <row r="897">
      <c r="B897" s="6" t="n">
        <v>26912</v>
      </c>
      <c r="C897" s="7" t="n">
        <v>150000</v>
      </c>
      <c r="D897" s="6" t="n">
        <v>43</v>
      </c>
      <c r="E897" s="6" t="n">
        <v>0</v>
      </c>
      <c r="F897" s="6" t="n">
        <v>0</v>
      </c>
      <c r="G897" s="8" t="n">
        <v>0.5921</v>
      </c>
      <c r="H897" s="8" t="n">
        <v>0.0373</v>
      </c>
      <c r="I897" s="9" t="n">
        <v>0</v>
      </c>
    </row>
    <row r="898">
      <c r="B898" s="6" t="n">
        <v>26937</v>
      </c>
      <c r="C898" s="7" t="n">
        <v>210000</v>
      </c>
      <c r="D898" s="6" t="n">
        <v>44</v>
      </c>
      <c r="E898" s="6" t="n">
        <v>1</v>
      </c>
      <c r="F898" s="6" t="n">
        <v>2</v>
      </c>
      <c r="G898" s="8" t="n">
        <v>0.4265</v>
      </c>
      <c r="H898" s="8" t="n">
        <v>0</v>
      </c>
      <c r="I898" s="10" t="n">
        <v>1</v>
      </c>
    </row>
    <row r="899">
      <c r="B899" s="6" t="n">
        <v>26972</v>
      </c>
      <c r="C899" s="7" t="n">
        <v>240000</v>
      </c>
      <c r="D899" s="6" t="n">
        <v>37</v>
      </c>
      <c r="E899" s="6" t="n">
        <v>0</v>
      </c>
      <c r="F899" s="6" t="n">
        <v>0</v>
      </c>
      <c r="G899" s="8" t="n">
        <v>0.047</v>
      </c>
      <c r="H899" s="8" t="n">
        <v>0.266</v>
      </c>
      <c r="I899" s="9" t="n">
        <v>0</v>
      </c>
    </row>
    <row r="900">
      <c r="B900" s="6" t="n">
        <v>27018</v>
      </c>
      <c r="C900" s="7" t="n">
        <v>80000</v>
      </c>
      <c r="D900" s="6" t="n">
        <v>41</v>
      </c>
      <c r="E900" s="6" t="n">
        <v>0</v>
      </c>
      <c r="F900" s="6" t="n">
        <v>0</v>
      </c>
      <c r="G900" s="8" t="n">
        <v>0.4456</v>
      </c>
      <c r="H900" s="8" t="n">
        <v>0.0842</v>
      </c>
      <c r="I900" s="9" t="n">
        <v>0</v>
      </c>
    </row>
    <row r="901">
      <c r="B901" s="6" t="n">
        <v>27021</v>
      </c>
      <c r="C901" s="7" t="n">
        <v>280000</v>
      </c>
      <c r="D901" s="6" t="n">
        <v>32</v>
      </c>
      <c r="E901" s="6" t="n">
        <v>1</v>
      </c>
      <c r="F901" s="6" t="n">
        <v>-2</v>
      </c>
      <c r="G901" s="8" t="n">
        <v>0</v>
      </c>
      <c r="H901" s="8" t="n">
        <v>0</v>
      </c>
      <c r="I901" s="10" t="n">
        <v>1</v>
      </c>
    </row>
    <row r="902">
      <c r="B902" s="6" t="n">
        <v>27025</v>
      </c>
      <c r="C902" s="7" t="n">
        <v>100000</v>
      </c>
      <c r="D902" s="6" t="n">
        <v>35</v>
      </c>
      <c r="E902" s="6" t="n">
        <v>2</v>
      </c>
      <c r="F902" s="6" t="n">
        <v>0</v>
      </c>
      <c r="G902" s="8" t="n">
        <v>0.9258999999999999</v>
      </c>
      <c r="H902" s="8" t="n">
        <v>0.0351</v>
      </c>
      <c r="I902" s="9" t="n">
        <v>0</v>
      </c>
    </row>
    <row r="903">
      <c r="B903" s="6" t="n">
        <v>27096</v>
      </c>
      <c r="C903" s="7" t="n">
        <v>140000</v>
      </c>
      <c r="D903" s="6" t="n">
        <v>30</v>
      </c>
      <c r="E903" s="6" t="n">
        <v>-1</v>
      </c>
      <c r="F903" s="6" t="n">
        <v>-1</v>
      </c>
      <c r="G903" s="8" t="n">
        <v>0.3164</v>
      </c>
      <c r="H903" s="8" t="n">
        <v>1.2348</v>
      </c>
      <c r="I903" s="9" t="n">
        <v>0</v>
      </c>
    </row>
    <row r="904">
      <c r="B904" s="6" t="n">
        <v>27199</v>
      </c>
      <c r="C904" s="7" t="n">
        <v>30000</v>
      </c>
      <c r="D904" s="6" t="n">
        <v>35</v>
      </c>
      <c r="E904" s="6" t="n">
        <v>1</v>
      </c>
      <c r="F904" s="6" t="n">
        <v>-1</v>
      </c>
      <c r="G904" s="8" t="n">
        <v>0</v>
      </c>
      <c r="H904" s="8" t="n">
        <v>0</v>
      </c>
      <c r="I904" s="10" t="n">
        <v>1</v>
      </c>
    </row>
    <row r="905">
      <c r="B905" s="6" t="n">
        <v>27229</v>
      </c>
      <c r="C905" s="7" t="n">
        <v>30000</v>
      </c>
      <c r="D905" s="6" t="n">
        <v>40</v>
      </c>
      <c r="E905" s="6" t="n">
        <v>1</v>
      </c>
      <c r="F905" s="6" t="n">
        <v>4</v>
      </c>
      <c r="G905" s="8" t="n">
        <v>0.4852</v>
      </c>
      <c r="H905" s="8" t="n">
        <v>0</v>
      </c>
      <c r="I905" s="10" t="n">
        <v>1</v>
      </c>
    </row>
    <row r="906">
      <c r="B906" s="6" t="n">
        <v>27265</v>
      </c>
      <c r="C906" s="7" t="n">
        <v>310000</v>
      </c>
      <c r="D906" s="6" t="n">
        <v>41</v>
      </c>
      <c r="E906" s="6" t="n">
        <v>0</v>
      </c>
      <c r="F906" s="6" t="n">
        <v>0</v>
      </c>
      <c r="G906" s="8" t="n">
        <v>1.1916</v>
      </c>
      <c r="H906" s="8" t="n">
        <v>0.0277</v>
      </c>
      <c r="I906" s="9" t="n">
        <v>0</v>
      </c>
    </row>
    <row r="907">
      <c r="B907" s="6" t="n">
        <v>27279</v>
      </c>
      <c r="C907" s="7" t="n">
        <v>360000</v>
      </c>
      <c r="D907" s="6" t="n">
        <v>41</v>
      </c>
      <c r="E907" s="6" t="n">
        <v>-2</v>
      </c>
      <c r="F907" s="6" t="n">
        <v>-2</v>
      </c>
      <c r="G907" s="8" t="n">
        <v>0.0009</v>
      </c>
      <c r="H907" s="8" t="n">
        <v>2</v>
      </c>
      <c r="I907" s="10" t="n">
        <v>1</v>
      </c>
    </row>
    <row r="908">
      <c r="B908" s="6" t="n">
        <v>27300</v>
      </c>
      <c r="C908" s="7" t="n">
        <v>250000</v>
      </c>
      <c r="D908" s="6" t="n">
        <v>32</v>
      </c>
      <c r="E908" s="6" t="n">
        <v>-1</v>
      </c>
      <c r="F908" s="6" t="n">
        <v>-1</v>
      </c>
      <c r="G908" s="8" t="n">
        <v>0.223</v>
      </c>
      <c r="H908" s="8" t="n">
        <v>1.329</v>
      </c>
      <c r="I908" s="9" t="n">
        <v>0</v>
      </c>
    </row>
    <row r="909">
      <c r="B909" s="6" t="n">
        <v>27339</v>
      </c>
      <c r="C909" s="7" t="n">
        <v>440000</v>
      </c>
      <c r="D909" s="6" t="n">
        <v>33</v>
      </c>
      <c r="E909" s="6" t="n">
        <v>-1</v>
      </c>
      <c r="F909" s="6" t="n">
        <v>-1</v>
      </c>
      <c r="G909" s="8" t="n">
        <v>0.0068</v>
      </c>
      <c r="H909" s="8" t="n">
        <v>2</v>
      </c>
      <c r="I909" s="9" t="n">
        <v>0</v>
      </c>
    </row>
    <row r="910">
      <c r="B910" s="6" t="n">
        <v>27353</v>
      </c>
      <c r="C910" s="7" t="n">
        <v>70000</v>
      </c>
      <c r="D910" s="6" t="n">
        <v>30</v>
      </c>
      <c r="E910" s="6" t="n">
        <v>1</v>
      </c>
      <c r="F910" s="6" t="n">
        <v>-1</v>
      </c>
      <c r="G910" s="8" t="n">
        <v>0</v>
      </c>
      <c r="H910" s="8" t="n">
        <v>0</v>
      </c>
      <c r="I910" s="9" t="n">
        <v>0</v>
      </c>
    </row>
    <row r="911">
      <c r="B911" s="6" t="n">
        <v>27359</v>
      </c>
      <c r="C911" s="7" t="n">
        <v>140000</v>
      </c>
      <c r="D911" s="6" t="n">
        <v>29</v>
      </c>
      <c r="E911" s="6" t="n">
        <v>0</v>
      </c>
      <c r="F911" s="6" t="n">
        <v>0</v>
      </c>
      <c r="G911" s="8" t="n">
        <v>0.2432</v>
      </c>
      <c r="H911" s="8" t="n">
        <v>0.0456</v>
      </c>
      <c r="I911" s="9" t="n">
        <v>0</v>
      </c>
    </row>
    <row r="912">
      <c r="B912" s="6" t="n">
        <v>27434</v>
      </c>
      <c r="C912" s="7" t="n">
        <v>300000</v>
      </c>
      <c r="D912" s="6" t="n">
        <v>45</v>
      </c>
      <c r="E912" s="6" t="n">
        <v>-1</v>
      </c>
      <c r="F912" s="6" t="n">
        <v>-1</v>
      </c>
      <c r="G912" s="8" t="n">
        <v>0.0101</v>
      </c>
      <c r="H912" s="8" t="n">
        <v>0</v>
      </c>
      <c r="I912" s="9" t="n">
        <v>0</v>
      </c>
    </row>
    <row r="913">
      <c r="B913" s="6" t="n">
        <v>27455</v>
      </c>
      <c r="C913" s="7" t="n">
        <v>50000</v>
      </c>
      <c r="D913" s="6" t="n">
        <v>49</v>
      </c>
      <c r="E913" s="6" t="n">
        <v>1</v>
      </c>
      <c r="F913" s="6" t="n">
        <v>2</v>
      </c>
      <c r="G913" s="8" t="n">
        <v>0.9472</v>
      </c>
      <c r="H913" s="8" t="n">
        <v>0</v>
      </c>
      <c r="I913" s="9" t="n">
        <v>0</v>
      </c>
    </row>
    <row r="914">
      <c r="B914" s="6" t="n">
        <v>27500</v>
      </c>
      <c r="C914" s="7" t="n">
        <v>20000</v>
      </c>
      <c r="D914" s="6" t="n">
        <v>59</v>
      </c>
      <c r="E914" s="6" t="n">
        <v>3</v>
      </c>
      <c r="F914" s="6" t="n">
        <v>2</v>
      </c>
      <c r="G914" s="8" t="n">
        <v>0.3008</v>
      </c>
      <c r="H914" s="8" t="n">
        <v>0.3325</v>
      </c>
      <c r="I914" s="10" t="n">
        <v>1</v>
      </c>
    </row>
    <row r="915">
      <c r="B915" s="6" t="n">
        <v>27507</v>
      </c>
      <c r="C915" s="7" t="n">
        <v>170000</v>
      </c>
      <c r="D915" s="6" t="n">
        <v>51</v>
      </c>
      <c r="E915" s="6" t="n">
        <v>0</v>
      </c>
      <c r="F915" s="6" t="n">
        <v>0</v>
      </c>
      <c r="G915" s="8" t="n">
        <v>1.1874</v>
      </c>
      <c r="H915" s="8" t="n">
        <v>0.034</v>
      </c>
      <c r="I915" s="10" t="n">
        <v>1</v>
      </c>
    </row>
    <row r="916">
      <c r="B916" s="6" t="n">
        <v>27535</v>
      </c>
      <c r="C916" s="7" t="n">
        <v>50000</v>
      </c>
      <c r="D916" s="6" t="n">
        <v>56</v>
      </c>
      <c r="E916" s="6" t="n">
        <v>0</v>
      </c>
      <c r="F916" s="6" t="n">
        <v>0</v>
      </c>
      <c r="G916" s="8" t="n">
        <v>0.7622</v>
      </c>
      <c r="H916" s="8" t="n">
        <v>0.07779999999999999</v>
      </c>
      <c r="I916" s="9" t="n">
        <v>0</v>
      </c>
    </row>
    <row r="917">
      <c r="B917" s="6" t="n">
        <v>27603</v>
      </c>
      <c r="C917" s="7" t="n">
        <v>400000</v>
      </c>
      <c r="D917" s="6" t="n">
        <v>29</v>
      </c>
      <c r="E917" s="6" t="n">
        <v>-2</v>
      </c>
      <c r="F917" s="6" t="n">
        <v>-2</v>
      </c>
      <c r="G917" s="8" t="n">
        <v>0.0191</v>
      </c>
      <c r="H917" s="8" t="n">
        <v>2</v>
      </c>
      <c r="I917" s="9" t="n">
        <v>0</v>
      </c>
    </row>
    <row r="918">
      <c r="B918" s="6" t="n">
        <v>27604</v>
      </c>
      <c r="C918" s="7" t="n">
        <v>100000</v>
      </c>
      <c r="D918" s="6" t="n">
        <v>28</v>
      </c>
      <c r="E918" s="6" t="n">
        <v>0</v>
      </c>
      <c r="F918" s="6" t="n">
        <v>0</v>
      </c>
      <c r="G918" s="8" t="n">
        <v>0.507</v>
      </c>
      <c r="H918" s="8" t="n">
        <v>0.0386</v>
      </c>
      <c r="I918" s="9" t="n">
        <v>0</v>
      </c>
    </row>
    <row r="919">
      <c r="B919" s="6" t="n">
        <v>27605</v>
      </c>
      <c r="C919" s="7" t="n">
        <v>30000</v>
      </c>
      <c r="D919" s="6" t="n">
        <v>22</v>
      </c>
      <c r="E919" s="6" t="n">
        <v>0</v>
      </c>
      <c r="F919" s="6" t="n">
        <v>0</v>
      </c>
      <c r="G919" s="8" t="n">
        <v>1.0009</v>
      </c>
      <c r="H919" s="8" t="n">
        <v>0.0877</v>
      </c>
      <c r="I919" s="9" t="n">
        <v>0</v>
      </c>
    </row>
    <row r="920">
      <c r="B920" s="6" t="n">
        <v>27607</v>
      </c>
      <c r="C920" s="7" t="n">
        <v>60000</v>
      </c>
      <c r="D920" s="6" t="n">
        <v>24</v>
      </c>
      <c r="E920" s="6" t="n">
        <v>0</v>
      </c>
      <c r="F920" s="6" t="n">
        <v>0</v>
      </c>
      <c r="G920" s="8" t="n">
        <v>1.0464</v>
      </c>
      <c r="H920" s="8" t="n">
        <v>0.0352</v>
      </c>
      <c r="I920" s="10" t="n">
        <v>1</v>
      </c>
    </row>
    <row r="921">
      <c r="B921" s="6" t="n">
        <v>27637</v>
      </c>
      <c r="C921" s="7" t="n">
        <v>10000</v>
      </c>
      <c r="D921" s="6" t="n">
        <v>22</v>
      </c>
      <c r="E921" s="6" t="n">
        <v>1</v>
      </c>
      <c r="F921" s="6" t="n">
        <v>-2</v>
      </c>
      <c r="G921" s="8" t="n">
        <v>0</v>
      </c>
      <c r="H921" s="8" t="n">
        <v>0</v>
      </c>
      <c r="I921" s="9" t="n">
        <v>0</v>
      </c>
    </row>
    <row r="922">
      <c r="B922" s="6" t="n">
        <v>27644</v>
      </c>
      <c r="C922" s="7" t="n">
        <v>20000</v>
      </c>
      <c r="D922" s="6" t="n">
        <v>24</v>
      </c>
      <c r="E922" s="6" t="n">
        <v>1</v>
      </c>
      <c r="F922" s="6" t="n">
        <v>2</v>
      </c>
      <c r="G922" s="8" t="n">
        <v>0.2348</v>
      </c>
      <c r="H922" s="8" t="n">
        <v>0</v>
      </c>
      <c r="I922" s="10" t="n">
        <v>1</v>
      </c>
    </row>
    <row r="923">
      <c r="B923" s="6" t="n">
        <v>27676</v>
      </c>
      <c r="C923" s="7" t="n">
        <v>20000</v>
      </c>
      <c r="D923" s="6" t="n">
        <v>22</v>
      </c>
      <c r="E923" s="6" t="n">
        <v>2</v>
      </c>
      <c r="F923" s="6" t="n">
        <v>0</v>
      </c>
      <c r="G923" s="8" t="n">
        <v>1.0274</v>
      </c>
      <c r="H923" s="8" t="n">
        <v>0.06809999999999999</v>
      </c>
      <c r="I923" s="9" t="n">
        <v>0</v>
      </c>
    </row>
    <row r="924">
      <c r="B924" s="6" t="n">
        <v>27694</v>
      </c>
      <c r="C924" s="7" t="n">
        <v>50000</v>
      </c>
      <c r="D924" s="6" t="n">
        <v>25</v>
      </c>
      <c r="E924" s="6" t="n">
        <v>-1</v>
      </c>
      <c r="F924" s="6" t="n">
        <v>2</v>
      </c>
      <c r="G924" s="8" t="n">
        <v>0.1808</v>
      </c>
      <c r="H924" s="8" t="n">
        <v>0</v>
      </c>
      <c r="I924" s="9" t="n">
        <v>0</v>
      </c>
    </row>
    <row r="925">
      <c r="B925" s="6" t="n">
        <v>27702</v>
      </c>
      <c r="C925" s="7" t="n">
        <v>30000</v>
      </c>
      <c r="D925" s="6" t="n">
        <v>25</v>
      </c>
      <c r="E925" s="6" t="n">
        <v>2</v>
      </c>
      <c r="F925" s="6" t="n">
        <v>2</v>
      </c>
      <c r="G925" s="8" t="n">
        <v>0.9778</v>
      </c>
      <c r="H925" s="8" t="n">
        <v>0.1364</v>
      </c>
      <c r="I925" s="10" t="n">
        <v>1</v>
      </c>
    </row>
    <row r="926">
      <c r="B926" s="6" t="n">
        <v>27734</v>
      </c>
      <c r="C926" s="7" t="n">
        <v>80000</v>
      </c>
      <c r="D926" s="6" t="n">
        <v>24</v>
      </c>
      <c r="E926" s="6" t="n">
        <v>1</v>
      </c>
      <c r="F926" s="6" t="n">
        <v>2</v>
      </c>
      <c r="G926" s="8" t="n">
        <v>0.0282</v>
      </c>
      <c r="H926" s="8" t="n">
        <v>0</v>
      </c>
      <c r="I926" s="9" t="n">
        <v>0</v>
      </c>
    </row>
    <row r="927">
      <c r="B927" s="6" t="n">
        <v>27777</v>
      </c>
      <c r="C927" s="7" t="n">
        <v>150000</v>
      </c>
      <c r="D927" s="6" t="n">
        <v>25</v>
      </c>
      <c r="E927" s="6" t="n">
        <v>0</v>
      </c>
      <c r="F927" s="6" t="n">
        <v>0</v>
      </c>
      <c r="G927" s="8" t="n">
        <v>0.202</v>
      </c>
      <c r="H927" s="8" t="n">
        <v>0.3362</v>
      </c>
      <c r="I927" s="9" t="n">
        <v>0</v>
      </c>
    </row>
    <row r="928">
      <c r="B928" s="6" t="n">
        <v>27867</v>
      </c>
      <c r="C928" s="7" t="n">
        <v>70000</v>
      </c>
      <c r="D928" s="6" t="n">
        <v>25</v>
      </c>
      <c r="E928" s="6" t="n">
        <v>0</v>
      </c>
      <c r="F928" s="6" t="n">
        <v>0</v>
      </c>
      <c r="G928" s="8" t="n">
        <v>0.9905</v>
      </c>
      <c r="H928" s="8" t="n">
        <v>0.0433</v>
      </c>
      <c r="I928" s="9" t="n">
        <v>0</v>
      </c>
    </row>
    <row r="929">
      <c r="B929" s="6" t="n">
        <v>27887</v>
      </c>
      <c r="C929" s="7" t="n">
        <v>220000</v>
      </c>
      <c r="D929" s="6" t="n">
        <v>27</v>
      </c>
      <c r="E929" s="6" t="n">
        <v>0</v>
      </c>
      <c r="F929" s="6" t="n">
        <v>0</v>
      </c>
      <c r="G929" s="8" t="n">
        <v>0.3028</v>
      </c>
      <c r="H929" s="8" t="n">
        <v>0.2403</v>
      </c>
      <c r="I929" s="9" t="n">
        <v>0</v>
      </c>
    </row>
    <row r="930">
      <c r="B930" s="6" t="n">
        <v>27936</v>
      </c>
      <c r="C930" s="7" t="n">
        <v>50000</v>
      </c>
      <c r="D930" s="6" t="n">
        <v>28</v>
      </c>
      <c r="E930" s="6" t="n">
        <v>0</v>
      </c>
      <c r="F930" s="6" t="n">
        <v>0</v>
      </c>
      <c r="G930" s="8" t="n">
        <v>0.4664</v>
      </c>
      <c r="H930" s="8" t="n">
        <v>0.06</v>
      </c>
      <c r="I930" s="9" t="n">
        <v>0</v>
      </c>
    </row>
    <row r="931">
      <c r="B931" s="6" t="n">
        <v>27940</v>
      </c>
      <c r="C931" s="7" t="n">
        <v>90000</v>
      </c>
      <c r="D931" s="6" t="n">
        <v>27</v>
      </c>
      <c r="E931" s="6" t="n">
        <v>1</v>
      </c>
      <c r="F931" s="6" t="n">
        <v>-1</v>
      </c>
      <c r="G931" s="8" t="n">
        <v>0</v>
      </c>
      <c r="H931" s="8" t="n">
        <v>0</v>
      </c>
      <c r="I931" s="9" t="n">
        <v>0</v>
      </c>
    </row>
    <row r="932">
      <c r="B932" s="6" t="n">
        <v>27949</v>
      </c>
      <c r="C932" s="7" t="n">
        <v>230000</v>
      </c>
      <c r="D932" s="6" t="n">
        <v>28</v>
      </c>
      <c r="E932" s="6" t="n">
        <v>0</v>
      </c>
      <c r="F932" s="6" t="n">
        <v>0</v>
      </c>
      <c r="G932" s="8" t="n">
        <v>0.1974</v>
      </c>
      <c r="H932" s="8" t="n">
        <v>0.0551</v>
      </c>
      <c r="I932" s="9" t="n">
        <v>0</v>
      </c>
    </row>
    <row r="933">
      <c r="B933" s="6" t="n">
        <v>27954</v>
      </c>
      <c r="C933" s="7" t="n">
        <v>50000</v>
      </c>
      <c r="D933" s="6" t="n">
        <v>25</v>
      </c>
      <c r="E933" s="6" t="n">
        <v>0</v>
      </c>
      <c r="F933" s="6" t="n">
        <v>0</v>
      </c>
      <c r="G933" s="8" t="n">
        <v>0.8928</v>
      </c>
      <c r="H933" s="8" t="n">
        <v>0.0419</v>
      </c>
      <c r="I933" s="9" t="n">
        <v>0</v>
      </c>
    </row>
    <row r="934">
      <c r="B934" s="6" t="n">
        <v>27958</v>
      </c>
      <c r="C934" s="7" t="n">
        <v>50000</v>
      </c>
      <c r="D934" s="6" t="n">
        <v>26</v>
      </c>
      <c r="E934" s="6" t="n">
        <v>2</v>
      </c>
      <c r="F934" s="6" t="n">
        <v>2</v>
      </c>
      <c r="G934" s="8" t="n">
        <v>0.5833</v>
      </c>
      <c r="H934" s="8" t="n">
        <v>0</v>
      </c>
      <c r="I934" s="9" t="n">
        <v>0</v>
      </c>
    </row>
    <row r="935">
      <c r="B935" s="6" t="n">
        <v>27961</v>
      </c>
      <c r="C935" s="7" t="n">
        <v>140000</v>
      </c>
      <c r="D935" s="6" t="n">
        <v>27</v>
      </c>
      <c r="E935" s="6" t="n">
        <v>-1</v>
      </c>
      <c r="F935" s="6" t="n">
        <v>-1</v>
      </c>
      <c r="G935" s="8" t="n">
        <v>0.008500000000000001</v>
      </c>
      <c r="H935" s="8" t="n">
        <v>2</v>
      </c>
      <c r="I935" s="9" t="n">
        <v>0</v>
      </c>
    </row>
    <row r="936">
      <c r="B936" s="6" t="n">
        <v>27986</v>
      </c>
      <c r="C936" s="7" t="n">
        <v>120000</v>
      </c>
      <c r="D936" s="6" t="n">
        <v>29</v>
      </c>
      <c r="E936" s="6" t="n">
        <v>0</v>
      </c>
      <c r="F936" s="6" t="n">
        <v>0</v>
      </c>
      <c r="G936" s="8" t="n">
        <v>0.8028</v>
      </c>
      <c r="H936" s="8" t="n">
        <v>0.0467</v>
      </c>
      <c r="I936" s="9" t="n">
        <v>0</v>
      </c>
    </row>
    <row r="937">
      <c r="B937" s="6" t="n">
        <v>28004</v>
      </c>
      <c r="C937" s="7" t="n">
        <v>510000</v>
      </c>
      <c r="D937" s="6" t="n">
        <v>30</v>
      </c>
      <c r="E937" s="6" t="n">
        <v>-1</v>
      </c>
      <c r="F937" s="6" t="n">
        <v>-1</v>
      </c>
      <c r="G937" s="8" t="n">
        <v>0.1395</v>
      </c>
      <c r="H937" s="8" t="n">
        <v>2</v>
      </c>
      <c r="I937" s="9" t="n">
        <v>0</v>
      </c>
    </row>
    <row r="938">
      <c r="B938" s="6" t="n">
        <v>28033</v>
      </c>
      <c r="C938" s="7" t="n">
        <v>50000</v>
      </c>
      <c r="D938" s="6" t="n">
        <v>29</v>
      </c>
      <c r="E938" s="6" t="n">
        <v>2</v>
      </c>
      <c r="F938" s="6" t="n">
        <v>0</v>
      </c>
      <c r="G938" s="8" t="n">
        <v>1.0092</v>
      </c>
      <c r="H938" s="8" t="n">
        <v>0.0416</v>
      </c>
      <c r="I938" s="9" t="n">
        <v>0</v>
      </c>
    </row>
    <row r="939">
      <c r="B939" s="6" t="n">
        <v>28055</v>
      </c>
      <c r="C939" s="7" t="n">
        <v>20000</v>
      </c>
      <c r="D939" s="6" t="n">
        <v>32</v>
      </c>
      <c r="E939" s="6" t="n">
        <v>3</v>
      </c>
      <c r="F939" s="6" t="n">
        <v>2</v>
      </c>
      <c r="G939" s="8" t="n">
        <v>0.12</v>
      </c>
      <c r="H939" s="8" t="n">
        <v>0</v>
      </c>
      <c r="I939" s="10" t="n">
        <v>1</v>
      </c>
    </row>
    <row r="940">
      <c r="B940" s="6" t="n">
        <v>28141</v>
      </c>
      <c r="C940" s="7" t="n">
        <v>180000</v>
      </c>
      <c r="D940" s="6" t="n">
        <v>44</v>
      </c>
      <c r="E940" s="6" t="n">
        <v>-2</v>
      </c>
      <c r="F940" s="6" t="n">
        <v>-2</v>
      </c>
      <c r="G940" s="8" t="n">
        <v>0.09379999999999999</v>
      </c>
      <c r="H940" s="8" t="n">
        <v>0</v>
      </c>
      <c r="I940" s="9" t="n">
        <v>0</v>
      </c>
    </row>
    <row r="941">
      <c r="B941" s="6" t="n">
        <v>28181</v>
      </c>
      <c r="C941" s="7" t="n">
        <v>200000</v>
      </c>
      <c r="D941" s="6" t="n">
        <v>32</v>
      </c>
      <c r="E941" s="6" t="n">
        <v>-1</v>
      </c>
      <c r="F941" s="6" t="n">
        <v>-1</v>
      </c>
      <c r="G941" s="8" t="n">
        <v>0.0673</v>
      </c>
      <c r="H941" s="8" t="n">
        <v>0.3242</v>
      </c>
      <c r="I941" s="9" t="n">
        <v>0</v>
      </c>
    </row>
    <row r="942">
      <c r="B942" s="6" t="n">
        <v>28227</v>
      </c>
      <c r="C942" s="7" t="n">
        <v>290000</v>
      </c>
      <c r="D942" s="6" t="n">
        <v>46</v>
      </c>
      <c r="E942" s="6" t="n">
        <v>-1</v>
      </c>
      <c r="F942" s="6" t="n">
        <v>-1</v>
      </c>
      <c r="G942" s="8" t="n">
        <v>0.1047</v>
      </c>
      <c r="H942" s="8" t="n">
        <v>1.0728</v>
      </c>
      <c r="I942" s="9" t="n">
        <v>0</v>
      </c>
    </row>
    <row r="943">
      <c r="B943" s="6" t="n">
        <v>28231</v>
      </c>
      <c r="C943" s="7" t="n">
        <v>210000</v>
      </c>
      <c r="D943" s="6" t="n">
        <v>32</v>
      </c>
      <c r="E943" s="6" t="n">
        <v>-2</v>
      </c>
      <c r="F943" s="6" t="n">
        <v>-2</v>
      </c>
      <c r="G943" s="8" t="n">
        <v>0</v>
      </c>
      <c r="H943" s="8" t="n">
        <v>0</v>
      </c>
      <c r="I943" s="9" t="n">
        <v>0</v>
      </c>
    </row>
    <row r="944">
      <c r="B944" s="6" t="n">
        <v>28243</v>
      </c>
      <c r="C944" s="7" t="n">
        <v>30000</v>
      </c>
      <c r="D944" s="6" t="n">
        <v>44</v>
      </c>
      <c r="E944" s="6" t="n">
        <v>2</v>
      </c>
      <c r="F944" s="6" t="n">
        <v>0</v>
      </c>
      <c r="G944" s="8" t="n">
        <v>0.7000999999999999</v>
      </c>
      <c r="H944" s="8" t="n">
        <v>0.0791</v>
      </c>
      <c r="I944" s="10" t="n">
        <v>1</v>
      </c>
    </row>
    <row r="945">
      <c r="B945" s="6" t="n">
        <v>28275</v>
      </c>
      <c r="C945" s="7" t="n">
        <v>430000</v>
      </c>
      <c r="D945" s="6" t="n">
        <v>42</v>
      </c>
      <c r="E945" s="6" t="n">
        <v>0</v>
      </c>
      <c r="F945" s="6" t="n">
        <v>0</v>
      </c>
      <c r="G945" s="8" t="n">
        <v>0.2087</v>
      </c>
      <c r="H945" s="8" t="n">
        <v>0.0353</v>
      </c>
      <c r="I945" s="9" t="n">
        <v>0</v>
      </c>
    </row>
    <row r="946">
      <c r="B946" s="6" t="n">
        <v>28283</v>
      </c>
      <c r="C946" s="7" t="n">
        <v>110000</v>
      </c>
      <c r="D946" s="6" t="n">
        <v>41</v>
      </c>
      <c r="E946" s="6" t="n">
        <v>0</v>
      </c>
      <c r="F946" s="6" t="n">
        <v>0</v>
      </c>
      <c r="G946" s="8" t="n">
        <v>0.9467</v>
      </c>
      <c r="H946" s="8" t="n">
        <v>0.0432</v>
      </c>
      <c r="I946" s="10" t="n">
        <v>1</v>
      </c>
    </row>
    <row r="947">
      <c r="B947" s="6" t="n">
        <v>28299</v>
      </c>
      <c r="C947" s="7" t="n">
        <v>30000</v>
      </c>
      <c r="D947" s="6" t="n">
        <v>31</v>
      </c>
      <c r="E947" s="6" t="n">
        <v>0</v>
      </c>
      <c r="F947" s="6" t="n">
        <v>0</v>
      </c>
      <c r="G947" s="8" t="n">
        <v>0.955</v>
      </c>
      <c r="H947" s="8" t="n">
        <v>0.06279999999999999</v>
      </c>
      <c r="I947" s="9" t="n">
        <v>0</v>
      </c>
    </row>
    <row r="948">
      <c r="B948" s="6" t="n">
        <v>28323</v>
      </c>
      <c r="C948" s="7" t="n">
        <v>150000</v>
      </c>
      <c r="D948" s="6" t="n">
        <v>28</v>
      </c>
      <c r="E948" s="6" t="n">
        <v>-2</v>
      </c>
      <c r="F948" s="6" t="n">
        <v>-2</v>
      </c>
      <c r="G948" s="8" t="n">
        <v>0.0111</v>
      </c>
      <c r="H948" s="8" t="n">
        <v>0.4838</v>
      </c>
      <c r="I948" s="9" t="n">
        <v>0</v>
      </c>
    </row>
    <row r="949">
      <c r="B949" s="6" t="n">
        <v>28333</v>
      </c>
      <c r="C949" s="7" t="n">
        <v>420000</v>
      </c>
      <c r="D949" s="6" t="n">
        <v>34</v>
      </c>
      <c r="E949" s="6" t="n">
        <v>0</v>
      </c>
      <c r="F949" s="6" t="n">
        <v>0</v>
      </c>
      <c r="G949" s="8" t="n">
        <v>0.1173</v>
      </c>
      <c r="H949" s="8" t="n">
        <v>0.08119999999999999</v>
      </c>
      <c r="I949" s="9" t="n">
        <v>0</v>
      </c>
    </row>
    <row r="950">
      <c r="B950" s="6" t="n">
        <v>28368</v>
      </c>
      <c r="C950" s="7" t="n">
        <v>300000</v>
      </c>
      <c r="D950" s="6" t="n">
        <v>37</v>
      </c>
      <c r="E950" s="6" t="n">
        <v>-2</v>
      </c>
      <c r="F950" s="6" t="n">
        <v>-2</v>
      </c>
      <c r="G950" s="8" t="n">
        <v>0.0292</v>
      </c>
      <c r="H950" s="8" t="n">
        <v>0.003</v>
      </c>
      <c r="I950" s="9" t="n">
        <v>0</v>
      </c>
    </row>
    <row r="951">
      <c r="B951" s="6" t="n">
        <v>28414</v>
      </c>
      <c r="C951" s="7" t="n">
        <v>80000</v>
      </c>
      <c r="D951" s="6" t="n">
        <v>28</v>
      </c>
      <c r="E951" s="6" t="n">
        <v>0</v>
      </c>
      <c r="F951" s="6" t="n">
        <v>0</v>
      </c>
      <c r="G951" s="8" t="n">
        <v>0.9201</v>
      </c>
      <c r="H951" s="8" t="n">
        <v>0.1386</v>
      </c>
      <c r="I951" s="9" t="n">
        <v>0</v>
      </c>
    </row>
    <row r="952">
      <c r="B952" s="6" t="n">
        <v>28417</v>
      </c>
      <c r="C952" s="7" t="n">
        <v>230000</v>
      </c>
      <c r="D952" s="6" t="n">
        <v>29</v>
      </c>
      <c r="E952" s="6" t="n">
        <v>0</v>
      </c>
      <c r="F952" s="6" t="n">
        <v>0</v>
      </c>
      <c r="G952" s="8" t="n">
        <v>0.0539</v>
      </c>
      <c r="H952" s="8" t="n">
        <v>0.1696</v>
      </c>
      <c r="I952" s="9" t="n">
        <v>0</v>
      </c>
    </row>
    <row r="953">
      <c r="B953" s="6" t="n">
        <v>28481</v>
      </c>
      <c r="C953" s="7" t="n">
        <v>170000</v>
      </c>
      <c r="D953" s="6" t="n">
        <v>31</v>
      </c>
      <c r="E953" s="6" t="n">
        <v>1</v>
      </c>
      <c r="F953" s="6" t="n">
        <v>-2</v>
      </c>
      <c r="G953" s="8" t="n">
        <v>0.0092</v>
      </c>
      <c r="H953" s="8" t="n">
        <v>0</v>
      </c>
      <c r="I953" s="9" t="n">
        <v>0</v>
      </c>
    </row>
    <row r="954">
      <c r="B954" s="6" t="n">
        <v>28485</v>
      </c>
      <c r="C954" s="7" t="n">
        <v>40000</v>
      </c>
      <c r="D954" s="6" t="n">
        <v>44</v>
      </c>
      <c r="E954" s="6" t="n">
        <v>0</v>
      </c>
      <c r="F954" s="6" t="n">
        <v>0</v>
      </c>
      <c r="G954" s="8" t="n">
        <v>0.3258</v>
      </c>
      <c r="H954" s="8" t="n">
        <v>0.0945</v>
      </c>
      <c r="I954" s="9" t="n">
        <v>0</v>
      </c>
    </row>
    <row r="955">
      <c r="B955" s="6" t="n">
        <v>28493</v>
      </c>
      <c r="C955" s="7" t="n">
        <v>50000</v>
      </c>
      <c r="D955" s="6" t="n">
        <v>47</v>
      </c>
      <c r="E955" s="6" t="n">
        <v>2</v>
      </c>
      <c r="F955" s="6" t="n">
        <v>0</v>
      </c>
      <c r="G955" s="8" t="n">
        <v>0.9333</v>
      </c>
      <c r="H955" s="8" t="n">
        <v>0.045</v>
      </c>
      <c r="I955" s="10" t="n">
        <v>1</v>
      </c>
    </row>
    <row r="956">
      <c r="B956" s="6" t="n">
        <v>28497</v>
      </c>
      <c r="C956" s="7" t="n">
        <v>310000</v>
      </c>
      <c r="D956" s="6" t="n">
        <v>36</v>
      </c>
      <c r="E956" s="6" t="n">
        <v>0</v>
      </c>
      <c r="F956" s="6" t="n">
        <v>0</v>
      </c>
      <c r="G956" s="8" t="n">
        <v>0.949</v>
      </c>
      <c r="H956" s="8" t="n">
        <v>0.0374</v>
      </c>
      <c r="I956" s="9" t="n">
        <v>0</v>
      </c>
    </row>
    <row r="957">
      <c r="B957" s="6" t="n">
        <v>28501</v>
      </c>
      <c r="C957" s="7" t="n">
        <v>290000</v>
      </c>
      <c r="D957" s="6" t="n">
        <v>35</v>
      </c>
      <c r="E957" s="6" t="n">
        <v>-2</v>
      </c>
      <c r="F957" s="6" t="n">
        <v>-2</v>
      </c>
      <c r="G957" s="8" t="n">
        <v>0.0081</v>
      </c>
      <c r="H957" s="8" t="n">
        <v>2</v>
      </c>
      <c r="I957" s="9" t="n">
        <v>0</v>
      </c>
    </row>
    <row r="958">
      <c r="B958" s="6" t="n">
        <v>28502</v>
      </c>
      <c r="C958" s="7" t="n">
        <v>20000</v>
      </c>
      <c r="D958" s="6" t="n">
        <v>39</v>
      </c>
      <c r="E958" s="6" t="n">
        <v>1</v>
      </c>
      <c r="F958" s="6" t="n">
        <v>2</v>
      </c>
      <c r="G958" s="8" t="n">
        <v>0.8875999999999999</v>
      </c>
      <c r="H958" s="8" t="n">
        <v>0.1014</v>
      </c>
      <c r="I958" s="9" t="n">
        <v>0</v>
      </c>
    </row>
    <row r="959">
      <c r="B959" s="6" t="n">
        <v>28528</v>
      </c>
      <c r="C959" s="7" t="n">
        <v>360000</v>
      </c>
      <c r="D959" s="6" t="n">
        <v>32</v>
      </c>
      <c r="E959" s="6" t="n">
        <v>0</v>
      </c>
      <c r="F959" s="6" t="n">
        <v>0</v>
      </c>
      <c r="G959" s="8" t="n">
        <v>0.0323</v>
      </c>
      <c r="H959" s="8" t="n">
        <v>0.4293</v>
      </c>
      <c r="I959" s="9" t="n">
        <v>0</v>
      </c>
    </row>
    <row r="960">
      <c r="B960" s="6" t="n">
        <v>28572</v>
      </c>
      <c r="C960" s="7" t="n">
        <v>120000</v>
      </c>
      <c r="D960" s="6" t="n">
        <v>29</v>
      </c>
      <c r="E960" s="6" t="n">
        <v>0</v>
      </c>
      <c r="F960" s="6" t="n">
        <v>0</v>
      </c>
      <c r="G960" s="8" t="n">
        <v>0.8057</v>
      </c>
      <c r="H960" s="8" t="n">
        <v>0.0363</v>
      </c>
      <c r="I960" s="9" t="n">
        <v>0</v>
      </c>
    </row>
    <row r="961">
      <c r="B961" s="6" t="n">
        <v>28582</v>
      </c>
      <c r="C961" s="7" t="n">
        <v>10000</v>
      </c>
      <c r="D961" s="6" t="n">
        <v>33</v>
      </c>
      <c r="E961" s="6" t="n">
        <v>2</v>
      </c>
      <c r="F961" s="6" t="n">
        <v>2</v>
      </c>
      <c r="G961" s="8" t="n">
        <v>0.7486</v>
      </c>
      <c r="H961" s="8" t="n">
        <v>0.4007</v>
      </c>
      <c r="I961" s="9" t="n">
        <v>0</v>
      </c>
    </row>
    <row r="962">
      <c r="B962" s="6" t="n">
        <v>28598</v>
      </c>
      <c r="C962" s="7" t="n">
        <v>60000</v>
      </c>
      <c r="D962" s="6" t="n">
        <v>46</v>
      </c>
      <c r="E962" s="6" t="n">
        <v>2</v>
      </c>
      <c r="F962" s="6" t="n">
        <v>3</v>
      </c>
      <c r="G962" s="8" t="n">
        <v>0.7338</v>
      </c>
      <c r="H962" s="8" t="n">
        <v>0.0341</v>
      </c>
      <c r="I962" s="10" t="n">
        <v>1</v>
      </c>
    </row>
    <row r="963">
      <c r="B963" s="6" t="n">
        <v>28619</v>
      </c>
      <c r="C963" s="7" t="n">
        <v>270000</v>
      </c>
      <c r="D963" s="6" t="n">
        <v>42</v>
      </c>
      <c r="E963" s="6" t="n">
        <v>-2</v>
      </c>
      <c r="F963" s="6" t="n">
        <v>-2</v>
      </c>
      <c r="G963" s="8" t="n">
        <v>0.0532</v>
      </c>
      <c r="H963" s="8" t="n">
        <v>0.1295</v>
      </c>
      <c r="I963" s="9" t="n">
        <v>0</v>
      </c>
    </row>
    <row r="964">
      <c r="B964" s="6" t="n">
        <v>28631</v>
      </c>
      <c r="C964" s="7" t="n">
        <v>260000</v>
      </c>
      <c r="D964" s="6" t="n">
        <v>35</v>
      </c>
      <c r="E964" s="6" t="n">
        <v>0</v>
      </c>
      <c r="F964" s="6" t="n">
        <v>0</v>
      </c>
      <c r="G964" s="8" t="n">
        <v>0.0357</v>
      </c>
      <c r="H964" s="8" t="n">
        <v>0.2193</v>
      </c>
      <c r="I964" s="9" t="n">
        <v>0</v>
      </c>
    </row>
    <row r="965">
      <c r="B965" s="6" t="n">
        <v>28636</v>
      </c>
      <c r="C965" s="7" t="n">
        <v>100000</v>
      </c>
      <c r="D965" s="6" t="n">
        <v>35</v>
      </c>
      <c r="E965" s="6" t="n">
        <v>2</v>
      </c>
      <c r="F965" s="6" t="n">
        <v>2</v>
      </c>
      <c r="G965" s="8" t="n">
        <v>0.9398</v>
      </c>
      <c r="H965" s="8" t="n">
        <v>0.0585</v>
      </c>
      <c r="I965" s="10" t="n">
        <v>1</v>
      </c>
    </row>
    <row r="966">
      <c r="B966" s="6" t="n">
        <v>28662</v>
      </c>
      <c r="C966" s="7" t="n">
        <v>50000</v>
      </c>
      <c r="D966" s="6" t="n">
        <v>46</v>
      </c>
      <c r="E966" s="6" t="n">
        <v>1</v>
      </c>
      <c r="F966" s="6" t="n">
        <v>3</v>
      </c>
      <c r="G966" s="8" t="n">
        <v>1.0462</v>
      </c>
      <c r="H966" s="8" t="n">
        <v>0</v>
      </c>
      <c r="I966" s="9" t="n">
        <v>0</v>
      </c>
    </row>
    <row r="967">
      <c r="B967" s="6" t="n">
        <v>28721</v>
      </c>
      <c r="C967" s="7" t="n">
        <v>130000</v>
      </c>
      <c r="D967" s="6" t="n">
        <v>41</v>
      </c>
      <c r="E967" s="6" t="n">
        <v>-1</v>
      </c>
      <c r="F967" s="6" t="n">
        <v>0</v>
      </c>
      <c r="G967" s="8" t="n">
        <v>0.0195</v>
      </c>
      <c r="H967" s="8" t="n">
        <v>0.4638</v>
      </c>
      <c r="I967" s="9" t="n">
        <v>0</v>
      </c>
    </row>
    <row r="968">
      <c r="B968" s="6" t="n">
        <v>28722</v>
      </c>
      <c r="C968" s="7" t="n">
        <v>310000</v>
      </c>
      <c r="D968" s="6" t="n">
        <v>44</v>
      </c>
      <c r="E968" s="6" t="n">
        <v>-1</v>
      </c>
      <c r="F968" s="6" t="n">
        <v>0</v>
      </c>
      <c r="G968" s="8" t="n">
        <v>0.2175</v>
      </c>
      <c r="H968" s="8" t="n">
        <v>0.1483</v>
      </c>
      <c r="I968" s="9" t="n">
        <v>0</v>
      </c>
    </row>
    <row r="969">
      <c r="B969" s="6" t="n">
        <v>28783</v>
      </c>
      <c r="C969" s="7" t="n">
        <v>50000</v>
      </c>
      <c r="D969" s="6" t="n">
        <v>32</v>
      </c>
      <c r="E969" s="6" t="n">
        <v>-2</v>
      </c>
      <c r="F969" s="6" t="n">
        <v>-2</v>
      </c>
      <c r="G969" s="8" t="n">
        <v>0</v>
      </c>
      <c r="H969" s="8" t="n">
        <v>0</v>
      </c>
      <c r="I969" s="9" t="n">
        <v>0</v>
      </c>
    </row>
    <row r="970">
      <c r="B970" s="6" t="n">
        <v>28797</v>
      </c>
      <c r="C970" s="7" t="n">
        <v>30000</v>
      </c>
      <c r="D970" s="6" t="n">
        <v>37</v>
      </c>
      <c r="E970" s="6" t="n">
        <v>-1</v>
      </c>
      <c r="F970" s="6" t="n">
        <v>-1</v>
      </c>
      <c r="G970" s="8" t="n">
        <v>0.008800000000000001</v>
      </c>
      <c r="H970" s="8" t="n">
        <v>1</v>
      </c>
      <c r="I970" s="10" t="n">
        <v>1</v>
      </c>
    </row>
    <row r="971">
      <c r="B971" s="6" t="n">
        <v>28801</v>
      </c>
      <c r="C971" s="7" t="n">
        <v>20000</v>
      </c>
      <c r="D971" s="6" t="n">
        <v>46</v>
      </c>
      <c r="E971" s="6" t="n">
        <v>2</v>
      </c>
      <c r="F971" s="6" t="n">
        <v>0</v>
      </c>
      <c r="G971" s="8" t="n">
        <v>0.2718</v>
      </c>
      <c r="H971" s="8" t="n">
        <v>0.2325</v>
      </c>
      <c r="I971" s="10" t="n">
        <v>1</v>
      </c>
    </row>
    <row r="972">
      <c r="B972" s="6" t="n">
        <v>28807</v>
      </c>
      <c r="C972" s="7" t="n">
        <v>390000</v>
      </c>
      <c r="D972" s="6" t="n">
        <v>41</v>
      </c>
      <c r="E972" s="6" t="n">
        <v>-2</v>
      </c>
      <c r="F972" s="6" t="n">
        <v>-2</v>
      </c>
      <c r="G972" s="8" t="n">
        <v>0</v>
      </c>
      <c r="H972" s="8" t="n">
        <v>0</v>
      </c>
      <c r="I972" s="10" t="n">
        <v>1</v>
      </c>
    </row>
    <row r="973">
      <c r="B973" s="6" t="n">
        <v>28904</v>
      </c>
      <c r="C973" s="7" t="n">
        <v>470000</v>
      </c>
      <c r="D973" s="6" t="n">
        <v>45</v>
      </c>
      <c r="E973" s="6" t="n">
        <v>0</v>
      </c>
      <c r="F973" s="6" t="n">
        <v>0</v>
      </c>
      <c r="G973" s="8" t="n">
        <v>0.4531</v>
      </c>
      <c r="H973" s="8" t="n">
        <v>0.1409</v>
      </c>
      <c r="I973" s="9" t="n">
        <v>0</v>
      </c>
    </row>
    <row r="974">
      <c r="B974" s="6" t="n">
        <v>28921</v>
      </c>
      <c r="C974" s="7" t="n">
        <v>360000</v>
      </c>
      <c r="D974" s="6" t="n">
        <v>33</v>
      </c>
      <c r="E974" s="6" t="n">
        <v>1</v>
      </c>
      <c r="F974" s="6" t="n">
        <v>-2</v>
      </c>
      <c r="G974" s="8" t="n">
        <v>0</v>
      </c>
      <c r="H974" s="8" t="n">
        <v>0</v>
      </c>
      <c r="I974" s="10" t="n">
        <v>1</v>
      </c>
    </row>
    <row r="975">
      <c r="B975" s="6" t="n">
        <v>28933</v>
      </c>
      <c r="C975" s="7" t="n">
        <v>80000</v>
      </c>
      <c r="D975" s="6" t="n">
        <v>48</v>
      </c>
      <c r="E975" s="6" t="n">
        <v>-1</v>
      </c>
      <c r="F975" s="6" t="n">
        <v>-1</v>
      </c>
      <c r="G975" s="8" t="n">
        <v>0.005</v>
      </c>
      <c r="H975" s="8" t="n">
        <v>2</v>
      </c>
      <c r="I975" s="10" t="n">
        <v>1</v>
      </c>
    </row>
    <row r="976">
      <c r="B976" s="6" t="n">
        <v>28935</v>
      </c>
      <c r="C976" s="7" t="n">
        <v>50000</v>
      </c>
      <c r="D976" s="6" t="n">
        <v>37</v>
      </c>
      <c r="E976" s="6" t="n">
        <v>0</v>
      </c>
      <c r="F976" s="6" t="n">
        <v>0</v>
      </c>
      <c r="G976" s="8" t="n">
        <v>0.0959</v>
      </c>
      <c r="H976" s="8" t="n">
        <v>0.6259</v>
      </c>
      <c r="I976" s="9" t="n">
        <v>0</v>
      </c>
    </row>
    <row r="977">
      <c r="B977" s="6" t="n">
        <v>28958</v>
      </c>
      <c r="C977" s="7" t="n">
        <v>40000</v>
      </c>
      <c r="D977" s="6" t="n">
        <v>29</v>
      </c>
      <c r="E977" s="6" t="n">
        <v>0</v>
      </c>
      <c r="F977" s="6" t="n">
        <v>0</v>
      </c>
      <c r="G977" s="8" t="n">
        <v>0.8934</v>
      </c>
      <c r="H977" s="8" t="n">
        <v>0.0564</v>
      </c>
      <c r="I977" s="9" t="n">
        <v>0</v>
      </c>
    </row>
    <row r="978">
      <c r="B978" s="6" t="n">
        <v>28988</v>
      </c>
      <c r="C978" s="7" t="n">
        <v>260000</v>
      </c>
      <c r="D978" s="6" t="n">
        <v>41</v>
      </c>
      <c r="E978" s="6" t="n">
        <v>0</v>
      </c>
      <c r="F978" s="6" t="n">
        <v>0</v>
      </c>
      <c r="G978" s="8" t="n">
        <v>0.7518</v>
      </c>
      <c r="H978" s="8" t="n">
        <v>0.043</v>
      </c>
      <c r="I978" s="9" t="n">
        <v>0</v>
      </c>
    </row>
    <row r="979">
      <c r="B979" s="6" t="n">
        <v>28993</v>
      </c>
      <c r="C979" s="7" t="n">
        <v>80000</v>
      </c>
      <c r="D979" s="6" t="n">
        <v>43</v>
      </c>
      <c r="E979" s="6" t="n">
        <v>0</v>
      </c>
      <c r="F979" s="6" t="n">
        <v>0</v>
      </c>
      <c r="G979" s="8" t="n">
        <v>0.8256</v>
      </c>
      <c r="H979" s="8" t="n">
        <v>0.0314</v>
      </c>
      <c r="I979" s="9" t="n">
        <v>0</v>
      </c>
    </row>
    <row r="980">
      <c r="B980" s="6" t="n">
        <v>29020</v>
      </c>
      <c r="C980" s="7" t="n">
        <v>200000</v>
      </c>
      <c r="D980" s="6" t="n">
        <v>40</v>
      </c>
      <c r="E980" s="6" t="n">
        <v>-2</v>
      </c>
      <c r="F980" s="6" t="n">
        <v>-2</v>
      </c>
      <c r="G980" s="8" t="n">
        <v>0</v>
      </c>
      <c r="H980" s="8" t="n">
        <v>0</v>
      </c>
      <c r="I980" s="10" t="n">
        <v>1</v>
      </c>
    </row>
    <row r="981">
      <c r="B981" s="6" t="n">
        <v>29028</v>
      </c>
      <c r="C981" s="7" t="n">
        <v>210000</v>
      </c>
      <c r="D981" s="6" t="n">
        <v>41</v>
      </c>
      <c r="E981" s="6" t="n">
        <v>-1</v>
      </c>
      <c r="F981" s="6" t="n">
        <v>-1</v>
      </c>
      <c r="G981" s="8" t="n">
        <v>0.0009</v>
      </c>
      <c r="H981" s="8" t="n">
        <v>2</v>
      </c>
      <c r="I981" s="10" t="n">
        <v>1</v>
      </c>
    </row>
    <row r="982">
      <c r="B982" s="6" t="n">
        <v>29115</v>
      </c>
      <c r="C982" s="7" t="n">
        <v>300000</v>
      </c>
      <c r="D982" s="6" t="n">
        <v>50</v>
      </c>
      <c r="E982" s="6" t="n">
        <v>-2</v>
      </c>
      <c r="F982" s="6" t="n">
        <v>-2</v>
      </c>
      <c r="G982" s="8" t="n">
        <v>0</v>
      </c>
      <c r="H982" s="8" t="n">
        <v>0</v>
      </c>
      <c r="I982" s="10" t="n">
        <v>1</v>
      </c>
    </row>
    <row r="983">
      <c r="B983" s="6" t="n">
        <v>29120</v>
      </c>
      <c r="C983" s="7" t="n">
        <v>200000</v>
      </c>
      <c r="D983" s="6" t="n">
        <v>50</v>
      </c>
      <c r="E983" s="6" t="n">
        <v>-1</v>
      </c>
      <c r="F983" s="6" t="n">
        <v>2</v>
      </c>
      <c r="G983" s="8" t="n">
        <v>0.0104</v>
      </c>
      <c r="H983" s="8" t="n">
        <v>1.2077</v>
      </c>
      <c r="I983" s="9" t="n">
        <v>0</v>
      </c>
    </row>
    <row r="984">
      <c r="B984" s="6" t="n">
        <v>29121</v>
      </c>
      <c r="C984" s="7" t="n">
        <v>400000</v>
      </c>
      <c r="D984" s="6" t="n">
        <v>50</v>
      </c>
      <c r="E984" s="6" t="n">
        <v>-1</v>
      </c>
      <c r="F984" s="6" t="n">
        <v>-1</v>
      </c>
      <c r="G984" s="8" t="n">
        <v>0.04</v>
      </c>
      <c r="H984" s="8" t="n">
        <v>0.2727</v>
      </c>
      <c r="I984" s="9" t="n">
        <v>0</v>
      </c>
    </row>
    <row r="985">
      <c r="B985" s="6" t="n">
        <v>29191</v>
      </c>
      <c r="C985" s="7" t="n">
        <v>60000</v>
      </c>
      <c r="D985" s="6" t="n">
        <v>24</v>
      </c>
      <c r="E985" s="6" t="n">
        <v>0</v>
      </c>
      <c r="F985" s="6" t="n">
        <v>0</v>
      </c>
      <c r="G985" s="8" t="n">
        <v>0.2842</v>
      </c>
      <c r="H985" s="8" t="n">
        <v>0.09379999999999999</v>
      </c>
      <c r="I985" s="9" t="n">
        <v>0</v>
      </c>
    </row>
    <row r="986">
      <c r="B986" s="6" t="n">
        <v>29207</v>
      </c>
      <c r="C986" s="7" t="n">
        <v>50000</v>
      </c>
      <c r="D986" s="6" t="n">
        <v>23</v>
      </c>
      <c r="E986" s="6" t="n">
        <v>0</v>
      </c>
      <c r="F986" s="6" t="n">
        <v>0</v>
      </c>
      <c r="G986" s="8" t="n">
        <v>0.223</v>
      </c>
      <c r="H986" s="8" t="n">
        <v>0.2691</v>
      </c>
      <c r="I986" s="9" t="n">
        <v>0</v>
      </c>
    </row>
    <row r="987">
      <c r="B987" s="6" t="n">
        <v>29259</v>
      </c>
      <c r="C987" s="7" t="n">
        <v>70000</v>
      </c>
      <c r="D987" s="6" t="n">
        <v>24</v>
      </c>
      <c r="E987" s="6" t="n">
        <v>1</v>
      </c>
      <c r="F987" s="6" t="n">
        <v>2</v>
      </c>
      <c r="G987" s="8" t="n">
        <v>0.4648</v>
      </c>
      <c r="H987" s="8" t="n">
        <v>0</v>
      </c>
      <c r="I987" s="9" t="n">
        <v>0</v>
      </c>
    </row>
    <row r="988">
      <c r="B988" s="6" t="n">
        <v>29319</v>
      </c>
      <c r="C988" s="7" t="n">
        <v>100000</v>
      </c>
      <c r="D988" s="6" t="n">
        <v>28</v>
      </c>
      <c r="E988" s="6" t="n">
        <v>0</v>
      </c>
      <c r="F988" s="6" t="n">
        <v>0</v>
      </c>
      <c r="G988" s="8" t="n">
        <v>1.8885</v>
      </c>
      <c r="H988" s="8" t="n">
        <v>0.0265</v>
      </c>
      <c r="I988" s="9" t="n">
        <v>0</v>
      </c>
    </row>
    <row r="989">
      <c r="B989" s="6" t="n">
        <v>29399</v>
      </c>
      <c r="C989" s="7" t="n">
        <v>70000</v>
      </c>
      <c r="D989" s="6" t="n">
        <v>29</v>
      </c>
      <c r="E989" s="6" t="n">
        <v>0</v>
      </c>
      <c r="F989" s="6" t="n">
        <v>0</v>
      </c>
      <c r="G989" s="8" t="n">
        <v>0.8254</v>
      </c>
      <c r="H989" s="8" t="n">
        <v>0.0381</v>
      </c>
      <c r="I989" s="9" t="n">
        <v>0</v>
      </c>
    </row>
    <row r="990">
      <c r="B990" s="6" t="n">
        <v>29413</v>
      </c>
      <c r="C990" s="7" t="n">
        <v>130000</v>
      </c>
      <c r="D990" s="6" t="n">
        <v>29</v>
      </c>
      <c r="E990" s="6" t="n">
        <v>1</v>
      </c>
      <c r="F990" s="6" t="n">
        <v>2</v>
      </c>
      <c r="G990" s="8" t="n">
        <v>0.9133</v>
      </c>
      <c r="H990" s="8" t="n">
        <v>0.0253</v>
      </c>
      <c r="I990" s="9" t="n">
        <v>0</v>
      </c>
    </row>
    <row r="991">
      <c r="B991" s="6" t="n">
        <v>29481</v>
      </c>
      <c r="C991" s="7" t="n">
        <v>20000</v>
      </c>
      <c r="D991" s="6" t="n">
        <v>32</v>
      </c>
      <c r="E991" s="6" t="n">
        <v>0</v>
      </c>
      <c r="F991" s="6" t="n">
        <v>0</v>
      </c>
      <c r="G991" s="8" t="n">
        <v>0.8177</v>
      </c>
      <c r="H991" s="8" t="n">
        <v>0.104</v>
      </c>
      <c r="I991" s="9" t="n">
        <v>0</v>
      </c>
    </row>
    <row r="992">
      <c r="B992" s="6" t="n">
        <v>29492</v>
      </c>
      <c r="C992" s="7" t="n">
        <v>320000</v>
      </c>
      <c r="D992" s="6" t="n">
        <v>31</v>
      </c>
      <c r="E992" s="6" t="n">
        <v>1</v>
      </c>
      <c r="F992" s="6" t="n">
        <v>-2</v>
      </c>
      <c r="G992" s="8" t="n">
        <v>0</v>
      </c>
      <c r="H992" s="8" t="n">
        <v>0</v>
      </c>
      <c r="I992" s="10" t="n">
        <v>1</v>
      </c>
    </row>
    <row r="993">
      <c r="B993" s="6" t="n">
        <v>29514</v>
      </c>
      <c r="C993" s="7" t="n">
        <v>30000</v>
      </c>
      <c r="D993" s="6" t="n">
        <v>32</v>
      </c>
      <c r="E993" s="6" t="n">
        <v>0</v>
      </c>
      <c r="F993" s="6" t="n">
        <v>0</v>
      </c>
      <c r="G993" s="8" t="n">
        <v>0.8914</v>
      </c>
      <c r="H993" s="8" t="n">
        <v>0.1047</v>
      </c>
      <c r="I993" s="9" t="n">
        <v>0</v>
      </c>
    </row>
    <row r="994">
      <c r="B994" s="6" t="n">
        <v>29599</v>
      </c>
      <c r="C994" s="7" t="n">
        <v>70000</v>
      </c>
      <c r="D994" s="6" t="n">
        <v>39</v>
      </c>
      <c r="E994" s="6" t="n">
        <v>0</v>
      </c>
      <c r="F994" s="6" t="n">
        <v>0</v>
      </c>
      <c r="G994" s="8" t="n">
        <v>1.0151</v>
      </c>
      <c r="H994" s="8" t="n">
        <v>0.0704</v>
      </c>
      <c r="I994" s="10" t="n">
        <v>1</v>
      </c>
    </row>
    <row r="995">
      <c r="B995" s="6" t="n">
        <v>29653</v>
      </c>
      <c r="C995" s="7" t="n">
        <v>210000</v>
      </c>
      <c r="D995" s="6" t="n">
        <v>48</v>
      </c>
      <c r="E995" s="6" t="n">
        <v>0</v>
      </c>
      <c r="F995" s="6" t="n">
        <v>0</v>
      </c>
      <c r="G995" s="8" t="n">
        <v>0.4053</v>
      </c>
      <c r="H995" s="8" t="n">
        <v>0.3955</v>
      </c>
      <c r="I995" s="9" t="n">
        <v>0</v>
      </c>
    </row>
    <row r="996">
      <c r="B996" s="6" t="n">
        <v>29662</v>
      </c>
      <c r="C996" s="7" t="n">
        <v>500000</v>
      </c>
      <c r="D996" s="6" t="n">
        <v>37</v>
      </c>
      <c r="E996" s="6" t="n">
        <v>-1</v>
      </c>
      <c r="F996" s="6" t="n">
        <v>-1</v>
      </c>
      <c r="G996" s="8" t="n">
        <v>0.0296</v>
      </c>
      <c r="H996" s="8" t="n">
        <v>0.2635</v>
      </c>
      <c r="I996" s="9" t="n">
        <v>0</v>
      </c>
    </row>
    <row r="997">
      <c r="B997" s="6" t="n">
        <v>29684</v>
      </c>
      <c r="C997" s="7" t="n">
        <v>230000</v>
      </c>
      <c r="D997" s="6" t="n">
        <v>31</v>
      </c>
      <c r="E997" s="6" t="n">
        <v>-2</v>
      </c>
      <c r="F997" s="6" t="n">
        <v>-2</v>
      </c>
      <c r="G997" s="8" t="n">
        <v>0</v>
      </c>
      <c r="H997" s="8" t="n">
        <v>0</v>
      </c>
      <c r="I997" s="9" t="n">
        <v>0</v>
      </c>
    </row>
    <row r="998">
      <c r="B998" s="6" t="n">
        <v>29696</v>
      </c>
      <c r="C998" s="7" t="n">
        <v>300000</v>
      </c>
      <c r="D998" s="6" t="n">
        <v>44</v>
      </c>
      <c r="E998" s="6" t="n">
        <v>0</v>
      </c>
      <c r="F998" s="6" t="n">
        <v>0</v>
      </c>
      <c r="G998" s="8" t="n">
        <v>0.744</v>
      </c>
      <c r="H998" s="8" t="n">
        <v>0.0941</v>
      </c>
      <c r="I998" s="9" t="n">
        <v>0</v>
      </c>
    </row>
    <row r="999">
      <c r="B999" s="6" t="n">
        <v>29717</v>
      </c>
      <c r="C999" s="7" t="n">
        <v>50000</v>
      </c>
      <c r="D999" s="6" t="n">
        <v>47</v>
      </c>
      <c r="E999" s="6" t="n">
        <v>2</v>
      </c>
      <c r="F999" s="6" t="n">
        <v>2</v>
      </c>
      <c r="G999" s="8" t="n">
        <v>0.7978</v>
      </c>
      <c r="H999" s="8" t="n">
        <v>0.0902</v>
      </c>
      <c r="I999" s="10" t="n">
        <v>1</v>
      </c>
    </row>
    <row r="1000">
      <c r="B1000" s="6" t="n">
        <v>29718</v>
      </c>
      <c r="C1000" s="7" t="n">
        <v>50000</v>
      </c>
      <c r="D1000" s="6" t="n">
        <v>40</v>
      </c>
      <c r="E1000" s="6" t="n">
        <v>0</v>
      </c>
      <c r="F1000" s="6" t="n">
        <v>0</v>
      </c>
      <c r="G1000" s="8" t="n">
        <v>0.9237</v>
      </c>
      <c r="H1000" s="8" t="n">
        <v>0.065</v>
      </c>
      <c r="I1000" s="10" t="n">
        <v>1</v>
      </c>
    </row>
    <row r="1001">
      <c r="B1001" s="6" t="n">
        <v>29758</v>
      </c>
      <c r="C1001" s="7" t="n">
        <v>50000</v>
      </c>
      <c r="D1001" s="6" t="n">
        <v>30</v>
      </c>
      <c r="E1001" s="6" t="n">
        <v>0</v>
      </c>
      <c r="F1001" s="6" t="n">
        <v>0</v>
      </c>
      <c r="G1001" s="8" t="n">
        <v>0.9372</v>
      </c>
      <c r="H1001" s="8" t="n">
        <v>0.0534</v>
      </c>
      <c r="I1001" s="9" t="n">
        <v>0</v>
      </c>
    </row>
    <row r="1002">
      <c r="B1002" s="6" t="n">
        <v>29789</v>
      </c>
      <c r="C1002" s="7" t="n">
        <v>140000</v>
      </c>
      <c r="D1002" s="6" t="n">
        <v>41</v>
      </c>
      <c r="E1002" s="6" t="n">
        <v>-1</v>
      </c>
      <c r="F1002" s="6" t="n">
        <v>-1</v>
      </c>
      <c r="G1002" s="8" t="n">
        <v>0.0105</v>
      </c>
      <c r="H1002" s="8" t="n">
        <v>1.4492</v>
      </c>
      <c r="I1002" s="9" t="n">
        <v>0</v>
      </c>
    </row>
    <row r="1003">
      <c r="B1003" s="6" t="n">
        <v>29803</v>
      </c>
      <c r="C1003" s="7" t="n">
        <v>50000</v>
      </c>
      <c r="D1003" s="6" t="n">
        <v>32</v>
      </c>
      <c r="E1003" s="6" t="n">
        <v>0</v>
      </c>
      <c r="F1003" s="6" t="n">
        <v>0</v>
      </c>
      <c r="G1003" s="8" t="n">
        <v>1.0495</v>
      </c>
      <c r="H1003" s="8" t="n">
        <v>0.0381</v>
      </c>
      <c r="I1003" s="9" t="n">
        <v>0</v>
      </c>
    </row>
    <row r="1004">
      <c r="B1004" s="6" t="n">
        <v>29839</v>
      </c>
      <c r="C1004" s="7" t="n">
        <v>190000</v>
      </c>
      <c r="D1004" s="6" t="n">
        <v>43</v>
      </c>
      <c r="E1004" s="6" t="n">
        <v>0</v>
      </c>
      <c r="F1004" s="6" t="n">
        <v>0</v>
      </c>
      <c r="G1004" s="8" t="n">
        <v>0.4389</v>
      </c>
      <c r="H1004" s="8" t="n">
        <v>0.048</v>
      </c>
      <c r="I1004" s="10" t="n">
        <v>1</v>
      </c>
    </row>
    <row r="1005">
      <c r="B1005" s="6" t="n">
        <v>29841</v>
      </c>
      <c r="C1005" s="7" t="n">
        <v>320000</v>
      </c>
      <c r="D1005" s="6" t="n">
        <v>48</v>
      </c>
      <c r="E1005" s="6" t="n">
        <v>2</v>
      </c>
      <c r="F1005" s="6" t="n">
        <v>2</v>
      </c>
      <c r="G1005" s="8" t="n">
        <v>0.646</v>
      </c>
      <c r="H1005" s="8" t="n">
        <v>0</v>
      </c>
      <c r="I1005" s="10" t="n">
        <v>1</v>
      </c>
    </row>
    <row r="1006">
      <c r="B1006" s="6" t="n">
        <v>29842</v>
      </c>
      <c r="C1006" s="7" t="n">
        <v>320000</v>
      </c>
      <c r="D1006" s="6" t="n">
        <v>47</v>
      </c>
      <c r="E1006" s="6" t="n">
        <v>0</v>
      </c>
      <c r="F1006" s="6" t="n">
        <v>0</v>
      </c>
      <c r="G1006" s="8" t="n">
        <v>0.5084</v>
      </c>
      <c r="H1006" s="8" t="n">
        <v>0.1229</v>
      </c>
      <c r="I1006" s="9" t="n">
        <v>0</v>
      </c>
    </row>
    <row r="1007">
      <c r="B1007" s="6" t="n">
        <v>29887</v>
      </c>
      <c r="C1007" s="7" t="n">
        <v>630000</v>
      </c>
      <c r="D1007" s="6" t="n">
        <v>46</v>
      </c>
      <c r="E1007" s="6" t="n">
        <v>0</v>
      </c>
      <c r="F1007" s="6" t="n">
        <v>0</v>
      </c>
      <c r="G1007" s="8" t="n">
        <v>0.2</v>
      </c>
      <c r="H1007" s="8" t="n">
        <v>0.0271</v>
      </c>
      <c r="I1007" s="9" t="n">
        <v>0</v>
      </c>
    </row>
    <row r="1008">
      <c r="B1008" s="6" t="n">
        <v>29959</v>
      </c>
      <c r="C1008" s="7" t="n">
        <v>230000</v>
      </c>
      <c r="D1008" s="6" t="n">
        <v>31</v>
      </c>
      <c r="E1008" s="6" t="n">
        <v>0</v>
      </c>
      <c r="F1008" s="6" t="n">
        <v>-1</v>
      </c>
      <c r="G1008" s="8" t="n">
        <v>0.0185</v>
      </c>
      <c r="H1008" s="8" t="n">
        <v>0.2347</v>
      </c>
      <c r="I1008" s="9" t="n">
        <v>0</v>
      </c>
    </row>
    <row r="1009">
      <c r="B1009" s="6" t="n">
        <v>29965</v>
      </c>
      <c r="C1009" s="7" t="n">
        <v>360000</v>
      </c>
      <c r="D1009" s="6" t="n">
        <v>31</v>
      </c>
      <c r="E1009" s="6" t="n">
        <v>-1</v>
      </c>
      <c r="F1009" s="6" t="n">
        <v>-1</v>
      </c>
      <c r="G1009" s="8" t="n">
        <v>0.002</v>
      </c>
      <c r="H1009" s="8" t="n">
        <v>0.0694</v>
      </c>
      <c r="I1009" s="9" t="n">
        <v>0</v>
      </c>
    </row>
    <row r="1010">
      <c r="B1010" s="6" t="n">
        <v>29977</v>
      </c>
      <c r="C1010" s="7" t="n">
        <v>40000</v>
      </c>
      <c r="D1010" s="6" t="n">
        <v>47</v>
      </c>
      <c r="E1010" s="6" t="n">
        <v>2</v>
      </c>
      <c r="F1010" s="6" t="n">
        <v>2</v>
      </c>
      <c r="G1010" s="8" t="n">
        <v>1.309</v>
      </c>
      <c r="H1010" s="8" t="n">
        <v>0.0764</v>
      </c>
      <c r="I1010" s="10" t="n">
        <v>1</v>
      </c>
    </row>
    <row r="1011">
      <c r="B1011" s="6" t="n">
        <v>29978</v>
      </c>
      <c r="C1011" s="7" t="n">
        <v>420000</v>
      </c>
      <c r="D1011" s="6" t="n">
        <v>34</v>
      </c>
      <c r="E1011" s="6" t="n">
        <v>0</v>
      </c>
      <c r="F1011" s="6" t="n">
        <v>0</v>
      </c>
      <c r="G1011" s="8" t="n">
        <v>0.3141</v>
      </c>
      <c r="H1011" s="8" t="n">
        <v>0.0531</v>
      </c>
      <c r="I1011" s="9" t="n">
        <v>0</v>
      </c>
    </row>
  </sheetData>
  <mergeCells count="4">
    <mergeCell ref="B3:I3"/>
    <mergeCell ref="B5:I8"/>
    <mergeCell ref="B2:I2"/>
    <mergeCell ref="B4:I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P1022"/>
  <sheetViews>
    <sheetView showGridLines="0" workbookViewId="0">
      <pane xSplit="1" ySplit="22" topLeftCell="B23" activePane="bottomRight" state="frozen"/>
      <selection pane="topRight"/>
      <selection pane="bottomLeft"/>
      <selection pane="bottomRight" activeCell="A1" sqref="A1"/>
    </sheetView>
  </sheetViews>
  <sheetFormatPr baseColWidth="8" defaultRowHeight="15"/>
  <cols>
    <col width="9" customWidth="1" min="2" max="2"/>
    <col width="14" customWidth="1" min="3" max="3"/>
    <col width="18" customWidth="1" min="4" max="4"/>
    <col width="15" customWidth="1" min="5" max="5"/>
    <col width="9" customWidth="1" min="6" max="6"/>
    <col width="16" customWidth="1" min="7" max="7"/>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2" ht="28" customHeight="1">
      <c r="B2" s="1" t="inlineStr">
        <is>
          <t>Model 1 — Logistic regression</t>
        </is>
      </c>
    </row>
    <row r="3">
      <c r="B3" s="2" t="inlineStr">
        <is>
          <t>One weight per variable. Multiply, add, then squash the total into a probability.</t>
        </is>
      </c>
    </row>
    <row r="4" ht="4" customHeight="1">
      <c r="B4" s="3" t="inlineStr"/>
    </row>
    <row r="5" ht="15" customHeight="1">
      <c r="B5" s="4" t="inlineStr">
        <is>
          <t>Every PD in column D below is computed by an Excel formula from the coefficients in the table above it. Change a coefficient and all 1,000 probabilities move. This is the whole point of a logistic regression: the model fits on one line and anyone can recompute it.
The coefficients were fitted in scikit-learn on standardised variables and then converted back to the raw scale, so they apply directly to the numbers on sheet 1. The conversion was checked against scikit-learn's own predictions and matches to nine decimal places.</t>
        </is>
      </c>
    </row>
    <row r="6" ht="15" customHeight="1"/>
    <row r="7" ht="15" customHeight="1"/>
    <row r="8" ht="15" customHeight="1"/>
    <row r="11" ht="22" customHeight="1">
      <c r="B11" s="11" t="inlineStr">
        <is>
          <t>Variable</t>
        </is>
      </c>
      <c r="C11" s="11" t="inlineStr">
        <is>
          <t>Coefficient</t>
        </is>
      </c>
      <c r="D11" s="11" t="inlineStr">
        <is>
          <t>What it means</t>
        </is>
      </c>
      <c r="I11" s="12" t="inlineStr">
        <is>
          <t xml:space="preserve">   THE FORMULA, WRITTEN OUT</t>
        </is>
      </c>
    </row>
    <row r="12" ht="22" customHeight="1">
      <c r="B12" s="13" t="inlineStr">
        <is>
          <t>Intercept</t>
        </is>
      </c>
      <c r="C12" s="14" t="n">
        <v>-1.222070386334053</v>
      </c>
      <c r="D12" s="15" t="inlineStr">
        <is>
          <t>The starting point before any variable is read.</t>
        </is>
      </c>
      <c r="I12" s="16" t="inlineStr">
        <is>
          <t>SCORE  =  b0  +  b1×LIMIT_BAL  +  b2×AGE  +  b3×PAY_0  +  b4×PAY_2  +  b5×UTILISATION  +  b6×PAY_RATIO
                    1
PD  =  ──────────────────────           so a score of 0 gives PD 50%, a score of −2 gives PD 12%, a score of +2 gives PD 88%.
            1  +  e^(−SCORE)</t>
        </is>
      </c>
    </row>
    <row r="13" ht="22" customHeight="1">
      <c r="B13" s="13" t="inlineStr">
        <is>
          <t>LIMIT_BAL</t>
        </is>
      </c>
      <c r="C13" s="14" t="n">
        <v>-2.208773678559736e-06</v>
      </c>
      <c r="D13" s="15" t="inlineStr">
        <is>
          <t>A bigger credit limit lowers the score, so it lowers the PD.</t>
        </is>
      </c>
    </row>
    <row r="14" ht="22" customHeight="1">
      <c r="B14" s="13" t="inlineStr">
        <is>
          <t>AGE</t>
        </is>
      </c>
      <c r="C14" s="14" t="n">
        <v>0.008605049685320568</v>
      </c>
      <c r="D14" s="15" t="inlineStr">
        <is>
          <t>Age moves the score only slightly.</t>
        </is>
      </c>
    </row>
    <row r="15">
      <c r="B15" s="13" t="inlineStr">
        <is>
          <t>PAY_0</t>
        </is>
      </c>
      <c r="C15" s="14" t="n">
        <v>0.6377581529799852</v>
      </c>
      <c r="D15" s="15" t="inlineStr">
        <is>
          <t>Last month's delay is the strongest single driver.</t>
        </is>
      </c>
    </row>
    <row r="16" ht="22" customHeight="1">
      <c r="B16" s="13" t="inlineStr">
        <is>
          <t>PAY_2</t>
        </is>
      </c>
      <c r="C16" s="14" t="n">
        <v>0.2007911624470977</v>
      </c>
      <c r="D16" s="15" t="inlineStr">
        <is>
          <t>The delay two months ago adds to it.</t>
        </is>
      </c>
      <c r="I16" s="12" t="inlineStr">
        <is>
          <t xml:space="preserve">   WORKED EXAMPLE — the customer on row 23, term by term</t>
        </is>
      </c>
    </row>
    <row r="17" ht="26" customHeight="1">
      <c r="B17" s="13" t="inlineStr">
        <is>
          <t>UTILISATION</t>
        </is>
      </c>
      <c r="C17" s="14" t="n">
        <v>-0.42280900852627</v>
      </c>
      <c r="D17" s="15" t="inlineStr">
        <is>
          <t>Using more of the limit raises the PD.</t>
        </is>
      </c>
      <c r="I17" s="5" t="inlineStr">
        <is>
          <t>Term</t>
        </is>
      </c>
      <c r="J17" s="5" t="inlineStr">
        <is>
          <t>Value from sheet 1</t>
        </is>
      </c>
      <c r="K17" s="5" t="inlineStr">
        <is>
          <t>× Coefficient</t>
        </is>
      </c>
      <c r="L17" s="5" t="inlineStr">
        <is>
          <t>→ Contribution to the score</t>
        </is>
      </c>
    </row>
    <row r="18">
      <c r="B18" s="13" t="inlineStr">
        <is>
          <t>PAY_RATIO</t>
        </is>
      </c>
      <c r="C18" s="14" t="n">
        <v>0.2035988790651683</v>
      </c>
      <c r="D18" s="15" t="inlineStr">
        <is>
          <t>Paying down more of the bill lowers the PD.</t>
        </is>
      </c>
      <c r="I18" s="13" t="inlineStr">
        <is>
          <t>Intercept</t>
        </is>
      </c>
      <c r="J18" s="17" t="inlineStr">
        <is>
          <t>—</t>
        </is>
      </c>
      <c r="K18" s="18">
        <f>$C$12</f>
        <v/>
      </c>
      <c r="L18" s="19">
        <f>$C$12</f>
        <v/>
      </c>
    </row>
    <row r="19">
      <c r="I19" s="20" t="inlineStr">
        <is>
          <t>LIMIT_BAL</t>
        </is>
      </c>
      <c r="J19" s="21">
        <f>'1 Data'!C12</f>
        <v/>
      </c>
      <c r="K19" s="22">
        <f>$C$13</f>
        <v/>
      </c>
      <c r="L19" s="23">
        <f>J19*K19</f>
        <v/>
      </c>
    </row>
    <row r="20">
      <c r="B20" s="24" t="inlineStr">
        <is>
          <t>SCORE  =  intercept + (each variable × its coefficient).      PD  =  1 / (1 + EXP(−SCORE)).</t>
        </is>
      </c>
      <c r="C20" s="25" t="n"/>
      <c r="D20" s="25" t="n"/>
      <c r="E20" s="25" t="n"/>
      <c r="F20" s="25" t="n"/>
      <c r="G20" s="26" t="n"/>
      <c r="I20" s="20" t="inlineStr">
        <is>
          <t>AGE</t>
        </is>
      </c>
      <c r="J20" s="21">
        <f>'1 Data'!D12</f>
        <v/>
      </c>
      <c r="K20" s="22">
        <f>$C$14</f>
        <v/>
      </c>
      <c r="L20" s="23">
        <f>J20*K20</f>
        <v/>
      </c>
    </row>
    <row r="21">
      <c r="I21" s="20" t="inlineStr">
        <is>
          <t>PAY_0</t>
        </is>
      </c>
      <c r="J21" s="21">
        <f>'1 Data'!E12</f>
        <v/>
      </c>
      <c r="K21" s="22">
        <f>$C$15</f>
        <v/>
      </c>
      <c r="L21" s="23">
        <f>J21*K21</f>
        <v/>
      </c>
    </row>
    <row r="22" ht="28" customHeight="1">
      <c r="B22" s="5" t="inlineStr">
        <is>
          <t>ID</t>
        </is>
      </c>
      <c r="C22" s="5" t="inlineStr">
        <is>
          <t>Score</t>
        </is>
      </c>
      <c r="D22" s="5" t="inlineStr">
        <is>
          <t>PD  (probability of default)</t>
        </is>
      </c>
      <c r="E22" s="5" t="inlineStr">
        <is>
          <t>Actually defaulted?</t>
        </is>
      </c>
      <c r="F22" s="5" t="inlineStr">
        <is>
          <t>Rank</t>
        </is>
      </c>
      <c r="G22" s="5" t="inlineStr">
        <is>
          <t>Mid-rank  (used by the live AUC)</t>
        </is>
      </c>
      <c r="I22" s="20" t="inlineStr">
        <is>
          <t>PAY_2</t>
        </is>
      </c>
      <c r="J22" s="21">
        <f>'1 Data'!F12</f>
        <v/>
      </c>
      <c r="K22" s="22">
        <f>$C$16</f>
        <v/>
      </c>
      <c r="L22" s="23">
        <f>J22*K22</f>
        <v/>
      </c>
    </row>
    <row r="23">
      <c r="B23" s="27">
        <f>'1 Data'!B12</f>
        <v/>
      </c>
      <c r="C23" s="28">
        <f>$C$12 + '1 Data'!C12*$C$13 + '1 Data'!D12*$C$14 + '1 Data'!E12*$C$15 + '1 Data'!F12*$C$16 + '1 Data'!G12*$C$17 + '1 Data'!H12*$C$18</f>
        <v/>
      </c>
      <c r="D23" s="23">
        <f>1/(1+EXP(-C23))</f>
        <v/>
      </c>
      <c r="E23" s="27">
        <f>'1 Data'!I12</f>
        <v/>
      </c>
      <c r="F23" s="29">
        <f>RANK(D23,$D$23:$D$1022)</f>
        <v/>
      </c>
      <c r="G23" s="30">
        <f>COUNTIF($D$23:$D$1022,"&lt;"&amp;D23)+(COUNTIF($D$23:$D$1022,"="&amp;D23)+1)/2</f>
        <v/>
      </c>
      <c r="I23" s="20" t="inlineStr">
        <is>
          <t>UTILISATION</t>
        </is>
      </c>
      <c r="J23" s="21">
        <f>'1 Data'!G12</f>
        <v/>
      </c>
      <c r="K23" s="22">
        <f>$C$17</f>
        <v/>
      </c>
      <c r="L23" s="23">
        <f>J23*K23</f>
        <v/>
      </c>
    </row>
    <row r="24">
      <c r="B24" s="27">
        <f>'1 Data'!B13</f>
        <v/>
      </c>
      <c r="C24" s="28">
        <f>$C$12 + '1 Data'!C13*$C$13 + '1 Data'!D13*$C$14 + '1 Data'!E13*$C$15 + '1 Data'!F13*$C$16 + '1 Data'!G13*$C$17 + '1 Data'!H13*$C$18</f>
        <v/>
      </c>
      <c r="D24" s="23">
        <f>1/(1+EXP(-C24))</f>
        <v/>
      </c>
      <c r="E24" s="27">
        <f>'1 Data'!I13</f>
        <v/>
      </c>
      <c r="F24" s="29">
        <f>RANK(D24,$D$23:$D$1022)</f>
        <v/>
      </c>
      <c r="G24" s="30">
        <f>COUNTIF($D$23:$D$1022,"&lt;"&amp;D24)+(COUNTIF($D$23:$D$1022,"="&amp;D24)+1)/2</f>
        <v/>
      </c>
      <c r="I24" s="20" t="inlineStr">
        <is>
          <t>PAY_RATIO</t>
        </is>
      </c>
      <c r="J24" s="21">
        <f>'1 Data'!H12</f>
        <v/>
      </c>
      <c r="K24" s="22">
        <f>$C$18</f>
        <v/>
      </c>
      <c r="L24" s="23">
        <f>J24*K24</f>
        <v/>
      </c>
    </row>
    <row r="25">
      <c r="B25" s="27">
        <f>'1 Data'!B14</f>
        <v/>
      </c>
      <c r="C25" s="28">
        <f>$C$12 + '1 Data'!C14*$C$13 + '1 Data'!D14*$C$14 + '1 Data'!E14*$C$15 + '1 Data'!F14*$C$16 + '1 Data'!G14*$C$17 + '1 Data'!H14*$C$18</f>
        <v/>
      </c>
      <c r="D25" s="23">
        <f>1/(1+EXP(-C25))</f>
        <v/>
      </c>
      <c r="E25" s="27">
        <f>'1 Data'!I14</f>
        <v/>
      </c>
      <c r="F25" s="29">
        <f>RANK(D25,$D$23:$D$1022)</f>
        <v/>
      </c>
      <c r="G25" s="30">
        <f>COUNTIF($D$23:$D$1022,"&lt;"&amp;D25)+(COUNTIF($D$23:$D$1022,"="&amp;D25)+1)/2</f>
        <v/>
      </c>
      <c r="I25" s="31" t="inlineStr">
        <is>
          <t>SCORE  (add the column)</t>
        </is>
      </c>
      <c r="J25" s="25" t="n"/>
      <c r="K25" s="26" t="n"/>
      <c r="L25" s="32">
        <f>SUM(L18:L24)</f>
        <v/>
      </c>
    </row>
    <row r="26">
      <c r="B26" s="27">
        <f>'1 Data'!B15</f>
        <v/>
      </c>
      <c r="C26" s="28">
        <f>$C$12 + '1 Data'!C15*$C$13 + '1 Data'!D15*$C$14 + '1 Data'!E15*$C$15 + '1 Data'!F15*$C$16 + '1 Data'!G15*$C$17 + '1 Data'!H15*$C$18</f>
        <v/>
      </c>
      <c r="D26" s="23">
        <f>1/(1+EXP(-C26))</f>
        <v/>
      </c>
      <c r="E26" s="27">
        <f>'1 Data'!I15</f>
        <v/>
      </c>
      <c r="F26" s="29">
        <f>RANK(D26,$D$23:$D$1022)</f>
        <v/>
      </c>
      <c r="G26" s="30">
        <f>COUNTIF($D$23:$D$1022,"&lt;"&amp;D26)+(COUNTIF($D$23:$D$1022,"="&amp;D26)+1)/2</f>
        <v/>
      </c>
      <c r="I26" s="31" t="inlineStr">
        <is>
          <t>PD  =  1 / (1 + EXP(−SCORE))</t>
        </is>
      </c>
      <c r="J26" s="25" t="n"/>
      <c r="K26" s="26" t="n"/>
      <c r="L26" s="32">
        <f>1/(1+EXP(-L25))</f>
        <v/>
      </c>
    </row>
    <row r="27">
      <c r="B27" s="27">
        <f>'1 Data'!B16</f>
        <v/>
      </c>
      <c r="C27" s="28">
        <f>$C$12 + '1 Data'!C16*$C$13 + '1 Data'!D16*$C$14 + '1 Data'!E16*$C$15 + '1 Data'!F16*$C$16 + '1 Data'!G16*$C$17 + '1 Data'!H16*$C$18</f>
        <v/>
      </c>
      <c r="D27" s="23">
        <f>1/(1+EXP(-C27))</f>
        <v/>
      </c>
      <c r="E27" s="27">
        <f>'1 Data'!I16</f>
        <v/>
      </c>
      <c r="F27" s="29">
        <f>RANK(D27,$D$23:$D$1022)</f>
        <v/>
      </c>
      <c r="G27" s="30">
        <f>COUNTIF($D$23:$D$1022,"&lt;"&amp;D27)+(COUNTIF($D$23:$D$1022,"="&amp;D27)+1)/2</f>
        <v/>
      </c>
      <c r="I27" s="33">
        <f>IF(ABS(L26-D23)&lt;0.0000001,"This matches cell D23 exactly, as it must.","MISMATCH — something is wrong")</f>
        <v/>
      </c>
    </row>
    <row r="28">
      <c r="B28" s="27">
        <f>'1 Data'!B17</f>
        <v/>
      </c>
      <c r="C28" s="28">
        <f>$C$12 + '1 Data'!C17*$C$13 + '1 Data'!D17*$C$14 + '1 Data'!E17*$C$15 + '1 Data'!F17*$C$16 + '1 Data'!G17*$C$17 + '1 Data'!H17*$C$18</f>
        <v/>
      </c>
      <c r="D28" s="23">
        <f>1/(1+EXP(-C28))</f>
        <v/>
      </c>
      <c r="E28" s="27">
        <f>'1 Data'!I17</f>
        <v/>
      </c>
      <c r="F28" s="29">
        <f>RANK(D28,$D$23:$D$1022)</f>
        <v/>
      </c>
      <c r="G28" s="30">
        <f>COUNTIF($D$23:$D$1022,"&lt;"&amp;D28)+(COUNTIF($D$23:$D$1022,"="&amp;D28)+1)/2</f>
        <v/>
      </c>
    </row>
    <row r="29">
      <c r="B29" s="27">
        <f>'1 Data'!B18</f>
        <v/>
      </c>
      <c r="C29" s="28">
        <f>$C$12 + '1 Data'!C18*$C$13 + '1 Data'!D18*$C$14 + '1 Data'!E18*$C$15 + '1 Data'!F18*$C$16 + '1 Data'!G18*$C$17 + '1 Data'!H18*$C$18</f>
        <v/>
      </c>
      <c r="D29" s="23">
        <f>1/(1+EXP(-C29))</f>
        <v/>
      </c>
      <c r="E29" s="27">
        <f>'1 Data'!I18</f>
        <v/>
      </c>
      <c r="F29" s="29">
        <f>RANK(D29,$D$23:$D$1022)</f>
        <v/>
      </c>
      <c r="G29" s="30">
        <f>COUNTIF($D$23:$D$1022,"&lt;"&amp;D29)+(COUNTIF($D$23:$D$1022,"="&amp;D29)+1)/2</f>
        <v/>
      </c>
    </row>
    <row r="30">
      <c r="B30" s="27">
        <f>'1 Data'!B19</f>
        <v/>
      </c>
      <c r="C30" s="28">
        <f>$C$12 + '1 Data'!C19*$C$13 + '1 Data'!D19*$C$14 + '1 Data'!E19*$C$15 + '1 Data'!F19*$C$16 + '1 Data'!G19*$C$17 + '1 Data'!H19*$C$18</f>
        <v/>
      </c>
      <c r="D30" s="23">
        <f>1/(1+EXP(-C30))</f>
        <v/>
      </c>
      <c r="E30" s="27">
        <f>'1 Data'!I19</f>
        <v/>
      </c>
      <c r="F30" s="29">
        <f>RANK(D30,$D$23:$D$1022)</f>
        <v/>
      </c>
      <c r="G30" s="30">
        <f>COUNTIF($D$23:$D$1022,"&lt;"&amp;D30)+(COUNTIF($D$23:$D$1022,"="&amp;D30)+1)/2</f>
        <v/>
      </c>
    </row>
    <row r="31">
      <c r="B31" s="27">
        <f>'1 Data'!B20</f>
        <v/>
      </c>
      <c r="C31" s="28">
        <f>$C$12 + '1 Data'!C20*$C$13 + '1 Data'!D20*$C$14 + '1 Data'!E20*$C$15 + '1 Data'!F20*$C$16 + '1 Data'!G20*$C$17 + '1 Data'!H20*$C$18</f>
        <v/>
      </c>
      <c r="D31" s="23">
        <f>1/(1+EXP(-C31))</f>
        <v/>
      </c>
      <c r="E31" s="27">
        <f>'1 Data'!I20</f>
        <v/>
      </c>
      <c r="F31" s="29">
        <f>RANK(D31,$D$23:$D$1022)</f>
        <v/>
      </c>
      <c r="G31" s="30">
        <f>COUNTIF($D$23:$D$1022,"&lt;"&amp;D31)+(COUNTIF($D$23:$D$1022,"="&amp;D31)+1)/2</f>
        <v/>
      </c>
    </row>
    <row r="32">
      <c r="B32" s="27">
        <f>'1 Data'!B21</f>
        <v/>
      </c>
      <c r="C32" s="28">
        <f>$C$12 + '1 Data'!C21*$C$13 + '1 Data'!D21*$C$14 + '1 Data'!E21*$C$15 + '1 Data'!F21*$C$16 + '1 Data'!G21*$C$17 + '1 Data'!H21*$C$18</f>
        <v/>
      </c>
      <c r="D32" s="23">
        <f>1/(1+EXP(-C32))</f>
        <v/>
      </c>
      <c r="E32" s="27">
        <f>'1 Data'!I21</f>
        <v/>
      </c>
      <c r="F32" s="29">
        <f>RANK(D32,$D$23:$D$1022)</f>
        <v/>
      </c>
      <c r="G32" s="30">
        <f>COUNTIF($D$23:$D$1022,"&lt;"&amp;D32)+(COUNTIF($D$23:$D$1022,"="&amp;D32)+1)/2</f>
        <v/>
      </c>
    </row>
    <row r="33">
      <c r="B33" s="27">
        <f>'1 Data'!B22</f>
        <v/>
      </c>
      <c r="C33" s="28">
        <f>$C$12 + '1 Data'!C22*$C$13 + '1 Data'!D22*$C$14 + '1 Data'!E22*$C$15 + '1 Data'!F22*$C$16 + '1 Data'!G22*$C$17 + '1 Data'!H22*$C$18</f>
        <v/>
      </c>
      <c r="D33" s="23">
        <f>1/(1+EXP(-C33))</f>
        <v/>
      </c>
      <c r="E33" s="27">
        <f>'1 Data'!I22</f>
        <v/>
      </c>
      <c r="F33" s="29">
        <f>RANK(D33,$D$23:$D$1022)</f>
        <v/>
      </c>
      <c r="G33" s="30">
        <f>COUNTIF($D$23:$D$1022,"&lt;"&amp;D33)+(COUNTIF($D$23:$D$1022,"="&amp;D33)+1)/2</f>
        <v/>
      </c>
    </row>
    <row r="34">
      <c r="B34" s="27">
        <f>'1 Data'!B23</f>
        <v/>
      </c>
      <c r="C34" s="28">
        <f>$C$12 + '1 Data'!C23*$C$13 + '1 Data'!D23*$C$14 + '1 Data'!E23*$C$15 + '1 Data'!F23*$C$16 + '1 Data'!G23*$C$17 + '1 Data'!H23*$C$18</f>
        <v/>
      </c>
      <c r="D34" s="23">
        <f>1/(1+EXP(-C34))</f>
        <v/>
      </c>
      <c r="E34" s="27">
        <f>'1 Data'!I23</f>
        <v/>
      </c>
      <c r="F34" s="29">
        <f>RANK(D34,$D$23:$D$1022)</f>
        <v/>
      </c>
      <c r="G34" s="30">
        <f>COUNTIF($D$23:$D$1022,"&lt;"&amp;D34)+(COUNTIF($D$23:$D$1022,"="&amp;D34)+1)/2</f>
        <v/>
      </c>
    </row>
    <row r="35">
      <c r="B35" s="27">
        <f>'1 Data'!B24</f>
        <v/>
      </c>
      <c r="C35" s="28">
        <f>$C$12 + '1 Data'!C24*$C$13 + '1 Data'!D24*$C$14 + '1 Data'!E24*$C$15 + '1 Data'!F24*$C$16 + '1 Data'!G24*$C$17 + '1 Data'!H24*$C$18</f>
        <v/>
      </c>
      <c r="D35" s="23">
        <f>1/(1+EXP(-C35))</f>
        <v/>
      </c>
      <c r="E35" s="27">
        <f>'1 Data'!I24</f>
        <v/>
      </c>
      <c r="F35" s="29">
        <f>RANK(D35,$D$23:$D$1022)</f>
        <v/>
      </c>
      <c r="G35" s="30">
        <f>COUNTIF($D$23:$D$1022,"&lt;"&amp;D35)+(COUNTIF($D$23:$D$1022,"="&amp;D35)+1)/2</f>
        <v/>
      </c>
    </row>
    <row r="36">
      <c r="B36" s="27">
        <f>'1 Data'!B25</f>
        <v/>
      </c>
      <c r="C36" s="28">
        <f>$C$12 + '1 Data'!C25*$C$13 + '1 Data'!D25*$C$14 + '1 Data'!E25*$C$15 + '1 Data'!F25*$C$16 + '1 Data'!G25*$C$17 + '1 Data'!H25*$C$18</f>
        <v/>
      </c>
      <c r="D36" s="23">
        <f>1/(1+EXP(-C36))</f>
        <v/>
      </c>
      <c r="E36" s="27">
        <f>'1 Data'!I25</f>
        <v/>
      </c>
      <c r="F36" s="29">
        <f>RANK(D36,$D$23:$D$1022)</f>
        <v/>
      </c>
      <c r="G36" s="30">
        <f>COUNTIF($D$23:$D$1022,"&lt;"&amp;D36)+(COUNTIF($D$23:$D$1022,"="&amp;D36)+1)/2</f>
        <v/>
      </c>
    </row>
    <row r="37">
      <c r="B37" s="27">
        <f>'1 Data'!B26</f>
        <v/>
      </c>
      <c r="C37" s="28">
        <f>$C$12 + '1 Data'!C26*$C$13 + '1 Data'!D26*$C$14 + '1 Data'!E26*$C$15 + '1 Data'!F26*$C$16 + '1 Data'!G26*$C$17 + '1 Data'!H26*$C$18</f>
        <v/>
      </c>
      <c r="D37" s="23">
        <f>1/(1+EXP(-C37))</f>
        <v/>
      </c>
      <c r="E37" s="27">
        <f>'1 Data'!I26</f>
        <v/>
      </c>
      <c r="F37" s="29">
        <f>RANK(D37,$D$23:$D$1022)</f>
        <v/>
      </c>
      <c r="G37" s="30">
        <f>COUNTIF($D$23:$D$1022,"&lt;"&amp;D37)+(COUNTIF($D$23:$D$1022,"="&amp;D37)+1)/2</f>
        <v/>
      </c>
    </row>
    <row r="38">
      <c r="B38" s="27">
        <f>'1 Data'!B27</f>
        <v/>
      </c>
      <c r="C38" s="28">
        <f>$C$12 + '1 Data'!C27*$C$13 + '1 Data'!D27*$C$14 + '1 Data'!E27*$C$15 + '1 Data'!F27*$C$16 + '1 Data'!G27*$C$17 + '1 Data'!H27*$C$18</f>
        <v/>
      </c>
      <c r="D38" s="23">
        <f>1/(1+EXP(-C38))</f>
        <v/>
      </c>
      <c r="E38" s="27">
        <f>'1 Data'!I27</f>
        <v/>
      </c>
      <c r="F38" s="29">
        <f>RANK(D38,$D$23:$D$1022)</f>
        <v/>
      </c>
      <c r="G38" s="30">
        <f>COUNTIF($D$23:$D$1022,"&lt;"&amp;D38)+(COUNTIF($D$23:$D$1022,"="&amp;D38)+1)/2</f>
        <v/>
      </c>
    </row>
    <row r="39">
      <c r="B39" s="27">
        <f>'1 Data'!B28</f>
        <v/>
      </c>
      <c r="C39" s="28">
        <f>$C$12 + '1 Data'!C28*$C$13 + '1 Data'!D28*$C$14 + '1 Data'!E28*$C$15 + '1 Data'!F28*$C$16 + '1 Data'!G28*$C$17 + '1 Data'!H28*$C$18</f>
        <v/>
      </c>
      <c r="D39" s="23">
        <f>1/(1+EXP(-C39))</f>
        <v/>
      </c>
      <c r="E39" s="27">
        <f>'1 Data'!I28</f>
        <v/>
      </c>
      <c r="F39" s="29">
        <f>RANK(D39,$D$23:$D$1022)</f>
        <v/>
      </c>
      <c r="G39" s="30">
        <f>COUNTIF($D$23:$D$1022,"&lt;"&amp;D39)+(COUNTIF($D$23:$D$1022,"="&amp;D39)+1)/2</f>
        <v/>
      </c>
    </row>
    <row r="40">
      <c r="B40" s="27">
        <f>'1 Data'!B29</f>
        <v/>
      </c>
      <c r="C40" s="28">
        <f>$C$12 + '1 Data'!C29*$C$13 + '1 Data'!D29*$C$14 + '1 Data'!E29*$C$15 + '1 Data'!F29*$C$16 + '1 Data'!G29*$C$17 + '1 Data'!H29*$C$18</f>
        <v/>
      </c>
      <c r="D40" s="23">
        <f>1/(1+EXP(-C40))</f>
        <v/>
      </c>
      <c r="E40" s="27">
        <f>'1 Data'!I29</f>
        <v/>
      </c>
      <c r="F40" s="29">
        <f>RANK(D40,$D$23:$D$1022)</f>
        <v/>
      </c>
      <c r="G40" s="30">
        <f>COUNTIF($D$23:$D$1022,"&lt;"&amp;D40)+(COUNTIF($D$23:$D$1022,"="&amp;D40)+1)/2</f>
        <v/>
      </c>
    </row>
    <row r="41">
      <c r="B41" s="27">
        <f>'1 Data'!B30</f>
        <v/>
      </c>
      <c r="C41" s="28">
        <f>$C$12 + '1 Data'!C30*$C$13 + '1 Data'!D30*$C$14 + '1 Data'!E30*$C$15 + '1 Data'!F30*$C$16 + '1 Data'!G30*$C$17 + '1 Data'!H30*$C$18</f>
        <v/>
      </c>
      <c r="D41" s="23">
        <f>1/(1+EXP(-C41))</f>
        <v/>
      </c>
      <c r="E41" s="27">
        <f>'1 Data'!I30</f>
        <v/>
      </c>
      <c r="F41" s="29">
        <f>RANK(D41,$D$23:$D$1022)</f>
        <v/>
      </c>
      <c r="G41" s="30">
        <f>COUNTIF($D$23:$D$1022,"&lt;"&amp;D41)+(COUNTIF($D$23:$D$1022,"="&amp;D41)+1)/2</f>
        <v/>
      </c>
    </row>
    <row r="42">
      <c r="B42" s="27">
        <f>'1 Data'!B31</f>
        <v/>
      </c>
      <c r="C42" s="28">
        <f>$C$12 + '1 Data'!C31*$C$13 + '1 Data'!D31*$C$14 + '1 Data'!E31*$C$15 + '1 Data'!F31*$C$16 + '1 Data'!G31*$C$17 + '1 Data'!H31*$C$18</f>
        <v/>
      </c>
      <c r="D42" s="23">
        <f>1/(1+EXP(-C42))</f>
        <v/>
      </c>
      <c r="E42" s="27">
        <f>'1 Data'!I31</f>
        <v/>
      </c>
      <c r="F42" s="29">
        <f>RANK(D42,$D$23:$D$1022)</f>
        <v/>
      </c>
      <c r="G42" s="30">
        <f>COUNTIF($D$23:$D$1022,"&lt;"&amp;D42)+(COUNTIF($D$23:$D$1022,"="&amp;D42)+1)/2</f>
        <v/>
      </c>
    </row>
    <row r="43">
      <c r="B43" s="27">
        <f>'1 Data'!B32</f>
        <v/>
      </c>
      <c r="C43" s="28">
        <f>$C$12 + '1 Data'!C32*$C$13 + '1 Data'!D32*$C$14 + '1 Data'!E32*$C$15 + '1 Data'!F32*$C$16 + '1 Data'!G32*$C$17 + '1 Data'!H32*$C$18</f>
        <v/>
      </c>
      <c r="D43" s="23">
        <f>1/(1+EXP(-C43))</f>
        <v/>
      </c>
      <c r="E43" s="27">
        <f>'1 Data'!I32</f>
        <v/>
      </c>
      <c r="F43" s="29">
        <f>RANK(D43,$D$23:$D$1022)</f>
        <v/>
      </c>
      <c r="G43" s="30">
        <f>COUNTIF($D$23:$D$1022,"&lt;"&amp;D43)+(COUNTIF($D$23:$D$1022,"="&amp;D43)+1)/2</f>
        <v/>
      </c>
    </row>
    <row r="44">
      <c r="B44" s="27">
        <f>'1 Data'!B33</f>
        <v/>
      </c>
      <c r="C44" s="28">
        <f>$C$12 + '1 Data'!C33*$C$13 + '1 Data'!D33*$C$14 + '1 Data'!E33*$C$15 + '1 Data'!F33*$C$16 + '1 Data'!G33*$C$17 + '1 Data'!H33*$C$18</f>
        <v/>
      </c>
      <c r="D44" s="23">
        <f>1/(1+EXP(-C44))</f>
        <v/>
      </c>
      <c r="E44" s="27">
        <f>'1 Data'!I33</f>
        <v/>
      </c>
      <c r="F44" s="29">
        <f>RANK(D44,$D$23:$D$1022)</f>
        <v/>
      </c>
      <c r="G44" s="30">
        <f>COUNTIF($D$23:$D$1022,"&lt;"&amp;D44)+(COUNTIF($D$23:$D$1022,"="&amp;D44)+1)/2</f>
        <v/>
      </c>
    </row>
    <row r="45">
      <c r="B45" s="27">
        <f>'1 Data'!B34</f>
        <v/>
      </c>
      <c r="C45" s="28">
        <f>$C$12 + '1 Data'!C34*$C$13 + '1 Data'!D34*$C$14 + '1 Data'!E34*$C$15 + '1 Data'!F34*$C$16 + '1 Data'!G34*$C$17 + '1 Data'!H34*$C$18</f>
        <v/>
      </c>
      <c r="D45" s="23">
        <f>1/(1+EXP(-C45))</f>
        <v/>
      </c>
      <c r="E45" s="27">
        <f>'1 Data'!I34</f>
        <v/>
      </c>
      <c r="F45" s="29">
        <f>RANK(D45,$D$23:$D$1022)</f>
        <v/>
      </c>
      <c r="G45" s="30">
        <f>COUNTIF($D$23:$D$1022,"&lt;"&amp;D45)+(COUNTIF($D$23:$D$1022,"="&amp;D45)+1)/2</f>
        <v/>
      </c>
    </row>
    <row r="46">
      <c r="B46" s="27">
        <f>'1 Data'!B35</f>
        <v/>
      </c>
      <c r="C46" s="28">
        <f>$C$12 + '1 Data'!C35*$C$13 + '1 Data'!D35*$C$14 + '1 Data'!E35*$C$15 + '1 Data'!F35*$C$16 + '1 Data'!G35*$C$17 + '1 Data'!H35*$C$18</f>
        <v/>
      </c>
      <c r="D46" s="23">
        <f>1/(1+EXP(-C46))</f>
        <v/>
      </c>
      <c r="E46" s="27">
        <f>'1 Data'!I35</f>
        <v/>
      </c>
      <c r="F46" s="29">
        <f>RANK(D46,$D$23:$D$1022)</f>
        <v/>
      </c>
      <c r="G46" s="30">
        <f>COUNTIF($D$23:$D$1022,"&lt;"&amp;D46)+(COUNTIF($D$23:$D$1022,"="&amp;D46)+1)/2</f>
        <v/>
      </c>
    </row>
    <row r="47">
      <c r="B47" s="27">
        <f>'1 Data'!B36</f>
        <v/>
      </c>
      <c r="C47" s="28">
        <f>$C$12 + '1 Data'!C36*$C$13 + '1 Data'!D36*$C$14 + '1 Data'!E36*$C$15 + '1 Data'!F36*$C$16 + '1 Data'!G36*$C$17 + '1 Data'!H36*$C$18</f>
        <v/>
      </c>
      <c r="D47" s="23">
        <f>1/(1+EXP(-C47))</f>
        <v/>
      </c>
      <c r="E47" s="27">
        <f>'1 Data'!I36</f>
        <v/>
      </c>
      <c r="F47" s="29">
        <f>RANK(D47,$D$23:$D$1022)</f>
        <v/>
      </c>
      <c r="G47" s="30">
        <f>COUNTIF($D$23:$D$1022,"&lt;"&amp;D47)+(COUNTIF($D$23:$D$1022,"="&amp;D47)+1)/2</f>
        <v/>
      </c>
    </row>
    <row r="48">
      <c r="B48" s="27">
        <f>'1 Data'!B37</f>
        <v/>
      </c>
      <c r="C48" s="28">
        <f>$C$12 + '1 Data'!C37*$C$13 + '1 Data'!D37*$C$14 + '1 Data'!E37*$C$15 + '1 Data'!F37*$C$16 + '1 Data'!G37*$C$17 + '1 Data'!H37*$C$18</f>
        <v/>
      </c>
      <c r="D48" s="23">
        <f>1/(1+EXP(-C48))</f>
        <v/>
      </c>
      <c r="E48" s="27">
        <f>'1 Data'!I37</f>
        <v/>
      </c>
      <c r="F48" s="29">
        <f>RANK(D48,$D$23:$D$1022)</f>
        <v/>
      </c>
      <c r="G48" s="30">
        <f>COUNTIF($D$23:$D$1022,"&lt;"&amp;D48)+(COUNTIF($D$23:$D$1022,"="&amp;D48)+1)/2</f>
        <v/>
      </c>
    </row>
    <row r="49">
      <c r="B49" s="27">
        <f>'1 Data'!B38</f>
        <v/>
      </c>
      <c r="C49" s="28">
        <f>$C$12 + '1 Data'!C38*$C$13 + '1 Data'!D38*$C$14 + '1 Data'!E38*$C$15 + '1 Data'!F38*$C$16 + '1 Data'!G38*$C$17 + '1 Data'!H38*$C$18</f>
        <v/>
      </c>
      <c r="D49" s="23">
        <f>1/(1+EXP(-C49))</f>
        <v/>
      </c>
      <c r="E49" s="27">
        <f>'1 Data'!I38</f>
        <v/>
      </c>
      <c r="F49" s="29">
        <f>RANK(D49,$D$23:$D$1022)</f>
        <v/>
      </c>
      <c r="G49" s="30">
        <f>COUNTIF($D$23:$D$1022,"&lt;"&amp;D49)+(COUNTIF($D$23:$D$1022,"="&amp;D49)+1)/2</f>
        <v/>
      </c>
    </row>
    <row r="50">
      <c r="B50" s="27">
        <f>'1 Data'!B39</f>
        <v/>
      </c>
      <c r="C50" s="28">
        <f>$C$12 + '1 Data'!C39*$C$13 + '1 Data'!D39*$C$14 + '1 Data'!E39*$C$15 + '1 Data'!F39*$C$16 + '1 Data'!G39*$C$17 + '1 Data'!H39*$C$18</f>
        <v/>
      </c>
      <c r="D50" s="23">
        <f>1/(1+EXP(-C50))</f>
        <v/>
      </c>
      <c r="E50" s="27">
        <f>'1 Data'!I39</f>
        <v/>
      </c>
      <c r="F50" s="29">
        <f>RANK(D50,$D$23:$D$1022)</f>
        <v/>
      </c>
      <c r="G50" s="30">
        <f>COUNTIF($D$23:$D$1022,"&lt;"&amp;D50)+(COUNTIF($D$23:$D$1022,"="&amp;D50)+1)/2</f>
        <v/>
      </c>
    </row>
    <row r="51">
      <c r="B51" s="27">
        <f>'1 Data'!B40</f>
        <v/>
      </c>
      <c r="C51" s="28">
        <f>$C$12 + '1 Data'!C40*$C$13 + '1 Data'!D40*$C$14 + '1 Data'!E40*$C$15 + '1 Data'!F40*$C$16 + '1 Data'!G40*$C$17 + '1 Data'!H40*$C$18</f>
        <v/>
      </c>
      <c r="D51" s="23">
        <f>1/(1+EXP(-C51))</f>
        <v/>
      </c>
      <c r="E51" s="27">
        <f>'1 Data'!I40</f>
        <v/>
      </c>
      <c r="F51" s="29">
        <f>RANK(D51,$D$23:$D$1022)</f>
        <v/>
      </c>
      <c r="G51" s="30">
        <f>COUNTIF($D$23:$D$1022,"&lt;"&amp;D51)+(COUNTIF($D$23:$D$1022,"="&amp;D51)+1)/2</f>
        <v/>
      </c>
    </row>
    <row r="52">
      <c r="B52" s="27">
        <f>'1 Data'!B41</f>
        <v/>
      </c>
      <c r="C52" s="28">
        <f>$C$12 + '1 Data'!C41*$C$13 + '1 Data'!D41*$C$14 + '1 Data'!E41*$C$15 + '1 Data'!F41*$C$16 + '1 Data'!G41*$C$17 + '1 Data'!H41*$C$18</f>
        <v/>
      </c>
      <c r="D52" s="23">
        <f>1/(1+EXP(-C52))</f>
        <v/>
      </c>
      <c r="E52" s="27">
        <f>'1 Data'!I41</f>
        <v/>
      </c>
      <c r="F52" s="29">
        <f>RANK(D52,$D$23:$D$1022)</f>
        <v/>
      </c>
      <c r="G52" s="30">
        <f>COUNTIF($D$23:$D$1022,"&lt;"&amp;D52)+(COUNTIF($D$23:$D$1022,"="&amp;D52)+1)/2</f>
        <v/>
      </c>
    </row>
    <row r="53">
      <c r="B53" s="27">
        <f>'1 Data'!B42</f>
        <v/>
      </c>
      <c r="C53" s="28">
        <f>$C$12 + '1 Data'!C42*$C$13 + '1 Data'!D42*$C$14 + '1 Data'!E42*$C$15 + '1 Data'!F42*$C$16 + '1 Data'!G42*$C$17 + '1 Data'!H42*$C$18</f>
        <v/>
      </c>
      <c r="D53" s="23">
        <f>1/(1+EXP(-C53))</f>
        <v/>
      </c>
      <c r="E53" s="27">
        <f>'1 Data'!I42</f>
        <v/>
      </c>
      <c r="F53" s="29">
        <f>RANK(D53,$D$23:$D$1022)</f>
        <v/>
      </c>
      <c r="G53" s="30">
        <f>COUNTIF($D$23:$D$1022,"&lt;"&amp;D53)+(COUNTIF($D$23:$D$1022,"="&amp;D53)+1)/2</f>
        <v/>
      </c>
    </row>
    <row r="54">
      <c r="B54" s="27">
        <f>'1 Data'!B43</f>
        <v/>
      </c>
      <c r="C54" s="28">
        <f>$C$12 + '1 Data'!C43*$C$13 + '1 Data'!D43*$C$14 + '1 Data'!E43*$C$15 + '1 Data'!F43*$C$16 + '1 Data'!G43*$C$17 + '1 Data'!H43*$C$18</f>
        <v/>
      </c>
      <c r="D54" s="23">
        <f>1/(1+EXP(-C54))</f>
        <v/>
      </c>
      <c r="E54" s="27">
        <f>'1 Data'!I43</f>
        <v/>
      </c>
      <c r="F54" s="29">
        <f>RANK(D54,$D$23:$D$1022)</f>
        <v/>
      </c>
      <c r="G54" s="30">
        <f>COUNTIF($D$23:$D$1022,"&lt;"&amp;D54)+(COUNTIF($D$23:$D$1022,"="&amp;D54)+1)/2</f>
        <v/>
      </c>
    </row>
    <row r="55">
      <c r="B55" s="27">
        <f>'1 Data'!B44</f>
        <v/>
      </c>
      <c r="C55" s="28">
        <f>$C$12 + '1 Data'!C44*$C$13 + '1 Data'!D44*$C$14 + '1 Data'!E44*$C$15 + '1 Data'!F44*$C$16 + '1 Data'!G44*$C$17 + '1 Data'!H44*$C$18</f>
        <v/>
      </c>
      <c r="D55" s="23">
        <f>1/(1+EXP(-C55))</f>
        <v/>
      </c>
      <c r="E55" s="27">
        <f>'1 Data'!I44</f>
        <v/>
      </c>
      <c r="F55" s="29">
        <f>RANK(D55,$D$23:$D$1022)</f>
        <v/>
      </c>
      <c r="G55" s="30">
        <f>COUNTIF($D$23:$D$1022,"&lt;"&amp;D55)+(COUNTIF($D$23:$D$1022,"="&amp;D55)+1)/2</f>
        <v/>
      </c>
    </row>
    <row r="56">
      <c r="B56" s="27">
        <f>'1 Data'!B45</f>
        <v/>
      </c>
      <c r="C56" s="28">
        <f>$C$12 + '1 Data'!C45*$C$13 + '1 Data'!D45*$C$14 + '1 Data'!E45*$C$15 + '1 Data'!F45*$C$16 + '1 Data'!G45*$C$17 + '1 Data'!H45*$C$18</f>
        <v/>
      </c>
      <c r="D56" s="23">
        <f>1/(1+EXP(-C56))</f>
        <v/>
      </c>
      <c r="E56" s="27">
        <f>'1 Data'!I45</f>
        <v/>
      </c>
      <c r="F56" s="29">
        <f>RANK(D56,$D$23:$D$1022)</f>
        <v/>
      </c>
      <c r="G56" s="30">
        <f>COUNTIF($D$23:$D$1022,"&lt;"&amp;D56)+(COUNTIF($D$23:$D$1022,"="&amp;D56)+1)/2</f>
        <v/>
      </c>
    </row>
    <row r="57">
      <c r="B57" s="27">
        <f>'1 Data'!B46</f>
        <v/>
      </c>
      <c r="C57" s="28">
        <f>$C$12 + '1 Data'!C46*$C$13 + '1 Data'!D46*$C$14 + '1 Data'!E46*$C$15 + '1 Data'!F46*$C$16 + '1 Data'!G46*$C$17 + '1 Data'!H46*$C$18</f>
        <v/>
      </c>
      <c r="D57" s="23">
        <f>1/(1+EXP(-C57))</f>
        <v/>
      </c>
      <c r="E57" s="27">
        <f>'1 Data'!I46</f>
        <v/>
      </c>
      <c r="F57" s="29">
        <f>RANK(D57,$D$23:$D$1022)</f>
        <v/>
      </c>
      <c r="G57" s="30">
        <f>COUNTIF($D$23:$D$1022,"&lt;"&amp;D57)+(COUNTIF($D$23:$D$1022,"="&amp;D57)+1)/2</f>
        <v/>
      </c>
    </row>
    <row r="58">
      <c r="B58" s="27">
        <f>'1 Data'!B47</f>
        <v/>
      </c>
      <c r="C58" s="28">
        <f>$C$12 + '1 Data'!C47*$C$13 + '1 Data'!D47*$C$14 + '1 Data'!E47*$C$15 + '1 Data'!F47*$C$16 + '1 Data'!G47*$C$17 + '1 Data'!H47*$C$18</f>
        <v/>
      </c>
      <c r="D58" s="23">
        <f>1/(1+EXP(-C58))</f>
        <v/>
      </c>
      <c r="E58" s="27">
        <f>'1 Data'!I47</f>
        <v/>
      </c>
      <c r="F58" s="29">
        <f>RANK(D58,$D$23:$D$1022)</f>
        <v/>
      </c>
      <c r="G58" s="30">
        <f>COUNTIF($D$23:$D$1022,"&lt;"&amp;D58)+(COUNTIF($D$23:$D$1022,"="&amp;D58)+1)/2</f>
        <v/>
      </c>
    </row>
    <row r="59">
      <c r="B59" s="27">
        <f>'1 Data'!B48</f>
        <v/>
      </c>
      <c r="C59" s="28">
        <f>$C$12 + '1 Data'!C48*$C$13 + '1 Data'!D48*$C$14 + '1 Data'!E48*$C$15 + '1 Data'!F48*$C$16 + '1 Data'!G48*$C$17 + '1 Data'!H48*$C$18</f>
        <v/>
      </c>
      <c r="D59" s="23">
        <f>1/(1+EXP(-C59))</f>
        <v/>
      </c>
      <c r="E59" s="27">
        <f>'1 Data'!I48</f>
        <v/>
      </c>
      <c r="F59" s="29">
        <f>RANK(D59,$D$23:$D$1022)</f>
        <v/>
      </c>
      <c r="G59" s="30">
        <f>COUNTIF($D$23:$D$1022,"&lt;"&amp;D59)+(COUNTIF($D$23:$D$1022,"="&amp;D59)+1)/2</f>
        <v/>
      </c>
    </row>
    <row r="60">
      <c r="B60" s="27">
        <f>'1 Data'!B49</f>
        <v/>
      </c>
      <c r="C60" s="28">
        <f>$C$12 + '1 Data'!C49*$C$13 + '1 Data'!D49*$C$14 + '1 Data'!E49*$C$15 + '1 Data'!F49*$C$16 + '1 Data'!G49*$C$17 + '1 Data'!H49*$C$18</f>
        <v/>
      </c>
      <c r="D60" s="23">
        <f>1/(1+EXP(-C60))</f>
        <v/>
      </c>
      <c r="E60" s="27">
        <f>'1 Data'!I49</f>
        <v/>
      </c>
      <c r="F60" s="29">
        <f>RANK(D60,$D$23:$D$1022)</f>
        <v/>
      </c>
      <c r="G60" s="30">
        <f>COUNTIF($D$23:$D$1022,"&lt;"&amp;D60)+(COUNTIF($D$23:$D$1022,"="&amp;D60)+1)/2</f>
        <v/>
      </c>
    </row>
    <row r="61">
      <c r="B61" s="27">
        <f>'1 Data'!B50</f>
        <v/>
      </c>
      <c r="C61" s="28">
        <f>$C$12 + '1 Data'!C50*$C$13 + '1 Data'!D50*$C$14 + '1 Data'!E50*$C$15 + '1 Data'!F50*$C$16 + '1 Data'!G50*$C$17 + '1 Data'!H50*$C$18</f>
        <v/>
      </c>
      <c r="D61" s="23">
        <f>1/(1+EXP(-C61))</f>
        <v/>
      </c>
      <c r="E61" s="27">
        <f>'1 Data'!I50</f>
        <v/>
      </c>
      <c r="F61" s="29">
        <f>RANK(D61,$D$23:$D$1022)</f>
        <v/>
      </c>
      <c r="G61" s="30">
        <f>COUNTIF($D$23:$D$1022,"&lt;"&amp;D61)+(COUNTIF($D$23:$D$1022,"="&amp;D61)+1)/2</f>
        <v/>
      </c>
    </row>
    <row r="62">
      <c r="B62" s="27">
        <f>'1 Data'!B51</f>
        <v/>
      </c>
      <c r="C62" s="28">
        <f>$C$12 + '1 Data'!C51*$C$13 + '1 Data'!D51*$C$14 + '1 Data'!E51*$C$15 + '1 Data'!F51*$C$16 + '1 Data'!G51*$C$17 + '1 Data'!H51*$C$18</f>
        <v/>
      </c>
      <c r="D62" s="23">
        <f>1/(1+EXP(-C62))</f>
        <v/>
      </c>
      <c r="E62" s="27">
        <f>'1 Data'!I51</f>
        <v/>
      </c>
      <c r="F62" s="29">
        <f>RANK(D62,$D$23:$D$1022)</f>
        <v/>
      </c>
      <c r="G62" s="30">
        <f>COUNTIF($D$23:$D$1022,"&lt;"&amp;D62)+(COUNTIF($D$23:$D$1022,"="&amp;D62)+1)/2</f>
        <v/>
      </c>
    </row>
    <row r="63">
      <c r="B63" s="27">
        <f>'1 Data'!B52</f>
        <v/>
      </c>
      <c r="C63" s="28">
        <f>$C$12 + '1 Data'!C52*$C$13 + '1 Data'!D52*$C$14 + '1 Data'!E52*$C$15 + '1 Data'!F52*$C$16 + '1 Data'!G52*$C$17 + '1 Data'!H52*$C$18</f>
        <v/>
      </c>
      <c r="D63" s="23">
        <f>1/(1+EXP(-C63))</f>
        <v/>
      </c>
      <c r="E63" s="27">
        <f>'1 Data'!I52</f>
        <v/>
      </c>
      <c r="F63" s="29">
        <f>RANK(D63,$D$23:$D$1022)</f>
        <v/>
      </c>
      <c r="G63" s="30">
        <f>COUNTIF($D$23:$D$1022,"&lt;"&amp;D63)+(COUNTIF($D$23:$D$1022,"="&amp;D63)+1)/2</f>
        <v/>
      </c>
    </row>
    <row r="64">
      <c r="B64" s="27">
        <f>'1 Data'!B53</f>
        <v/>
      </c>
      <c r="C64" s="28">
        <f>$C$12 + '1 Data'!C53*$C$13 + '1 Data'!D53*$C$14 + '1 Data'!E53*$C$15 + '1 Data'!F53*$C$16 + '1 Data'!G53*$C$17 + '1 Data'!H53*$C$18</f>
        <v/>
      </c>
      <c r="D64" s="23">
        <f>1/(1+EXP(-C64))</f>
        <v/>
      </c>
      <c r="E64" s="27">
        <f>'1 Data'!I53</f>
        <v/>
      </c>
      <c r="F64" s="29">
        <f>RANK(D64,$D$23:$D$1022)</f>
        <v/>
      </c>
      <c r="G64" s="30">
        <f>COUNTIF($D$23:$D$1022,"&lt;"&amp;D64)+(COUNTIF($D$23:$D$1022,"="&amp;D64)+1)/2</f>
        <v/>
      </c>
    </row>
    <row r="65">
      <c r="B65" s="27">
        <f>'1 Data'!B54</f>
        <v/>
      </c>
      <c r="C65" s="28">
        <f>$C$12 + '1 Data'!C54*$C$13 + '1 Data'!D54*$C$14 + '1 Data'!E54*$C$15 + '1 Data'!F54*$C$16 + '1 Data'!G54*$C$17 + '1 Data'!H54*$C$18</f>
        <v/>
      </c>
      <c r="D65" s="23">
        <f>1/(1+EXP(-C65))</f>
        <v/>
      </c>
      <c r="E65" s="27">
        <f>'1 Data'!I54</f>
        <v/>
      </c>
      <c r="F65" s="29">
        <f>RANK(D65,$D$23:$D$1022)</f>
        <v/>
      </c>
      <c r="G65" s="30">
        <f>COUNTIF($D$23:$D$1022,"&lt;"&amp;D65)+(COUNTIF($D$23:$D$1022,"="&amp;D65)+1)/2</f>
        <v/>
      </c>
    </row>
    <row r="66">
      <c r="B66" s="27">
        <f>'1 Data'!B55</f>
        <v/>
      </c>
      <c r="C66" s="28">
        <f>$C$12 + '1 Data'!C55*$C$13 + '1 Data'!D55*$C$14 + '1 Data'!E55*$C$15 + '1 Data'!F55*$C$16 + '1 Data'!G55*$C$17 + '1 Data'!H55*$C$18</f>
        <v/>
      </c>
      <c r="D66" s="23">
        <f>1/(1+EXP(-C66))</f>
        <v/>
      </c>
      <c r="E66" s="27">
        <f>'1 Data'!I55</f>
        <v/>
      </c>
      <c r="F66" s="29">
        <f>RANK(D66,$D$23:$D$1022)</f>
        <v/>
      </c>
      <c r="G66" s="30">
        <f>COUNTIF($D$23:$D$1022,"&lt;"&amp;D66)+(COUNTIF($D$23:$D$1022,"="&amp;D66)+1)/2</f>
        <v/>
      </c>
    </row>
    <row r="67">
      <c r="B67" s="27">
        <f>'1 Data'!B56</f>
        <v/>
      </c>
      <c r="C67" s="28">
        <f>$C$12 + '1 Data'!C56*$C$13 + '1 Data'!D56*$C$14 + '1 Data'!E56*$C$15 + '1 Data'!F56*$C$16 + '1 Data'!G56*$C$17 + '1 Data'!H56*$C$18</f>
        <v/>
      </c>
      <c r="D67" s="23">
        <f>1/(1+EXP(-C67))</f>
        <v/>
      </c>
      <c r="E67" s="27">
        <f>'1 Data'!I56</f>
        <v/>
      </c>
      <c r="F67" s="29">
        <f>RANK(D67,$D$23:$D$1022)</f>
        <v/>
      </c>
      <c r="G67" s="30">
        <f>COUNTIF($D$23:$D$1022,"&lt;"&amp;D67)+(COUNTIF($D$23:$D$1022,"="&amp;D67)+1)/2</f>
        <v/>
      </c>
    </row>
    <row r="68">
      <c r="B68" s="27">
        <f>'1 Data'!B57</f>
        <v/>
      </c>
      <c r="C68" s="28">
        <f>$C$12 + '1 Data'!C57*$C$13 + '1 Data'!D57*$C$14 + '1 Data'!E57*$C$15 + '1 Data'!F57*$C$16 + '1 Data'!G57*$C$17 + '1 Data'!H57*$C$18</f>
        <v/>
      </c>
      <c r="D68" s="23">
        <f>1/(1+EXP(-C68))</f>
        <v/>
      </c>
      <c r="E68" s="27">
        <f>'1 Data'!I57</f>
        <v/>
      </c>
      <c r="F68" s="29">
        <f>RANK(D68,$D$23:$D$1022)</f>
        <v/>
      </c>
      <c r="G68" s="30">
        <f>COUNTIF($D$23:$D$1022,"&lt;"&amp;D68)+(COUNTIF($D$23:$D$1022,"="&amp;D68)+1)/2</f>
        <v/>
      </c>
    </row>
    <row r="69">
      <c r="B69" s="27">
        <f>'1 Data'!B58</f>
        <v/>
      </c>
      <c r="C69" s="28">
        <f>$C$12 + '1 Data'!C58*$C$13 + '1 Data'!D58*$C$14 + '1 Data'!E58*$C$15 + '1 Data'!F58*$C$16 + '1 Data'!G58*$C$17 + '1 Data'!H58*$C$18</f>
        <v/>
      </c>
      <c r="D69" s="23">
        <f>1/(1+EXP(-C69))</f>
        <v/>
      </c>
      <c r="E69" s="27">
        <f>'1 Data'!I58</f>
        <v/>
      </c>
      <c r="F69" s="29">
        <f>RANK(D69,$D$23:$D$1022)</f>
        <v/>
      </c>
      <c r="G69" s="30">
        <f>COUNTIF($D$23:$D$1022,"&lt;"&amp;D69)+(COUNTIF($D$23:$D$1022,"="&amp;D69)+1)/2</f>
        <v/>
      </c>
    </row>
    <row r="70">
      <c r="B70" s="27">
        <f>'1 Data'!B59</f>
        <v/>
      </c>
      <c r="C70" s="28">
        <f>$C$12 + '1 Data'!C59*$C$13 + '1 Data'!D59*$C$14 + '1 Data'!E59*$C$15 + '1 Data'!F59*$C$16 + '1 Data'!G59*$C$17 + '1 Data'!H59*$C$18</f>
        <v/>
      </c>
      <c r="D70" s="23">
        <f>1/(1+EXP(-C70))</f>
        <v/>
      </c>
      <c r="E70" s="27">
        <f>'1 Data'!I59</f>
        <v/>
      </c>
      <c r="F70" s="29">
        <f>RANK(D70,$D$23:$D$1022)</f>
        <v/>
      </c>
      <c r="G70" s="30">
        <f>COUNTIF($D$23:$D$1022,"&lt;"&amp;D70)+(COUNTIF($D$23:$D$1022,"="&amp;D70)+1)/2</f>
        <v/>
      </c>
    </row>
    <row r="71">
      <c r="B71" s="27">
        <f>'1 Data'!B60</f>
        <v/>
      </c>
      <c r="C71" s="28">
        <f>$C$12 + '1 Data'!C60*$C$13 + '1 Data'!D60*$C$14 + '1 Data'!E60*$C$15 + '1 Data'!F60*$C$16 + '1 Data'!G60*$C$17 + '1 Data'!H60*$C$18</f>
        <v/>
      </c>
      <c r="D71" s="23">
        <f>1/(1+EXP(-C71))</f>
        <v/>
      </c>
      <c r="E71" s="27">
        <f>'1 Data'!I60</f>
        <v/>
      </c>
      <c r="F71" s="29">
        <f>RANK(D71,$D$23:$D$1022)</f>
        <v/>
      </c>
      <c r="G71" s="30">
        <f>COUNTIF($D$23:$D$1022,"&lt;"&amp;D71)+(COUNTIF($D$23:$D$1022,"="&amp;D71)+1)/2</f>
        <v/>
      </c>
    </row>
    <row r="72">
      <c r="B72" s="27">
        <f>'1 Data'!B61</f>
        <v/>
      </c>
      <c r="C72" s="28">
        <f>$C$12 + '1 Data'!C61*$C$13 + '1 Data'!D61*$C$14 + '1 Data'!E61*$C$15 + '1 Data'!F61*$C$16 + '1 Data'!G61*$C$17 + '1 Data'!H61*$C$18</f>
        <v/>
      </c>
      <c r="D72" s="23">
        <f>1/(1+EXP(-C72))</f>
        <v/>
      </c>
      <c r="E72" s="27">
        <f>'1 Data'!I61</f>
        <v/>
      </c>
      <c r="F72" s="29">
        <f>RANK(D72,$D$23:$D$1022)</f>
        <v/>
      </c>
      <c r="G72" s="30">
        <f>COUNTIF($D$23:$D$1022,"&lt;"&amp;D72)+(COUNTIF($D$23:$D$1022,"="&amp;D72)+1)/2</f>
        <v/>
      </c>
    </row>
    <row r="73">
      <c r="B73" s="27">
        <f>'1 Data'!B62</f>
        <v/>
      </c>
      <c r="C73" s="28">
        <f>$C$12 + '1 Data'!C62*$C$13 + '1 Data'!D62*$C$14 + '1 Data'!E62*$C$15 + '1 Data'!F62*$C$16 + '1 Data'!G62*$C$17 + '1 Data'!H62*$C$18</f>
        <v/>
      </c>
      <c r="D73" s="23">
        <f>1/(1+EXP(-C73))</f>
        <v/>
      </c>
      <c r="E73" s="27">
        <f>'1 Data'!I62</f>
        <v/>
      </c>
      <c r="F73" s="29">
        <f>RANK(D73,$D$23:$D$1022)</f>
        <v/>
      </c>
      <c r="G73" s="30">
        <f>COUNTIF($D$23:$D$1022,"&lt;"&amp;D73)+(COUNTIF($D$23:$D$1022,"="&amp;D73)+1)/2</f>
        <v/>
      </c>
    </row>
    <row r="74">
      <c r="B74" s="27">
        <f>'1 Data'!B63</f>
        <v/>
      </c>
      <c r="C74" s="28">
        <f>$C$12 + '1 Data'!C63*$C$13 + '1 Data'!D63*$C$14 + '1 Data'!E63*$C$15 + '1 Data'!F63*$C$16 + '1 Data'!G63*$C$17 + '1 Data'!H63*$C$18</f>
        <v/>
      </c>
      <c r="D74" s="23">
        <f>1/(1+EXP(-C74))</f>
        <v/>
      </c>
      <c r="E74" s="27">
        <f>'1 Data'!I63</f>
        <v/>
      </c>
      <c r="F74" s="29">
        <f>RANK(D74,$D$23:$D$1022)</f>
        <v/>
      </c>
      <c r="G74" s="30">
        <f>COUNTIF($D$23:$D$1022,"&lt;"&amp;D74)+(COUNTIF($D$23:$D$1022,"="&amp;D74)+1)/2</f>
        <v/>
      </c>
    </row>
    <row r="75">
      <c r="B75" s="27">
        <f>'1 Data'!B64</f>
        <v/>
      </c>
      <c r="C75" s="28">
        <f>$C$12 + '1 Data'!C64*$C$13 + '1 Data'!D64*$C$14 + '1 Data'!E64*$C$15 + '1 Data'!F64*$C$16 + '1 Data'!G64*$C$17 + '1 Data'!H64*$C$18</f>
        <v/>
      </c>
      <c r="D75" s="23">
        <f>1/(1+EXP(-C75))</f>
        <v/>
      </c>
      <c r="E75" s="27">
        <f>'1 Data'!I64</f>
        <v/>
      </c>
      <c r="F75" s="29">
        <f>RANK(D75,$D$23:$D$1022)</f>
        <v/>
      </c>
      <c r="G75" s="30">
        <f>COUNTIF($D$23:$D$1022,"&lt;"&amp;D75)+(COUNTIF($D$23:$D$1022,"="&amp;D75)+1)/2</f>
        <v/>
      </c>
    </row>
    <row r="76">
      <c r="B76" s="27">
        <f>'1 Data'!B65</f>
        <v/>
      </c>
      <c r="C76" s="28">
        <f>$C$12 + '1 Data'!C65*$C$13 + '1 Data'!D65*$C$14 + '1 Data'!E65*$C$15 + '1 Data'!F65*$C$16 + '1 Data'!G65*$C$17 + '1 Data'!H65*$C$18</f>
        <v/>
      </c>
      <c r="D76" s="23">
        <f>1/(1+EXP(-C76))</f>
        <v/>
      </c>
      <c r="E76" s="27">
        <f>'1 Data'!I65</f>
        <v/>
      </c>
      <c r="F76" s="29">
        <f>RANK(D76,$D$23:$D$1022)</f>
        <v/>
      </c>
      <c r="G76" s="30">
        <f>COUNTIF($D$23:$D$1022,"&lt;"&amp;D76)+(COUNTIF($D$23:$D$1022,"="&amp;D76)+1)/2</f>
        <v/>
      </c>
    </row>
    <row r="77">
      <c r="B77" s="27">
        <f>'1 Data'!B66</f>
        <v/>
      </c>
      <c r="C77" s="28">
        <f>$C$12 + '1 Data'!C66*$C$13 + '1 Data'!D66*$C$14 + '1 Data'!E66*$C$15 + '1 Data'!F66*$C$16 + '1 Data'!G66*$C$17 + '1 Data'!H66*$C$18</f>
        <v/>
      </c>
      <c r="D77" s="23">
        <f>1/(1+EXP(-C77))</f>
        <v/>
      </c>
      <c r="E77" s="27">
        <f>'1 Data'!I66</f>
        <v/>
      </c>
      <c r="F77" s="29">
        <f>RANK(D77,$D$23:$D$1022)</f>
        <v/>
      </c>
      <c r="G77" s="30">
        <f>COUNTIF($D$23:$D$1022,"&lt;"&amp;D77)+(COUNTIF($D$23:$D$1022,"="&amp;D77)+1)/2</f>
        <v/>
      </c>
    </row>
    <row r="78">
      <c r="B78" s="27">
        <f>'1 Data'!B67</f>
        <v/>
      </c>
      <c r="C78" s="28">
        <f>$C$12 + '1 Data'!C67*$C$13 + '1 Data'!D67*$C$14 + '1 Data'!E67*$C$15 + '1 Data'!F67*$C$16 + '1 Data'!G67*$C$17 + '1 Data'!H67*$C$18</f>
        <v/>
      </c>
      <c r="D78" s="23">
        <f>1/(1+EXP(-C78))</f>
        <v/>
      </c>
      <c r="E78" s="27">
        <f>'1 Data'!I67</f>
        <v/>
      </c>
      <c r="F78" s="29">
        <f>RANK(D78,$D$23:$D$1022)</f>
        <v/>
      </c>
      <c r="G78" s="30">
        <f>COUNTIF($D$23:$D$1022,"&lt;"&amp;D78)+(COUNTIF($D$23:$D$1022,"="&amp;D78)+1)/2</f>
        <v/>
      </c>
    </row>
    <row r="79">
      <c r="B79" s="27">
        <f>'1 Data'!B68</f>
        <v/>
      </c>
      <c r="C79" s="28">
        <f>$C$12 + '1 Data'!C68*$C$13 + '1 Data'!D68*$C$14 + '1 Data'!E68*$C$15 + '1 Data'!F68*$C$16 + '1 Data'!G68*$C$17 + '1 Data'!H68*$C$18</f>
        <v/>
      </c>
      <c r="D79" s="23">
        <f>1/(1+EXP(-C79))</f>
        <v/>
      </c>
      <c r="E79" s="27">
        <f>'1 Data'!I68</f>
        <v/>
      </c>
      <c r="F79" s="29">
        <f>RANK(D79,$D$23:$D$1022)</f>
        <v/>
      </c>
      <c r="G79" s="30">
        <f>COUNTIF($D$23:$D$1022,"&lt;"&amp;D79)+(COUNTIF($D$23:$D$1022,"="&amp;D79)+1)/2</f>
        <v/>
      </c>
    </row>
    <row r="80">
      <c r="B80" s="27">
        <f>'1 Data'!B69</f>
        <v/>
      </c>
      <c r="C80" s="28">
        <f>$C$12 + '1 Data'!C69*$C$13 + '1 Data'!D69*$C$14 + '1 Data'!E69*$C$15 + '1 Data'!F69*$C$16 + '1 Data'!G69*$C$17 + '1 Data'!H69*$C$18</f>
        <v/>
      </c>
      <c r="D80" s="23">
        <f>1/(1+EXP(-C80))</f>
        <v/>
      </c>
      <c r="E80" s="27">
        <f>'1 Data'!I69</f>
        <v/>
      </c>
      <c r="F80" s="29">
        <f>RANK(D80,$D$23:$D$1022)</f>
        <v/>
      </c>
      <c r="G80" s="30">
        <f>COUNTIF($D$23:$D$1022,"&lt;"&amp;D80)+(COUNTIF($D$23:$D$1022,"="&amp;D80)+1)/2</f>
        <v/>
      </c>
    </row>
    <row r="81">
      <c r="B81" s="27">
        <f>'1 Data'!B70</f>
        <v/>
      </c>
      <c r="C81" s="28">
        <f>$C$12 + '1 Data'!C70*$C$13 + '1 Data'!D70*$C$14 + '1 Data'!E70*$C$15 + '1 Data'!F70*$C$16 + '1 Data'!G70*$C$17 + '1 Data'!H70*$C$18</f>
        <v/>
      </c>
      <c r="D81" s="23">
        <f>1/(1+EXP(-C81))</f>
        <v/>
      </c>
      <c r="E81" s="27">
        <f>'1 Data'!I70</f>
        <v/>
      </c>
      <c r="F81" s="29">
        <f>RANK(D81,$D$23:$D$1022)</f>
        <v/>
      </c>
      <c r="G81" s="30">
        <f>COUNTIF($D$23:$D$1022,"&lt;"&amp;D81)+(COUNTIF($D$23:$D$1022,"="&amp;D81)+1)/2</f>
        <v/>
      </c>
    </row>
    <row r="82">
      <c r="B82" s="27">
        <f>'1 Data'!B71</f>
        <v/>
      </c>
      <c r="C82" s="28">
        <f>$C$12 + '1 Data'!C71*$C$13 + '1 Data'!D71*$C$14 + '1 Data'!E71*$C$15 + '1 Data'!F71*$C$16 + '1 Data'!G71*$C$17 + '1 Data'!H71*$C$18</f>
        <v/>
      </c>
      <c r="D82" s="23">
        <f>1/(1+EXP(-C82))</f>
        <v/>
      </c>
      <c r="E82" s="27">
        <f>'1 Data'!I71</f>
        <v/>
      </c>
      <c r="F82" s="29">
        <f>RANK(D82,$D$23:$D$1022)</f>
        <v/>
      </c>
      <c r="G82" s="30">
        <f>COUNTIF($D$23:$D$1022,"&lt;"&amp;D82)+(COUNTIF($D$23:$D$1022,"="&amp;D82)+1)/2</f>
        <v/>
      </c>
    </row>
    <row r="83">
      <c r="B83" s="27">
        <f>'1 Data'!B72</f>
        <v/>
      </c>
      <c r="C83" s="28">
        <f>$C$12 + '1 Data'!C72*$C$13 + '1 Data'!D72*$C$14 + '1 Data'!E72*$C$15 + '1 Data'!F72*$C$16 + '1 Data'!G72*$C$17 + '1 Data'!H72*$C$18</f>
        <v/>
      </c>
      <c r="D83" s="23">
        <f>1/(1+EXP(-C83))</f>
        <v/>
      </c>
      <c r="E83" s="27">
        <f>'1 Data'!I72</f>
        <v/>
      </c>
      <c r="F83" s="29">
        <f>RANK(D83,$D$23:$D$1022)</f>
        <v/>
      </c>
      <c r="G83" s="30">
        <f>COUNTIF($D$23:$D$1022,"&lt;"&amp;D83)+(COUNTIF($D$23:$D$1022,"="&amp;D83)+1)/2</f>
        <v/>
      </c>
    </row>
    <row r="84">
      <c r="B84" s="27">
        <f>'1 Data'!B73</f>
        <v/>
      </c>
      <c r="C84" s="28">
        <f>$C$12 + '1 Data'!C73*$C$13 + '1 Data'!D73*$C$14 + '1 Data'!E73*$C$15 + '1 Data'!F73*$C$16 + '1 Data'!G73*$C$17 + '1 Data'!H73*$C$18</f>
        <v/>
      </c>
      <c r="D84" s="23">
        <f>1/(1+EXP(-C84))</f>
        <v/>
      </c>
      <c r="E84" s="27">
        <f>'1 Data'!I73</f>
        <v/>
      </c>
      <c r="F84" s="29">
        <f>RANK(D84,$D$23:$D$1022)</f>
        <v/>
      </c>
      <c r="G84" s="30">
        <f>COUNTIF($D$23:$D$1022,"&lt;"&amp;D84)+(COUNTIF($D$23:$D$1022,"="&amp;D84)+1)/2</f>
        <v/>
      </c>
    </row>
    <row r="85">
      <c r="B85" s="27">
        <f>'1 Data'!B74</f>
        <v/>
      </c>
      <c r="C85" s="28">
        <f>$C$12 + '1 Data'!C74*$C$13 + '1 Data'!D74*$C$14 + '1 Data'!E74*$C$15 + '1 Data'!F74*$C$16 + '1 Data'!G74*$C$17 + '1 Data'!H74*$C$18</f>
        <v/>
      </c>
      <c r="D85" s="23">
        <f>1/(1+EXP(-C85))</f>
        <v/>
      </c>
      <c r="E85" s="27">
        <f>'1 Data'!I74</f>
        <v/>
      </c>
      <c r="F85" s="29">
        <f>RANK(D85,$D$23:$D$1022)</f>
        <v/>
      </c>
      <c r="G85" s="30">
        <f>COUNTIF($D$23:$D$1022,"&lt;"&amp;D85)+(COUNTIF($D$23:$D$1022,"="&amp;D85)+1)/2</f>
        <v/>
      </c>
    </row>
    <row r="86">
      <c r="B86" s="27">
        <f>'1 Data'!B75</f>
        <v/>
      </c>
      <c r="C86" s="28">
        <f>$C$12 + '1 Data'!C75*$C$13 + '1 Data'!D75*$C$14 + '1 Data'!E75*$C$15 + '1 Data'!F75*$C$16 + '1 Data'!G75*$C$17 + '1 Data'!H75*$C$18</f>
        <v/>
      </c>
      <c r="D86" s="23">
        <f>1/(1+EXP(-C86))</f>
        <v/>
      </c>
      <c r="E86" s="27">
        <f>'1 Data'!I75</f>
        <v/>
      </c>
      <c r="F86" s="29">
        <f>RANK(D86,$D$23:$D$1022)</f>
        <v/>
      </c>
      <c r="G86" s="30">
        <f>COUNTIF($D$23:$D$1022,"&lt;"&amp;D86)+(COUNTIF($D$23:$D$1022,"="&amp;D86)+1)/2</f>
        <v/>
      </c>
    </row>
    <row r="87">
      <c r="B87" s="27">
        <f>'1 Data'!B76</f>
        <v/>
      </c>
      <c r="C87" s="28">
        <f>$C$12 + '1 Data'!C76*$C$13 + '1 Data'!D76*$C$14 + '1 Data'!E76*$C$15 + '1 Data'!F76*$C$16 + '1 Data'!G76*$C$17 + '1 Data'!H76*$C$18</f>
        <v/>
      </c>
      <c r="D87" s="23">
        <f>1/(1+EXP(-C87))</f>
        <v/>
      </c>
      <c r="E87" s="27">
        <f>'1 Data'!I76</f>
        <v/>
      </c>
      <c r="F87" s="29">
        <f>RANK(D87,$D$23:$D$1022)</f>
        <v/>
      </c>
      <c r="G87" s="30">
        <f>COUNTIF($D$23:$D$1022,"&lt;"&amp;D87)+(COUNTIF($D$23:$D$1022,"="&amp;D87)+1)/2</f>
        <v/>
      </c>
    </row>
    <row r="88">
      <c r="B88" s="27">
        <f>'1 Data'!B77</f>
        <v/>
      </c>
      <c r="C88" s="28">
        <f>$C$12 + '1 Data'!C77*$C$13 + '1 Data'!D77*$C$14 + '1 Data'!E77*$C$15 + '1 Data'!F77*$C$16 + '1 Data'!G77*$C$17 + '1 Data'!H77*$C$18</f>
        <v/>
      </c>
      <c r="D88" s="23">
        <f>1/(1+EXP(-C88))</f>
        <v/>
      </c>
      <c r="E88" s="27">
        <f>'1 Data'!I77</f>
        <v/>
      </c>
      <c r="F88" s="29">
        <f>RANK(D88,$D$23:$D$1022)</f>
        <v/>
      </c>
      <c r="G88" s="30">
        <f>COUNTIF($D$23:$D$1022,"&lt;"&amp;D88)+(COUNTIF($D$23:$D$1022,"="&amp;D88)+1)/2</f>
        <v/>
      </c>
    </row>
    <row r="89">
      <c r="B89" s="27">
        <f>'1 Data'!B78</f>
        <v/>
      </c>
      <c r="C89" s="28">
        <f>$C$12 + '1 Data'!C78*$C$13 + '1 Data'!D78*$C$14 + '1 Data'!E78*$C$15 + '1 Data'!F78*$C$16 + '1 Data'!G78*$C$17 + '1 Data'!H78*$C$18</f>
        <v/>
      </c>
      <c r="D89" s="23">
        <f>1/(1+EXP(-C89))</f>
        <v/>
      </c>
      <c r="E89" s="27">
        <f>'1 Data'!I78</f>
        <v/>
      </c>
      <c r="F89" s="29">
        <f>RANK(D89,$D$23:$D$1022)</f>
        <v/>
      </c>
      <c r="G89" s="30">
        <f>COUNTIF($D$23:$D$1022,"&lt;"&amp;D89)+(COUNTIF($D$23:$D$1022,"="&amp;D89)+1)/2</f>
        <v/>
      </c>
    </row>
    <row r="90">
      <c r="B90" s="27">
        <f>'1 Data'!B79</f>
        <v/>
      </c>
      <c r="C90" s="28">
        <f>$C$12 + '1 Data'!C79*$C$13 + '1 Data'!D79*$C$14 + '1 Data'!E79*$C$15 + '1 Data'!F79*$C$16 + '1 Data'!G79*$C$17 + '1 Data'!H79*$C$18</f>
        <v/>
      </c>
      <c r="D90" s="23">
        <f>1/(1+EXP(-C90))</f>
        <v/>
      </c>
      <c r="E90" s="27">
        <f>'1 Data'!I79</f>
        <v/>
      </c>
      <c r="F90" s="29">
        <f>RANK(D90,$D$23:$D$1022)</f>
        <v/>
      </c>
      <c r="G90" s="30">
        <f>COUNTIF($D$23:$D$1022,"&lt;"&amp;D90)+(COUNTIF($D$23:$D$1022,"="&amp;D90)+1)/2</f>
        <v/>
      </c>
    </row>
    <row r="91">
      <c r="B91" s="27">
        <f>'1 Data'!B80</f>
        <v/>
      </c>
      <c r="C91" s="28">
        <f>$C$12 + '1 Data'!C80*$C$13 + '1 Data'!D80*$C$14 + '1 Data'!E80*$C$15 + '1 Data'!F80*$C$16 + '1 Data'!G80*$C$17 + '1 Data'!H80*$C$18</f>
        <v/>
      </c>
      <c r="D91" s="23">
        <f>1/(1+EXP(-C91))</f>
        <v/>
      </c>
      <c r="E91" s="27">
        <f>'1 Data'!I80</f>
        <v/>
      </c>
      <c r="F91" s="29">
        <f>RANK(D91,$D$23:$D$1022)</f>
        <v/>
      </c>
      <c r="G91" s="30">
        <f>COUNTIF($D$23:$D$1022,"&lt;"&amp;D91)+(COUNTIF($D$23:$D$1022,"="&amp;D91)+1)/2</f>
        <v/>
      </c>
    </row>
    <row r="92">
      <c r="B92" s="27">
        <f>'1 Data'!B81</f>
        <v/>
      </c>
      <c r="C92" s="28">
        <f>$C$12 + '1 Data'!C81*$C$13 + '1 Data'!D81*$C$14 + '1 Data'!E81*$C$15 + '1 Data'!F81*$C$16 + '1 Data'!G81*$C$17 + '1 Data'!H81*$C$18</f>
        <v/>
      </c>
      <c r="D92" s="23">
        <f>1/(1+EXP(-C92))</f>
        <v/>
      </c>
      <c r="E92" s="27">
        <f>'1 Data'!I81</f>
        <v/>
      </c>
      <c r="F92" s="29">
        <f>RANK(D92,$D$23:$D$1022)</f>
        <v/>
      </c>
      <c r="G92" s="30">
        <f>COUNTIF($D$23:$D$1022,"&lt;"&amp;D92)+(COUNTIF($D$23:$D$1022,"="&amp;D92)+1)/2</f>
        <v/>
      </c>
    </row>
    <row r="93">
      <c r="B93" s="27">
        <f>'1 Data'!B82</f>
        <v/>
      </c>
      <c r="C93" s="28">
        <f>$C$12 + '1 Data'!C82*$C$13 + '1 Data'!D82*$C$14 + '1 Data'!E82*$C$15 + '1 Data'!F82*$C$16 + '1 Data'!G82*$C$17 + '1 Data'!H82*$C$18</f>
        <v/>
      </c>
      <c r="D93" s="23">
        <f>1/(1+EXP(-C93))</f>
        <v/>
      </c>
      <c r="E93" s="27">
        <f>'1 Data'!I82</f>
        <v/>
      </c>
      <c r="F93" s="29">
        <f>RANK(D93,$D$23:$D$1022)</f>
        <v/>
      </c>
      <c r="G93" s="30">
        <f>COUNTIF($D$23:$D$1022,"&lt;"&amp;D93)+(COUNTIF($D$23:$D$1022,"="&amp;D93)+1)/2</f>
        <v/>
      </c>
    </row>
    <row r="94">
      <c r="B94" s="27">
        <f>'1 Data'!B83</f>
        <v/>
      </c>
      <c r="C94" s="28">
        <f>$C$12 + '1 Data'!C83*$C$13 + '1 Data'!D83*$C$14 + '1 Data'!E83*$C$15 + '1 Data'!F83*$C$16 + '1 Data'!G83*$C$17 + '1 Data'!H83*$C$18</f>
        <v/>
      </c>
      <c r="D94" s="23">
        <f>1/(1+EXP(-C94))</f>
        <v/>
      </c>
      <c r="E94" s="27">
        <f>'1 Data'!I83</f>
        <v/>
      </c>
      <c r="F94" s="29">
        <f>RANK(D94,$D$23:$D$1022)</f>
        <v/>
      </c>
      <c r="G94" s="30">
        <f>COUNTIF($D$23:$D$1022,"&lt;"&amp;D94)+(COUNTIF($D$23:$D$1022,"="&amp;D94)+1)/2</f>
        <v/>
      </c>
    </row>
    <row r="95">
      <c r="B95" s="27">
        <f>'1 Data'!B84</f>
        <v/>
      </c>
      <c r="C95" s="28">
        <f>$C$12 + '1 Data'!C84*$C$13 + '1 Data'!D84*$C$14 + '1 Data'!E84*$C$15 + '1 Data'!F84*$C$16 + '1 Data'!G84*$C$17 + '1 Data'!H84*$C$18</f>
        <v/>
      </c>
      <c r="D95" s="23">
        <f>1/(1+EXP(-C95))</f>
        <v/>
      </c>
      <c r="E95" s="27">
        <f>'1 Data'!I84</f>
        <v/>
      </c>
      <c r="F95" s="29">
        <f>RANK(D95,$D$23:$D$1022)</f>
        <v/>
      </c>
      <c r="G95" s="30">
        <f>COUNTIF($D$23:$D$1022,"&lt;"&amp;D95)+(COUNTIF($D$23:$D$1022,"="&amp;D95)+1)/2</f>
        <v/>
      </c>
    </row>
    <row r="96">
      <c r="B96" s="27">
        <f>'1 Data'!B85</f>
        <v/>
      </c>
      <c r="C96" s="28">
        <f>$C$12 + '1 Data'!C85*$C$13 + '1 Data'!D85*$C$14 + '1 Data'!E85*$C$15 + '1 Data'!F85*$C$16 + '1 Data'!G85*$C$17 + '1 Data'!H85*$C$18</f>
        <v/>
      </c>
      <c r="D96" s="23">
        <f>1/(1+EXP(-C96))</f>
        <v/>
      </c>
      <c r="E96" s="27">
        <f>'1 Data'!I85</f>
        <v/>
      </c>
      <c r="F96" s="29">
        <f>RANK(D96,$D$23:$D$1022)</f>
        <v/>
      </c>
      <c r="G96" s="30">
        <f>COUNTIF($D$23:$D$1022,"&lt;"&amp;D96)+(COUNTIF($D$23:$D$1022,"="&amp;D96)+1)/2</f>
        <v/>
      </c>
    </row>
    <row r="97">
      <c r="B97" s="27">
        <f>'1 Data'!B86</f>
        <v/>
      </c>
      <c r="C97" s="28">
        <f>$C$12 + '1 Data'!C86*$C$13 + '1 Data'!D86*$C$14 + '1 Data'!E86*$C$15 + '1 Data'!F86*$C$16 + '1 Data'!G86*$C$17 + '1 Data'!H86*$C$18</f>
        <v/>
      </c>
      <c r="D97" s="23">
        <f>1/(1+EXP(-C97))</f>
        <v/>
      </c>
      <c r="E97" s="27">
        <f>'1 Data'!I86</f>
        <v/>
      </c>
      <c r="F97" s="29">
        <f>RANK(D97,$D$23:$D$1022)</f>
        <v/>
      </c>
      <c r="G97" s="30">
        <f>COUNTIF($D$23:$D$1022,"&lt;"&amp;D97)+(COUNTIF($D$23:$D$1022,"="&amp;D97)+1)/2</f>
        <v/>
      </c>
    </row>
    <row r="98">
      <c r="B98" s="27">
        <f>'1 Data'!B87</f>
        <v/>
      </c>
      <c r="C98" s="28">
        <f>$C$12 + '1 Data'!C87*$C$13 + '1 Data'!D87*$C$14 + '1 Data'!E87*$C$15 + '1 Data'!F87*$C$16 + '1 Data'!G87*$C$17 + '1 Data'!H87*$C$18</f>
        <v/>
      </c>
      <c r="D98" s="23">
        <f>1/(1+EXP(-C98))</f>
        <v/>
      </c>
      <c r="E98" s="27">
        <f>'1 Data'!I87</f>
        <v/>
      </c>
      <c r="F98" s="29">
        <f>RANK(D98,$D$23:$D$1022)</f>
        <v/>
      </c>
      <c r="G98" s="30">
        <f>COUNTIF($D$23:$D$1022,"&lt;"&amp;D98)+(COUNTIF($D$23:$D$1022,"="&amp;D98)+1)/2</f>
        <v/>
      </c>
    </row>
    <row r="99">
      <c r="B99" s="27">
        <f>'1 Data'!B88</f>
        <v/>
      </c>
      <c r="C99" s="28">
        <f>$C$12 + '1 Data'!C88*$C$13 + '1 Data'!D88*$C$14 + '1 Data'!E88*$C$15 + '1 Data'!F88*$C$16 + '1 Data'!G88*$C$17 + '1 Data'!H88*$C$18</f>
        <v/>
      </c>
      <c r="D99" s="23">
        <f>1/(1+EXP(-C99))</f>
        <v/>
      </c>
      <c r="E99" s="27">
        <f>'1 Data'!I88</f>
        <v/>
      </c>
      <c r="F99" s="29">
        <f>RANK(D99,$D$23:$D$1022)</f>
        <v/>
      </c>
      <c r="G99" s="30">
        <f>COUNTIF($D$23:$D$1022,"&lt;"&amp;D99)+(COUNTIF($D$23:$D$1022,"="&amp;D99)+1)/2</f>
        <v/>
      </c>
    </row>
    <row r="100">
      <c r="B100" s="27">
        <f>'1 Data'!B89</f>
        <v/>
      </c>
      <c r="C100" s="28">
        <f>$C$12 + '1 Data'!C89*$C$13 + '1 Data'!D89*$C$14 + '1 Data'!E89*$C$15 + '1 Data'!F89*$C$16 + '1 Data'!G89*$C$17 + '1 Data'!H89*$C$18</f>
        <v/>
      </c>
      <c r="D100" s="23">
        <f>1/(1+EXP(-C100))</f>
        <v/>
      </c>
      <c r="E100" s="27">
        <f>'1 Data'!I89</f>
        <v/>
      </c>
      <c r="F100" s="29">
        <f>RANK(D100,$D$23:$D$1022)</f>
        <v/>
      </c>
      <c r="G100" s="30">
        <f>COUNTIF($D$23:$D$1022,"&lt;"&amp;D100)+(COUNTIF($D$23:$D$1022,"="&amp;D100)+1)/2</f>
        <v/>
      </c>
    </row>
    <row r="101">
      <c r="B101" s="27">
        <f>'1 Data'!B90</f>
        <v/>
      </c>
      <c r="C101" s="28">
        <f>$C$12 + '1 Data'!C90*$C$13 + '1 Data'!D90*$C$14 + '1 Data'!E90*$C$15 + '1 Data'!F90*$C$16 + '1 Data'!G90*$C$17 + '1 Data'!H90*$C$18</f>
        <v/>
      </c>
      <c r="D101" s="23">
        <f>1/(1+EXP(-C101))</f>
        <v/>
      </c>
      <c r="E101" s="27">
        <f>'1 Data'!I90</f>
        <v/>
      </c>
      <c r="F101" s="29">
        <f>RANK(D101,$D$23:$D$1022)</f>
        <v/>
      </c>
      <c r="G101" s="30">
        <f>COUNTIF($D$23:$D$1022,"&lt;"&amp;D101)+(COUNTIF($D$23:$D$1022,"="&amp;D101)+1)/2</f>
        <v/>
      </c>
    </row>
    <row r="102">
      <c r="B102" s="27">
        <f>'1 Data'!B91</f>
        <v/>
      </c>
      <c r="C102" s="28">
        <f>$C$12 + '1 Data'!C91*$C$13 + '1 Data'!D91*$C$14 + '1 Data'!E91*$C$15 + '1 Data'!F91*$C$16 + '1 Data'!G91*$C$17 + '1 Data'!H91*$C$18</f>
        <v/>
      </c>
      <c r="D102" s="23">
        <f>1/(1+EXP(-C102))</f>
        <v/>
      </c>
      <c r="E102" s="27">
        <f>'1 Data'!I91</f>
        <v/>
      </c>
      <c r="F102" s="29">
        <f>RANK(D102,$D$23:$D$1022)</f>
        <v/>
      </c>
      <c r="G102" s="30">
        <f>COUNTIF($D$23:$D$1022,"&lt;"&amp;D102)+(COUNTIF($D$23:$D$1022,"="&amp;D102)+1)/2</f>
        <v/>
      </c>
    </row>
    <row r="103">
      <c r="B103" s="27">
        <f>'1 Data'!B92</f>
        <v/>
      </c>
      <c r="C103" s="28">
        <f>$C$12 + '1 Data'!C92*$C$13 + '1 Data'!D92*$C$14 + '1 Data'!E92*$C$15 + '1 Data'!F92*$C$16 + '1 Data'!G92*$C$17 + '1 Data'!H92*$C$18</f>
        <v/>
      </c>
      <c r="D103" s="23">
        <f>1/(1+EXP(-C103))</f>
        <v/>
      </c>
      <c r="E103" s="27">
        <f>'1 Data'!I92</f>
        <v/>
      </c>
      <c r="F103" s="29">
        <f>RANK(D103,$D$23:$D$1022)</f>
        <v/>
      </c>
      <c r="G103" s="30">
        <f>COUNTIF($D$23:$D$1022,"&lt;"&amp;D103)+(COUNTIF($D$23:$D$1022,"="&amp;D103)+1)/2</f>
        <v/>
      </c>
    </row>
    <row r="104">
      <c r="B104" s="27">
        <f>'1 Data'!B93</f>
        <v/>
      </c>
      <c r="C104" s="28">
        <f>$C$12 + '1 Data'!C93*$C$13 + '1 Data'!D93*$C$14 + '1 Data'!E93*$C$15 + '1 Data'!F93*$C$16 + '1 Data'!G93*$C$17 + '1 Data'!H93*$C$18</f>
        <v/>
      </c>
      <c r="D104" s="23">
        <f>1/(1+EXP(-C104))</f>
        <v/>
      </c>
      <c r="E104" s="27">
        <f>'1 Data'!I93</f>
        <v/>
      </c>
      <c r="F104" s="29">
        <f>RANK(D104,$D$23:$D$1022)</f>
        <v/>
      </c>
      <c r="G104" s="30">
        <f>COUNTIF($D$23:$D$1022,"&lt;"&amp;D104)+(COUNTIF($D$23:$D$1022,"="&amp;D104)+1)/2</f>
        <v/>
      </c>
    </row>
    <row r="105">
      <c r="B105" s="27">
        <f>'1 Data'!B94</f>
        <v/>
      </c>
      <c r="C105" s="28">
        <f>$C$12 + '1 Data'!C94*$C$13 + '1 Data'!D94*$C$14 + '1 Data'!E94*$C$15 + '1 Data'!F94*$C$16 + '1 Data'!G94*$C$17 + '1 Data'!H94*$C$18</f>
        <v/>
      </c>
      <c r="D105" s="23">
        <f>1/(1+EXP(-C105))</f>
        <v/>
      </c>
      <c r="E105" s="27">
        <f>'1 Data'!I94</f>
        <v/>
      </c>
      <c r="F105" s="29">
        <f>RANK(D105,$D$23:$D$1022)</f>
        <v/>
      </c>
      <c r="G105" s="30">
        <f>COUNTIF($D$23:$D$1022,"&lt;"&amp;D105)+(COUNTIF($D$23:$D$1022,"="&amp;D105)+1)/2</f>
        <v/>
      </c>
    </row>
    <row r="106">
      <c r="B106" s="27">
        <f>'1 Data'!B95</f>
        <v/>
      </c>
      <c r="C106" s="28">
        <f>$C$12 + '1 Data'!C95*$C$13 + '1 Data'!D95*$C$14 + '1 Data'!E95*$C$15 + '1 Data'!F95*$C$16 + '1 Data'!G95*$C$17 + '1 Data'!H95*$C$18</f>
        <v/>
      </c>
      <c r="D106" s="23">
        <f>1/(1+EXP(-C106))</f>
        <v/>
      </c>
      <c r="E106" s="27">
        <f>'1 Data'!I95</f>
        <v/>
      </c>
      <c r="F106" s="29">
        <f>RANK(D106,$D$23:$D$1022)</f>
        <v/>
      </c>
      <c r="G106" s="30">
        <f>COUNTIF($D$23:$D$1022,"&lt;"&amp;D106)+(COUNTIF($D$23:$D$1022,"="&amp;D106)+1)/2</f>
        <v/>
      </c>
    </row>
    <row r="107">
      <c r="B107" s="27">
        <f>'1 Data'!B96</f>
        <v/>
      </c>
      <c r="C107" s="28">
        <f>$C$12 + '1 Data'!C96*$C$13 + '1 Data'!D96*$C$14 + '1 Data'!E96*$C$15 + '1 Data'!F96*$C$16 + '1 Data'!G96*$C$17 + '1 Data'!H96*$C$18</f>
        <v/>
      </c>
      <c r="D107" s="23">
        <f>1/(1+EXP(-C107))</f>
        <v/>
      </c>
      <c r="E107" s="27">
        <f>'1 Data'!I96</f>
        <v/>
      </c>
      <c r="F107" s="29">
        <f>RANK(D107,$D$23:$D$1022)</f>
        <v/>
      </c>
      <c r="G107" s="30">
        <f>COUNTIF($D$23:$D$1022,"&lt;"&amp;D107)+(COUNTIF($D$23:$D$1022,"="&amp;D107)+1)/2</f>
        <v/>
      </c>
    </row>
    <row r="108">
      <c r="B108" s="27">
        <f>'1 Data'!B97</f>
        <v/>
      </c>
      <c r="C108" s="28">
        <f>$C$12 + '1 Data'!C97*$C$13 + '1 Data'!D97*$C$14 + '1 Data'!E97*$C$15 + '1 Data'!F97*$C$16 + '1 Data'!G97*$C$17 + '1 Data'!H97*$C$18</f>
        <v/>
      </c>
      <c r="D108" s="23">
        <f>1/(1+EXP(-C108))</f>
        <v/>
      </c>
      <c r="E108" s="27">
        <f>'1 Data'!I97</f>
        <v/>
      </c>
      <c r="F108" s="29">
        <f>RANK(D108,$D$23:$D$1022)</f>
        <v/>
      </c>
      <c r="G108" s="30">
        <f>COUNTIF($D$23:$D$1022,"&lt;"&amp;D108)+(COUNTIF($D$23:$D$1022,"="&amp;D108)+1)/2</f>
        <v/>
      </c>
    </row>
    <row r="109">
      <c r="B109" s="27">
        <f>'1 Data'!B98</f>
        <v/>
      </c>
      <c r="C109" s="28">
        <f>$C$12 + '1 Data'!C98*$C$13 + '1 Data'!D98*$C$14 + '1 Data'!E98*$C$15 + '1 Data'!F98*$C$16 + '1 Data'!G98*$C$17 + '1 Data'!H98*$C$18</f>
        <v/>
      </c>
      <c r="D109" s="23">
        <f>1/(1+EXP(-C109))</f>
        <v/>
      </c>
      <c r="E109" s="27">
        <f>'1 Data'!I98</f>
        <v/>
      </c>
      <c r="F109" s="29">
        <f>RANK(D109,$D$23:$D$1022)</f>
        <v/>
      </c>
      <c r="G109" s="30">
        <f>COUNTIF($D$23:$D$1022,"&lt;"&amp;D109)+(COUNTIF($D$23:$D$1022,"="&amp;D109)+1)/2</f>
        <v/>
      </c>
    </row>
    <row r="110">
      <c r="B110" s="27">
        <f>'1 Data'!B99</f>
        <v/>
      </c>
      <c r="C110" s="28">
        <f>$C$12 + '1 Data'!C99*$C$13 + '1 Data'!D99*$C$14 + '1 Data'!E99*$C$15 + '1 Data'!F99*$C$16 + '1 Data'!G99*$C$17 + '1 Data'!H99*$C$18</f>
        <v/>
      </c>
      <c r="D110" s="23">
        <f>1/(1+EXP(-C110))</f>
        <v/>
      </c>
      <c r="E110" s="27">
        <f>'1 Data'!I99</f>
        <v/>
      </c>
      <c r="F110" s="29">
        <f>RANK(D110,$D$23:$D$1022)</f>
        <v/>
      </c>
      <c r="G110" s="30">
        <f>COUNTIF($D$23:$D$1022,"&lt;"&amp;D110)+(COUNTIF($D$23:$D$1022,"="&amp;D110)+1)/2</f>
        <v/>
      </c>
    </row>
    <row r="111">
      <c r="B111" s="27">
        <f>'1 Data'!B100</f>
        <v/>
      </c>
      <c r="C111" s="28">
        <f>$C$12 + '1 Data'!C100*$C$13 + '1 Data'!D100*$C$14 + '1 Data'!E100*$C$15 + '1 Data'!F100*$C$16 + '1 Data'!G100*$C$17 + '1 Data'!H100*$C$18</f>
        <v/>
      </c>
      <c r="D111" s="23">
        <f>1/(1+EXP(-C111))</f>
        <v/>
      </c>
      <c r="E111" s="27">
        <f>'1 Data'!I100</f>
        <v/>
      </c>
      <c r="F111" s="29">
        <f>RANK(D111,$D$23:$D$1022)</f>
        <v/>
      </c>
      <c r="G111" s="30">
        <f>COUNTIF($D$23:$D$1022,"&lt;"&amp;D111)+(COUNTIF($D$23:$D$1022,"="&amp;D111)+1)/2</f>
        <v/>
      </c>
    </row>
    <row r="112">
      <c r="B112" s="27">
        <f>'1 Data'!B101</f>
        <v/>
      </c>
      <c r="C112" s="28">
        <f>$C$12 + '1 Data'!C101*$C$13 + '1 Data'!D101*$C$14 + '1 Data'!E101*$C$15 + '1 Data'!F101*$C$16 + '1 Data'!G101*$C$17 + '1 Data'!H101*$C$18</f>
        <v/>
      </c>
      <c r="D112" s="23">
        <f>1/(1+EXP(-C112))</f>
        <v/>
      </c>
      <c r="E112" s="27">
        <f>'1 Data'!I101</f>
        <v/>
      </c>
      <c r="F112" s="29">
        <f>RANK(D112,$D$23:$D$1022)</f>
        <v/>
      </c>
      <c r="G112" s="30">
        <f>COUNTIF($D$23:$D$1022,"&lt;"&amp;D112)+(COUNTIF($D$23:$D$1022,"="&amp;D112)+1)/2</f>
        <v/>
      </c>
    </row>
    <row r="113">
      <c r="B113" s="27">
        <f>'1 Data'!B102</f>
        <v/>
      </c>
      <c r="C113" s="28">
        <f>$C$12 + '1 Data'!C102*$C$13 + '1 Data'!D102*$C$14 + '1 Data'!E102*$C$15 + '1 Data'!F102*$C$16 + '1 Data'!G102*$C$17 + '1 Data'!H102*$C$18</f>
        <v/>
      </c>
      <c r="D113" s="23">
        <f>1/(1+EXP(-C113))</f>
        <v/>
      </c>
      <c r="E113" s="27">
        <f>'1 Data'!I102</f>
        <v/>
      </c>
      <c r="F113" s="29">
        <f>RANK(D113,$D$23:$D$1022)</f>
        <v/>
      </c>
      <c r="G113" s="30">
        <f>COUNTIF($D$23:$D$1022,"&lt;"&amp;D113)+(COUNTIF($D$23:$D$1022,"="&amp;D113)+1)/2</f>
        <v/>
      </c>
    </row>
    <row r="114">
      <c r="B114" s="27">
        <f>'1 Data'!B103</f>
        <v/>
      </c>
      <c r="C114" s="28">
        <f>$C$12 + '1 Data'!C103*$C$13 + '1 Data'!D103*$C$14 + '1 Data'!E103*$C$15 + '1 Data'!F103*$C$16 + '1 Data'!G103*$C$17 + '1 Data'!H103*$C$18</f>
        <v/>
      </c>
      <c r="D114" s="23">
        <f>1/(1+EXP(-C114))</f>
        <v/>
      </c>
      <c r="E114" s="27">
        <f>'1 Data'!I103</f>
        <v/>
      </c>
      <c r="F114" s="29">
        <f>RANK(D114,$D$23:$D$1022)</f>
        <v/>
      </c>
      <c r="G114" s="30">
        <f>COUNTIF($D$23:$D$1022,"&lt;"&amp;D114)+(COUNTIF($D$23:$D$1022,"="&amp;D114)+1)/2</f>
        <v/>
      </c>
    </row>
    <row r="115">
      <c r="B115" s="27">
        <f>'1 Data'!B104</f>
        <v/>
      </c>
      <c r="C115" s="28">
        <f>$C$12 + '1 Data'!C104*$C$13 + '1 Data'!D104*$C$14 + '1 Data'!E104*$C$15 + '1 Data'!F104*$C$16 + '1 Data'!G104*$C$17 + '1 Data'!H104*$C$18</f>
        <v/>
      </c>
      <c r="D115" s="23">
        <f>1/(1+EXP(-C115))</f>
        <v/>
      </c>
      <c r="E115" s="27">
        <f>'1 Data'!I104</f>
        <v/>
      </c>
      <c r="F115" s="29">
        <f>RANK(D115,$D$23:$D$1022)</f>
        <v/>
      </c>
      <c r="G115" s="30">
        <f>COUNTIF($D$23:$D$1022,"&lt;"&amp;D115)+(COUNTIF($D$23:$D$1022,"="&amp;D115)+1)/2</f>
        <v/>
      </c>
    </row>
    <row r="116">
      <c r="B116" s="27">
        <f>'1 Data'!B105</f>
        <v/>
      </c>
      <c r="C116" s="28">
        <f>$C$12 + '1 Data'!C105*$C$13 + '1 Data'!D105*$C$14 + '1 Data'!E105*$C$15 + '1 Data'!F105*$C$16 + '1 Data'!G105*$C$17 + '1 Data'!H105*$C$18</f>
        <v/>
      </c>
      <c r="D116" s="23">
        <f>1/(1+EXP(-C116))</f>
        <v/>
      </c>
      <c r="E116" s="27">
        <f>'1 Data'!I105</f>
        <v/>
      </c>
      <c r="F116" s="29">
        <f>RANK(D116,$D$23:$D$1022)</f>
        <v/>
      </c>
      <c r="G116" s="30">
        <f>COUNTIF($D$23:$D$1022,"&lt;"&amp;D116)+(COUNTIF($D$23:$D$1022,"="&amp;D116)+1)/2</f>
        <v/>
      </c>
    </row>
    <row r="117">
      <c r="B117" s="27">
        <f>'1 Data'!B106</f>
        <v/>
      </c>
      <c r="C117" s="28">
        <f>$C$12 + '1 Data'!C106*$C$13 + '1 Data'!D106*$C$14 + '1 Data'!E106*$C$15 + '1 Data'!F106*$C$16 + '1 Data'!G106*$C$17 + '1 Data'!H106*$C$18</f>
        <v/>
      </c>
      <c r="D117" s="23">
        <f>1/(1+EXP(-C117))</f>
        <v/>
      </c>
      <c r="E117" s="27">
        <f>'1 Data'!I106</f>
        <v/>
      </c>
      <c r="F117" s="29">
        <f>RANK(D117,$D$23:$D$1022)</f>
        <v/>
      </c>
      <c r="G117" s="30">
        <f>COUNTIF($D$23:$D$1022,"&lt;"&amp;D117)+(COUNTIF($D$23:$D$1022,"="&amp;D117)+1)/2</f>
        <v/>
      </c>
    </row>
    <row r="118">
      <c r="B118" s="27">
        <f>'1 Data'!B107</f>
        <v/>
      </c>
      <c r="C118" s="28">
        <f>$C$12 + '1 Data'!C107*$C$13 + '1 Data'!D107*$C$14 + '1 Data'!E107*$C$15 + '1 Data'!F107*$C$16 + '1 Data'!G107*$C$17 + '1 Data'!H107*$C$18</f>
        <v/>
      </c>
      <c r="D118" s="23">
        <f>1/(1+EXP(-C118))</f>
        <v/>
      </c>
      <c r="E118" s="27">
        <f>'1 Data'!I107</f>
        <v/>
      </c>
      <c r="F118" s="29">
        <f>RANK(D118,$D$23:$D$1022)</f>
        <v/>
      </c>
      <c r="G118" s="30">
        <f>COUNTIF($D$23:$D$1022,"&lt;"&amp;D118)+(COUNTIF($D$23:$D$1022,"="&amp;D118)+1)/2</f>
        <v/>
      </c>
    </row>
    <row r="119">
      <c r="B119" s="27">
        <f>'1 Data'!B108</f>
        <v/>
      </c>
      <c r="C119" s="28">
        <f>$C$12 + '1 Data'!C108*$C$13 + '1 Data'!D108*$C$14 + '1 Data'!E108*$C$15 + '1 Data'!F108*$C$16 + '1 Data'!G108*$C$17 + '1 Data'!H108*$C$18</f>
        <v/>
      </c>
      <c r="D119" s="23">
        <f>1/(1+EXP(-C119))</f>
        <v/>
      </c>
      <c r="E119" s="27">
        <f>'1 Data'!I108</f>
        <v/>
      </c>
      <c r="F119" s="29">
        <f>RANK(D119,$D$23:$D$1022)</f>
        <v/>
      </c>
      <c r="G119" s="30">
        <f>COUNTIF($D$23:$D$1022,"&lt;"&amp;D119)+(COUNTIF($D$23:$D$1022,"="&amp;D119)+1)/2</f>
        <v/>
      </c>
    </row>
    <row r="120">
      <c r="B120" s="27">
        <f>'1 Data'!B109</f>
        <v/>
      </c>
      <c r="C120" s="28">
        <f>$C$12 + '1 Data'!C109*$C$13 + '1 Data'!D109*$C$14 + '1 Data'!E109*$C$15 + '1 Data'!F109*$C$16 + '1 Data'!G109*$C$17 + '1 Data'!H109*$C$18</f>
        <v/>
      </c>
      <c r="D120" s="23">
        <f>1/(1+EXP(-C120))</f>
        <v/>
      </c>
      <c r="E120" s="27">
        <f>'1 Data'!I109</f>
        <v/>
      </c>
      <c r="F120" s="29">
        <f>RANK(D120,$D$23:$D$1022)</f>
        <v/>
      </c>
      <c r="G120" s="30">
        <f>COUNTIF($D$23:$D$1022,"&lt;"&amp;D120)+(COUNTIF($D$23:$D$1022,"="&amp;D120)+1)/2</f>
        <v/>
      </c>
    </row>
    <row r="121">
      <c r="B121" s="27">
        <f>'1 Data'!B110</f>
        <v/>
      </c>
      <c r="C121" s="28">
        <f>$C$12 + '1 Data'!C110*$C$13 + '1 Data'!D110*$C$14 + '1 Data'!E110*$C$15 + '1 Data'!F110*$C$16 + '1 Data'!G110*$C$17 + '1 Data'!H110*$C$18</f>
        <v/>
      </c>
      <c r="D121" s="23">
        <f>1/(1+EXP(-C121))</f>
        <v/>
      </c>
      <c r="E121" s="27">
        <f>'1 Data'!I110</f>
        <v/>
      </c>
      <c r="F121" s="29">
        <f>RANK(D121,$D$23:$D$1022)</f>
        <v/>
      </c>
      <c r="G121" s="30">
        <f>COUNTIF($D$23:$D$1022,"&lt;"&amp;D121)+(COUNTIF($D$23:$D$1022,"="&amp;D121)+1)/2</f>
        <v/>
      </c>
    </row>
    <row r="122">
      <c r="B122" s="27">
        <f>'1 Data'!B111</f>
        <v/>
      </c>
      <c r="C122" s="28">
        <f>$C$12 + '1 Data'!C111*$C$13 + '1 Data'!D111*$C$14 + '1 Data'!E111*$C$15 + '1 Data'!F111*$C$16 + '1 Data'!G111*$C$17 + '1 Data'!H111*$C$18</f>
        <v/>
      </c>
      <c r="D122" s="23">
        <f>1/(1+EXP(-C122))</f>
        <v/>
      </c>
      <c r="E122" s="27">
        <f>'1 Data'!I111</f>
        <v/>
      </c>
      <c r="F122" s="29">
        <f>RANK(D122,$D$23:$D$1022)</f>
        <v/>
      </c>
      <c r="G122" s="30">
        <f>COUNTIF($D$23:$D$1022,"&lt;"&amp;D122)+(COUNTIF($D$23:$D$1022,"="&amp;D122)+1)/2</f>
        <v/>
      </c>
    </row>
    <row r="123">
      <c r="B123" s="27">
        <f>'1 Data'!B112</f>
        <v/>
      </c>
      <c r="C123" s="28">
        <f>$C$12 + '1 Data'!C112*$C$13 + '1 Data'!D112*$C$14 + '1 Data'!E112*$C$15 + '1 Data'!F112*$C$16 + '1 Data'!G112*$C$17 + '1 Data'!H112*$C$18</f>
        <v/>
      </c>
      <c r="D123" s="23">
        <f>1/(1+EXP(-C123))</f>
        <v/>
      </c>
      <c r="E123" s="27">
        <f>'1 Data'!I112</f>
        <v/>
      </c>
      <c r="F123" s="29">
        <f>RANK(D123,$D$23:$D$1022)</f>
        <v/>
      </c>
      <c r="G123" s="30">
        <f>COUNTIF($D$23:$D$1022,"&lt;"&amp;D123)+(COUNTIF($D$23:$D$1022,"="&amp;D123)+1)/2</f>
        <v/>
      </c>
    </row>
    <row r="124">
      <c r="B124" s="27">
        <f>'1 Data'!B113</f>
        <v/>
      </c>
      <c r="C124" s="28">
        <f>$C$12 + '1 Data'!C113*$C$13 + '1 Data'!D113*$C$14 + '1 Data'!E113*$C$15 + '1 Data'!F113*$C$16 + '1 Data'!G113*$C$17 + '1 Data'!H113*$C$18</f>
        <v/>
      </c>
      <c r="D124" s="23">
        <f>1/(1+EXP(-C124))</f>
        <v/>
      </c>
      <c r="E124" s="27">
        <f>'1 Data'!I113</f>
        <v/>
      </c>
      <c r="F124" s="29">
        <f>RANK(D124,$D$23:$D$1022)</f>
        <v/>
      </c>
      <c r="G124" s="30">
        <f>COUNTIF($D$23:$D$1022,"&lt;"&amp;D124)+(COUNTIF($D$23:$D$1022,"="&amp;D124)+1)/2</f>
        <v/>
      </c>
    </row>
    <row r="125">
      <c r="B125" s="27">
        <f>'1 Data'!B114</f>
        <v/>
      </c>
      <c r="C125" s="28">
        <f>$C$12 + '1 Data'!C114*$C$13 + '1 Data'!D114*$C$14 + '1 Data'!E114*$C$15 + '1 Data'!F114*$C$16 + '1 Data'!G114*$C$17 + '1 Data'!H114*$C$18</f>
        <v/>
      </c>
      <c r="D125" s="23">
        <f>1/(1+EXP(-C125))</f>
        <v/>
      </c>
      <c r="E125" s="27">
        <f>'1 Data'!I114</f>
        <v/>
      </c>
      <c r="F125" s="29">
        <f>RANK(D125,$D$23:$D$1022)</f>
        <v/>
      </c>
      <c r="G125" s="30">
        <f>COUNTIF($D$23:$D$1022,"&lt;"&amp;D125)+(COUNTIF($D$23:$D$1022,"="&amp;D125)+1)/2</f>
        <v/>
      </c>
    </row>
    <row r="126">
      <c r="B126" s="27">
        <f>'1 Data'!B115</f>
        <v/>
      </c>
      <c r="C126" s="28">
        <f>$C$12 + '1 Data'!C115*$C$13 + '1 Data'!D115*$C$14 + '1 Data'!E115*$C$15 + '1 Data'!F115*$C$16 + '1 Data'!G115*$C$17 + '1 Data'!H115*$C$18</f>
        <v/>
      </c>
      <c r="D126" s="23">
        <f>1/(1+EXP(-C126))</f>
        <v/>
      </c>
      <c r="E126" s="27">
        <f>'1 Data'!I115</f>
        <v/>
      </c>
      <c r="F126" s="29">
        <f>RANK(D126,$D$23:$D$1022)</f>
        <v/>
      </c>
      <c r="G126" s="30">
        <f>COUNTIF($D$23:$D$1022,"&lt;"&amp;D126)+(COUNTIF($D$23:$D$1022,"="&amp;D126)+1)/2</f>
        <v/>
      </c>
    </row>
    <row r="127">
      <c r="B127" s="27">
        <f>'1 Data'!B116</f>
        <v/>
      </c>
      <c r="C127" s="28">
        <f>$C$12 + '1 Data'!C116*$C$13 + '1 Data'!D116*$C$14 + '1 Data'!E116*$C$15 + '1 Data'!F116*$C$16 + '1 Data'!G116*$C$17 + '1 Data'!H116*$C$18</f>
        <v/>
      </c>
      <c r="D127" s="23">
        <f>1/(1+EXP(-C127))</f>
        <v/>
      </c>
      <c r="E127" s="27">
        <f>'1 Data'!I116</f>
        <v/>
      </c>
      <c r="F127" s="29">
        <f>RANK(D127,$D$23:$D$1022)</f>
        <v/>
      </c>
      <c r="G127" s="30">
        <f>COUNTIF($D$23:$D$1022,"&lt;"&amp;D127)+(COUNTIF($D$23:$D$1022,"="&amp;D127)+1)/2</f>
        <v/>
      </c>
    </row>
    <row r="128">
      <c r="B128" s="27">
        <f>'1 Data'!B117</f>
        <v/>
      </c>
      <c r="C128" s="28">
        <f>$C$12 + '1 Data'!C117*$C$13 + '1 Data'!D117*$C$14 + '1 Data'!E117*$C$15 + '1 Data'!F117*$C$16 + '1 Data'!G117*$C$17 + '1 Data'!H117*$C$18</f>
        <v/>
      </c>
      <c r="D128" s="23">
        <f>1/(1+EXP(-C128))</f>
        <v/>
      </c>
      <c r="E128" s="27">
        <f>'1 Data'!I117</f>
        <v/>
      </c>
      <c r="F128" s="29">
        <f>RANK(D128,$D$23:$D$1022)</f>
        <v/>
      </c>
      <c r="G128" s="30">
        <f>COUNTIF($D$23:$D$1022,"&lt;"&amp;D128)+(COUNTIF($D$23:$D$1022,"="&amp;D128)+1)/2</f>
        <v/>
      </c>
    </row>
    <row r="129">
      <c r="B129" s="27">
        <f>'1 Data'!B118</f>
        <v/>
      </c>
      <c r="C129" s="28">
        <f>$C$12 + '1 Data'!C118*$C$13 + '1 Data'!D118*$C$14 + '1 Data'!E118*$C$15 + '1 Data'!F118*$C$16 + '1 Data'!G118*$C$17 + '1 Data'!H118*$C$18</f>
        <v/>
      </c>
      <c r="D129" s="23">
        <f>1/(1+EXP(-C129))</f>
        <v/>
      </c>
      <c r="E129" s="27">
        <f>'1 Data'!I118</f>
        <v/>
      </c>
      <c r="F129" s="29">
        <f>RANK(D129,$D$23:$D$1022)</f>
        <v/>
      </c>
      <c r="G129" s="30">
        <f>COUNTIF($D$23:$D$1022,"&lt;"&amp;D129)+(COUNTIF($D$23:$D$1022,"="&amp;D129)+1)/2</f>
        <v/>
      </c>
    </row>
    <row r="130">
      <c r="B130" s="27">
        <f>'1 Data'!B119</f>
        <v/>
      </c>
      <c r="C130" s="28">
        <f>$C$12 + '1 Data'!C119*$C$13 + '1 Data'!D119*$C$14 + '1 Data'!E119*$C$15 + '1 Data'!F119*$C$16 + '1 Data'!G119*$C$17 + '1 Data'!H119*$C$18</f>
        <v/>
      </c>
      <c r="D130" s="23">
        <f>1/(1+EXP(-C130))</f>
        <v/>
      </c>
      <c r="E130" s="27">
        <f>'1 Data'!I119</f>
        <v/>
      </c>
      <c r="F130" s="29">
        <f>RANK(D130,$D$23:$D$1022)</f>
        <v/>
      </c>
      <c r="G130" s="30">
        <f>COUNTIF($D$23:$D$1022,"&lt;"&amp;D130)+(COUNTIF($D$23:$D$1022,"="&amp;D130)+1)/2</f>
        <v/>
      </c>
    </row>
    <row r="131">
      <c r="B131" s="27">
        <f>'1 Data'!B120</f>
        <v/>
      </c>
      <c r="C131" s="28">
        <f>$C$12 + '1 Data'!C120*$C$13 + '1 Data'!D120*$C$14 + '1 Data'!E120*$C$15 + '1 Data'!F120*$C$16 + '1 Data'!G120*$C$17 + '1 Data'!H120*$C$18</f>
        <v/>
      </c>
      <c r="D131" s="23">
        <f>1/(1+EXP(-C131))</f>
        <v/>
      </c>
      <c r="E131" s="27">
        <f>'1 Data'!I120</f>
        <v/>
      </c>
      <c r="F131" s="29">
        <f>RANK(D131,$D$23:$D$1022)</f>
        <v/>
      </c>
      <c r="G131" s="30">
        <f>COUNTIF($D$23:$D$1022,"&lt;"&amp;D131)+(COUNTIF($D$23:$D$1022,"="&amp;D131)+1)/2</f>
        <v/>
      </c>
    </row>
    <row r="132">
      <c r="B132" s="27">
        <f>'1 Data'!B121</f>
        <v/>
      </c>
      <c r="C132" s="28">
        <f>$C$12 + '1 Data'!C121*$C$13 + '1 Data'!D121*$C$14 + '1 Data'!E121*$C$15 + '1 Data'!F121*$C$16 + '1 Data'!G121*$C$17 + '1 Data'!H121*$C$18</f>
        <v/>
      </c>
      <c r="D132" s="23">
        <f>1/(1+EXP(-C132))</f>
        <v/>
      </c>
      <c r="E132" s="27">
        <f>'1 Data'!I121</f>
        <v/>
      </c>
      <c r="F132" s="29">
        <f>RANK(D132,$D$23:$D$1022)</f>
        <v/>
      </c>
      <c r="G132" s="30">
        <f>COUNTIF($D$23:$D$1022,"&lt;"&amp;D132)+(COUNTIF($D$23:$D$1022,"="&amp;D132)+1)/2</f>
        <v/>
      </c>
    </row>
    <row r="133">
      <c r="B133" s="27">
        <f>'1 Data'!B122</f>
        <v/>
      </c>
      <c r="C133" s="28">
        <f>$C$12 + '1 Data'!C122*$C$13 + '1 Data'!D122*$C$14 + '1 Data'!E122*$C$15 + '1 Data'!F122*$C$16 + '1 Data'!G122*$C$17 + '1 Data'!H122*$C$18</f>
        <v/>
      </c>
      <c r="D133" s="23">
        <f>1/(1+EXP(-C133))</f>
        <v/>
      </c>
      <c r="E133" s="27">
        <f>'1 Data'!I122</f>
        <v/>
      </c>
      <c r="F133" s="29">
        <f>RANK(D133,$D$23:$D$1022)</f>
        <v/>
      </c>
      <c r="G133" s="30">
        <f>COUNTIF($D$23:$D$1022,"&lt;"&amp;D133)+(COUNTIF($D$23:$D$1022,"="&amp;D133)+1)/2</f>
        <v/>
      </c>
    </row>
    <row r="134">
      <c r="B134" s="27">
        <f>'1 Data'!B123</f>
        <v/>
      </c>
      <c r="C134" s="28">
        <f>$C$12 + '1 Data'!C123*$C$13 + '1 Data'!D123*$C$14 + '1 Data'!E123*$C$15 + '1 Data'!F123*$C$16 + '1 Data'!G123*$C$17 + '1 Data'!H123*$C$18</f>
        <v/>
      </c>
      <c r="D134" s="23">
        <f>1/(1+EXP(-C134))</f>
        <v/>
      </c>
      <c r="E134" s="27">
        <f>'1 Data'!I123</f>
        <v/>
      </c>
      <c r="F134" s="29">
        <f>RANK(D134,$D$23:$D$1022)</f>
        <v/>
      </c>
      <c r="G134" s="30">
        <f>COUNTIF($D$23:$D$1022,"&lt;"&amp;D134)+(COUNTIF($D$23:$D$1022,"="&amp;D134)+1)/2</f>
        <v/>
      </c>
    </row>
    <row r="135">
      <c r="B135" s="27">
        <f>'1 Data'!B124</f>
        <v/>
      </c>
      <c r="C135" s="28">
        <f>$C$12 + '1 Data'!C124*$C$13 + '1 Data'!D124*$C$14 + '1 Data'!E124*$C$15 + '1 Data'!F124*$C$16 + '1 Data'!G124*$C$17 + '1 Data'!H124*$C$18</f>
        <v/>
      </c>
      <c r="D135" s="23">
        <f>1/(1+EXP(-C135))</f>
        <v/>
      </c>
      <c r="E135" s="27">
        <f>'1 Data'!I124</f>
        <v/>
      </c>
      <c r="F135" s="29">
        <f>RANK(D135,$D$23:$D$1022)</f>
        <v/>
      </c>
      <c r="G135" s="30">
        <f>COUNTIF($D$23:$D$1022,"&lt;"&amp;D135)+(COUNTIF($D$23:$D$1022,"="&amp;D135)+1)/2</f>
        <v/>
      </c>
    </row>
    <row r="136">
      <c r="B136" s="27">
        <f>'1 Data'!B125</f>
        <v/>
      </c>
      <c r="C136" s="28">
        <f>$C$12 + '1 Data'!C125*$C$13 + '1 Data'!D125*$C$14 + '1 Data'!E125*$C$15 + '1 Data'!F125*$C$16 + '1 Data'!G125*$C$17 + '1 Data'!H125*$C$18</f>
        <v/>
      </c>
      <c r="D136" s="23">
        <f>1/(1+EXP(-C136))</f>
        <v/>
      </c>
      <c r="E136" s="27">
        <f>'1 Data'!I125</f>
        <v/>
      </c>
      <c r="F136" s="29">
        <f>RANK(D136,$D$23:$D$1022)</f>
        <v/>
      </c>
      <c r="G136" s="30">
        <f>COUNTIF($D$23:$D$1022,"&lt;"&amp;D136)+(COUNTIF($D$23:$D$1022,"="&amp;D136)+1)/2</f>
        <v/>
      </c>
    </row>
    <row r="137">
      <c r="B137" s="27">
        <f>'1 Data'!B126</f>
        <v/>
      </c>
      <c r="C137" s="28">
        <f>$C$12 + '1 Data'!C126*$C$13 + '1 Data'!D126*$C$14 + '1 Data'!E126*$C$15 + '1 Data'!F126*$C$16 + '1 Data'!G126*$C$17 + '1 Data'!H126*$C$18</f>
        <v/>
      </c>
      <c r="D137" s="23">
        <f>1/(1+EXP(-C137))</f>
        <v/>
      </c>
      <c r="E137" s="27">
        <f>'1 Data'!I126</f>
        <v/>
      </c>
      <c r="F137" s="29">
        <f>RANK(D137,$D$23:$D$1022)</f>
        <v/>
      </c>
      <c r="G137" s="30">
        <f>COUNTIF($D$23:$D$1022,"&lt;"&amp;D137)+(COUNTIF($D$23:$D$1022,"="&amp;D137)+1)/2</f>
        <v/>
      </c>
    </row>
    <row r="138">
      <c r="B138" s="27">
        <f>'1 Data'!B127</f>
        <v/>
      </c>
      <c r="C138" s="28">
        <f>$C$12 + '1 Data'!C127*$C$13 + '1 Data'!D127*$C$14 + '1 Data'!E127*$C$15 + '1 Data'!F127*$C$16 + '1 Data'!G127*$C$17 + '1 Data'!H127*$C$18</f>
        <v/>
      </c>
      <c r="D138" s="23">
        <f>1/(1+EXP(-C138))</f>
        <v/>
      </c>
      <c r="E138" s="27">
        <f>'1 Data'!I127</f>
        <v/>
      </c>
      <c r="F138" s="29">
        <f>RANK(D138,$D$23:$D$1022)</f>
        <v/>
      </c>
      <c r="G138" s="30">
        <f>COUNTIF($D$23:$D$1022,"&lt;"&amp;D138)+(COUNTIF($D$23:$D$1022,"="&amp;D138)+1)/2</f>
        <v/>
      </c>
    </row>
    <row r="139">
      <c r="B139" s="27">
        <f>'1 Data'!B128</f>
        <v/>
      </c>
      <c r="C139" s="28">
        <f>$C$12 + '1 Data'!C128*$C$13 + '1 Data'!D128*$C$14 + '1 Data'!E128*$C$15 + '1 Data'!F128*$C$16 + '1 Data'!G128*$C$17 + '1 Data'!H128*$C$18</f>
        <v/>
      </c>
      <c r="D139" s="23">
        <f>1/(1+EXP(-C139))</f>
        <v/>
      </c>
      <c r="E139" s="27">
        <f>'1 Data'!I128</f>
        <v/>
      </c>
      <c r="F139" s="29">
        <f>RANK(D139,$D$23:$D$1022)</f>
        <v/>
      </c>
      <c r="G139" s="30">
        <f>COUNTIF($D$23:$D$1022,"&lt;"&amp;D139)+(COUNTIF($D$23:$D$1022,"="&amp;D139)+1)/2</f>
        <v/>
      </c>
    </row>
    <row r="140">
      <c r="B140" s="27">
        <f>'1 Data'!B129</f>
        <v/>
      </c>
      <c r="C140" s="28">
        <f>$C$12 + '1 Data'!C129*$C$13 + '1 Data'!D129*$C$14 + '1 Data'!E129*$C$15 + '1 Data'!F129*$C$16 + '1 Data'!G129*$C$17 + '1 Data'!H129*$C$18</f>
        <v/>
      </c>
      <c r="D140" s="23">
        <f>1/(1+EXP(-C140))</f>
        <v/>
      </c>
      <c r="E140" s="27">
        <f>'1 Data'!I129</f>
        <v/>
      </c>
      <c r="F140" s="29">
        <f>RANK(D140,$D$23:$D$1022)</f>
        <v/>
      </c>
      <c r="G140" s="30">
        <f>COUNTIF($D$23:$D$1022,"&lt;"&amp;D140)+(COUNTIF($D$23:$D$1022,"="&amp;D140)+1)/2</f>
        <v/>
      </c>
    </row>
    <row r="141">
      <c r="B141" s="27">
        <f>'1 Data'!B130</f>
        <v/>
      </c>
      <c r="C141" s="28">
        <f>$C$12 + '1 Data'!C130*$C$13 + '1 Data'!D130*$C$14 + '1 Data'!E130*$C$15 + '1 Data'!F130*$C$16 + '1 Data'!G130*$C$17 + '1 Data'!H130*$C$18</f>
        <v/>
      </c>
      <c r="D141" s="23">
        <f>1/(1+EXP(-C141))</f>
        <v/>
      </c>
      <c r="E141" s="27">
        <f>'1 Data'!I130</f>
        <v/>
      </c>
      <c r="F141" s="29">
        <f>RANK(D141,$D$23:$D$1022)</f>
        <v/>
      </c>
      <c r="G141" s="30">
        <f>COUNTIF($D$23:$D$1022,"&lt;"&amp;D141)+(COUNTIF($D$23:$D$1022,"="&amp;D141)+1)/2</f>
        <v/>
      </c>
    </row>
    <row r="142">
      <c r="B142" s="27">
        <f>'1 Data'!B131</f>
        <v/>
      </c>
      <c r="C142" s="28">
        <f>$C$12 + '1 Data'!C131*$C$13 + '1 Data'!D131*$C$14 + '1 Data'!E131*$C$15 + '1 Data'!F131*$C$16 + '1 Data'!G131*$C$17 + '1 Data'!H131*$C$18</f>
        <v/>
      </c>
      <c r="D142" s="23">
        <f>1/(1+EXP(-C142))</f>
        <v/>
      </c>
      <c r="E142" s="27">
        <f>'1 Data'!I131</f>
        <v/>
      </c>
      <c r="F142" s="29">
        <f>RANK(D142,$D$23:$D$1022)</f>
        <v/>
      </c>
      <c r="G142" s="30">
        <f>COUNTIF($D$23:$D$1022,"&lt;"&amp;D142)+(COUNTIF($D$23:$D$1022,"="&amp;D142)+1)/2</f>
        <v/>
      </c>
    </row>
    <row r="143">
      <c r="B143" s="27">
        <f>'1 Data'!B132</f>
        <v/>
      </c>
      <c r="C143" s="28">
        <f>$C$12 + '1 Data'!C132*$C$13 + '1 Data'!D132*$C$14 + '1 Data'!E132*$C$15 + '1 Data'!F132*$C$16 + '1 Data'!G132*$C$17 + '1 Data'!H132*$C$18</f>
        <v/>
      </c>
      <c r="D143" s="23">
        <f>1/(1+EXP(-C143))</f>
        <v/>
      </c>
      <c r="E143" s="27">
        <f>'1 Data'!I132</f>
        <v/>
      </c>
      <c r="F143" s="29">
        <f>RANK(D143,$D$23:$D$1022)</f>
        <v/>
      </c>
      <c r="G143" s="30">
        <f>COUNTIF($D$23:$D$1022,"&lt;"&amp;D143)+(COUNTIF($D$23:$D$1022,"="&amp;D143)+1)/2</f>
        <v/>
      </c>
    </row>
    <row r="144">
      <c r="B144" s="27">
        <f>'1 Data'!B133</f>
        <v/>
      </c>
      <c r="C144" s="28">
        <f>$C$12 + '1 Data'!C133*$C$13 + '1 Data'!D133*$C$14 + '1 Data'!E133*$C$15 + '1 Data'!F133*$C$16 + '1 Data'!G133*$C$17 + '1 Data'!H133*$C$18</f>
        <v/>
      </c>
      <c r="D144" s="23">
        <f>1/(1+EXP(-C144))</f>
        <v/>
      </c>
      <c r="E144" s="27">
        <f>'1 Data'!I133</f>
        <v/>
      </c>
      <c r="F144" s="29">
        <f>RANK(D144,$D$23:$D$1022)</f>
        <v/>
      </c>
      <c r="G144" s="30">
        <f>COUNTIF($D$23:$D$1022,"&lt;"&amp;D144)+(COUNTIF($D$23:$D$1022,"="&amp;D144)+1)/2</f>
        <v/>
      </c>
    </row>
    <row r="145">
      <c r="B145" s="27">
        <f>'1 Data'!B134</f>
        <v/>
      </c>
      <c r="C145" s="28">
        <f>$C$12 + '1 Data'!C134*$C$13 + '1 Data'!D134*$C$14 + '1 Data'!E134*$C$15 + '1 Data'!F134*$C$16 + '1 Data'!G134*$C$17 + '1 Data'!H134*$C$18</f>
        <v/>
      </c>
      <c r="D145" s="23">
        <f>1/(1+EXP(-C145))</f>
        <v/>
      </c>
      <c r="E145" s="27">
        <f>'1 Data'!I134</f>
        <v/>
      </c>
      <c r="F145" s="29">
        <f>RANK(D145,$D$23:$D$1022)</f>
        <v/>
      </c>
      <c r="G145" s="30">
        <f>COUNTIF($D$23:$D$1022,"&lt;"&amp;D145)+(COUNTIF($D$23:$D$1022,"="&amp;D145)+1)/2</f>
        <v/>
      </c>
    </row>
    <row r="146">
      <c r="B146" s="27">
        <f>'1 Data'!B135</f>
        <v/>
      </c>
      <c r="C146" s="28">
        <f>$C$12 + '1 Data'!C135*$C$13 + '1 Data'!D135*$C$14 + '1 Data'!E135*$C$15 + '1 Data'!F135*$C$16 + '1 Data'!G135*$C$17 + '1 Data'!H135*$C$18</f>
        <v/>
      </c>
      <c r="D146" s="23">
        <f>1/(1+EXP(-C146))</f>
        <v/>
      </c>
      <c r="E146" s="27">
        <f>'1 Data'!I135</f>
        <v/>
      </c>
      <c r="F146" s="29">
        <f>RANK(D146,$D$23:$D$1022)</f>
        <v/>
      </c>
      <c r="G146" s="30">
        <f>COUNTIF($D$23:$D$1022,"&lt;"&amp;D146)+(COUNTIF($D$23:$D$1022,"="&amp;D146)+1)/2</f>
        <v/>
      </c>
    </row>
    <row r="147">
      <c r="B147" s="27">
        <f>'1 Data'!B136</f>
        <v/>
      </c>
      <c r="C147" s="28">
        <f>$C$12 + '1 Data'!C136*$C$13 + '1 Data'!D136*$C$14 + '1 Data'!E136*$C$15 + '1 Data'!F136*$C$16 + '1 Data'!G136*$C$17 + '1 Data'!H136*$C$18</f>
        <v/>
      </c>
      <c r="D147" s="23">
        <f>1/(1+EXP(-C147))</f>
        <v/>
      </c>
      <c r="E147" s="27">
        <f>'1 Data'!I136</f>
        <v/>
      </c>
      <c r="F147" s="29">
        <f>RANK(D147,$D$23:$D$1022)</f>
        <v/>
      </c>
      <c r="G147" s="30">
        <f>COUNTIF($D$23:$D$1022,"&lt;"&amp;D147)+(COUNTIF($D$23:$D$1022,"="&amp;D147)+1)/2</f>
        <v/>
      </c>
    </row>
    <row r="148">
      <c r="B148" s="27">
        <f>'1 Data'!B137</f>
        <v/>
      </c>
      <c r="C148" s="28">
        <f>$C$12 + '1 Data'!C137*$C$13 + '1 Data'!D137*$C$14 + '1 Data'!E137*$C$15 + '1 Data'!F137*$C$16 + '1 Data'!G137*$C$17 + '1 Data'!H137*$C$18</f>
        <v/>
      </c>
      <c r="D148" s="23">
        <f>1/(1+EXP(-C148))</f>
        <v/>
      </c>
      <c r="E148" s="27">
        <f>'1 Data'!I137</f>
        <v/>
      </c>
      <c r="F148" s="29">
        <f>RANK(D148,$D$23:$D$1022)</f>
        <v/>
      </c>
      <c r="G148" s="30">
        <f>COUNTIF($D$23:$D$1022,"&lt;"&amp;D148)+(COUNTIF($D$23:$D$1022,"="&amp;D148)+1)/2</f>
        <v/>
      </c>
    </row>
    <row r="149">
      <c r="B149" s="27">
        <f>'1 Data'!B138</f>
        <v/>
      </c>
      <c r="C149" s="28">
        <f>$C$12 + '1 Data'!C138*$C$13 + '1 Data'!D138*$C$14 + '1 Data'!E138*$C$15 + '1 Data'!F138*$C$16 + '1 Data'!G138*$C$17 + '1 Data'!H138*$C$18</f>
        <v/>
      </c>
      <c r="D149" s="23">
        <f>1/(1+EXP(-C149))</f>
        <v/>
      </c>
      <c r="E149" s="27">
        <f>'1 Data'!I138</f>
        <v/>
      </c>
      <c r="F149" s="29">
        <f>RANK(D149,$D$23:$D$1022)</f>
        <v/>
      </c>
      <c r="G149" s="30">
        <f>COUNTIF($D$23:$D$1022,"&lt;"&amp;D149)+(COUNTIF($D$23:$D$1022,"="&amp;D149)+1)/2</f>
        <v/>
      </c>
    </row>
    <row r="150">
      <c r="B150" s="27">
        <f>'1 Data'!B139</f>
        <v/>
      </c>
      <c r="C150" s="28">
        <f>$C$12 + '1 Data'!C139*$C$13 + '1 Data'!D139*$C$14 + '1 Data'!E139*$C$15 + '1 Data'!F139*$C$16 + '1 Data'!G139*$C$17 + '1 Data'!H139*$C$18</f>
        <v/>
      </c>
      <c r="D150" s="23">
        <f>1/(1+EXP(-C150))</f>
        <v/>
      </c>
      <c r="E150" s="27">
        <f>'1 Data'!I139</f>
        <v/>
      </c>
      <c r="F150" s="29">
        <f>RANK(D150,$D$23:$D$1022)</f>
        <v/>
      </c>
      <c r="G150" s="30">
        <f>COUNTIF($D$23:$D$1022,"&lt;"&amp;D150)+(COUNTIF($D$23:$D$1022,"="&amp;D150)+1)/2</f>
        <v/>
      </c>
    </row>
    <row r="151">
      <c r="B151" s="27">
        <f>'1 Data'!B140</f>
        <v/>
      </c>
      <c r="C151" s="28">
        <f>$C$12 + '1 Data'!C140*$C$13 + '1 Data'!D140*$C$14 + '1 Data'!E140*$C$15 + '1 Data'!F140*$C$16 + '1 Data'!G140*$C$17 + '1 Data'!H140*$C$18</f>
        <v/>
      </c>
      <c r="D151" s="23">
        <f>1/(1+EXP(-C151))</f>
        <v/>
      </c>
      <c r="E151" s="27">
        <f>'1 Data'!I140</f>
        <v/>
      </c>
      <c r="F151" s="29">
        <f>RANK(D151,$D$23:$D$1022)</f>
        <v/>
      </c>
      <c r="G151" s="30">
        <f>COUNTIF($D$23:$D$1022,"&lt;"&amp;D151)+(COUNTIF($D$23:$D$1022,"="&amp;D151)+1)/2</f>
        <v/>
      </c>
    </row>
    <row r="152">
      <c r="B152" s="27">
        <f>'1 Data'!B141</f>
        <v/>
      </c>
      <c r="C152" s="28">
        <f>$C$12 + '1 Data'!C141*$C$13 + '1 Data'!D141*$C$14 + '1 Data'!E141*$C$15 + '1 Data'!F141*$C$16 + '1 Data'!G141*$C$17 + '1 Data'!H141*$C$18</f>
        <v/>
      </c>
      <c r="D152" s="23">
        <f>1/(1+EXP(-C152))</f>
        <v/>
      </c>
      <c r="E152" s="27">
        <f>'1 Data'!I141</f>
        <v/>
      </c>
      <c r="F152" s="29">
        <f>RANK(D152,$D$23:$D$1022)</f>
        <v/>
      </c>
      <c r="G152" s="30">
        <f>COUNTIF($D$23:$D$1022,"&lt;"&amp;D152)+(COUNTIF($D$23:$D$1022,"="&amp;D152)+1)/2</f>
        <v/>
      </c>
    </row>
    <row r="153">
      <c r="B153" s="27">
        <f>'1 Data'!B142</f>
        <v/>
      </c>
      <c r="C153" s="28">
        <f>$C$12 + '1 Data'!C142*$C$13 + '1 Data'!D142*$C$14 + '1 Data'!E142*$C$15 + '1 Data'!F142*$C$16 + '1 Data'!G142*$C$17 + '1 Data'!H142*$C$18</f>
        <v/>
      </c>
      <c r="D153" s="23">
        <f>1/(1+EXP(-C153))</f>
        <v/>
      </c>
      <c r="E153" s="27">
        <f>'1 Data'!I142</f>
        <v/>
      </c>
      <c r="F153" s="29">
        <f>RANK(D153,$D$23:$D$1022)</f>
        <v/>
      </c>
      <c r="G153" s="30">
        <f>COUNTIF($D$23:$D$1022,"&lt;"&amp;D153)+(COUNTIF($D$23:$D$1022,"="&amp;D153)+1)/2</f>
        <v/>
      </c>
    </row>
    <row r="154">
      <c r="B154" s="27">
        <f>'1 Data'!B143</f>
        <v/>
      </c>
      <c r="C154" s="28">
        <f>$C$12 + '1 Data'!C143*$C$13 + '1 Data'!D143*$C$14 + '1 Data'!E143*$C$15 + '1 Data'!F143*$C$16 + '1 Data'!G143*$C$17 + '1 Data'!H143*$C$18</f>
        <v/>
      </c>
      <c r="D154" s="23">
        <f>1/(1+EXP(-C154))</f>
        <v/>
      </c>
      <c r="E154" s="27">
        <f>'1 Data'!I143</f>
        <v/>
      </c>
      <c r="F154" s="29">
        <f>RANK(D154,$D$23:$D$1022)</f>
        <v/>
      </c>
      <c r="G154" s="30">
        <f>COUNTIF($D$23:$D$1022,"&lt;"&amp;D154)+(COUNTIF($D$23:$D$1022,"="&amp;D154)+1)/2</f>
        <v/>
      </c>
    </row>
    <row r="155">
      <c r="B155" s="27">
        <f>'1 Data'!B144</f>
        <v/>
      </c>
      <c r="C155" s="28">
        <f>$C$12 + '1 Data'!C144*$C$13 + '1 Data'!D144*$C$14 + '1 Data'!E144*$C$15 + '1 Data'!F144*$C$16 + '1 Data'!G144*$C$17 + '1 Data'!H144*$C$18</f>
        <v/>
      </c>
      <c r="D155" s="23">
        <f>1/(1+EXP(-C155))</f>
        <v/>
      </c>
      <c r="E155" s="27">
        <f>'1 Data'!I144</f>
        <v/>
      </c>
      <c r="F155" s="29">
        <f>RANK(D155,$D$23:$D$1022)</f>
        <v/>
      </c>
      <c r="G155" s="30">
        <f>COUNTIF($D$23:$D$1022,"&lt;"&amp;D155)+(COUNTIF($D$23:$D$1022,"="&amp;D155)+1)/2</f>
        <v/>
      </c>
    </row>
    <row r="156">
      <c r="B156" s="27">
        <f>'1 Data'!B145</f>
        <v/>
      </c>
      <c r="C156" s="28">
        <f>$C$12 + '1 Data'!C145*$C$13 + '1 Data'!D145*$C$14 + '1 Data'!E145*$C$15 + '1 Data'!F145*$C$16 + '1 Data'!G145*$C$17 + '1 Data'!H145*$C$18</f>
        <v/>
      </c>
      <c r="D156" s="23">
        <f>1/(1+EXP(-C156))</f>
        <v/>
      </c>
      <c r="E156" s="27">
        <f>'1 Data'!I145</f>
        <v/>
      </c>
      <c r="F156" s="29">
        <f>RANK(D156,$D$23:$D$1022)</f>
        <v/>
      </c>
      <c r="G156" s="30">
        <f>COUNTIF($D$23:$D$1022,"&lt;"&amp;D156)+(COUNTIF($D$23:$D$1022,"="&amp;D156)+1)/2</f>
        <v/>
      </c>
    </row>
    <row r="157">
      <c r="B157" s="27">
        <f>'1 Data'!B146</f>
        <v/>
      </c>
      <c r="C157" s="28">
        <f>$C$12 + '1 Data'!C146*$C$13 + '1 Data'!D146*$C$14 + '1 Data'!E146*$C$15 + '1 Data'!F146*$C$16 + '1 Data'!G146*$C$17 + '1 Data'!H146*$C$18</f>
        <v/>
      </c>
      <c r="D157" s="23">
        <f>1/(1+EXP(-C157))</f>
        <v/>
      </c>
      <c r="E157" s="27">
        <f>'1 Data'!I146</f>
        <v/>
      </c>
      <c r="F157" s="29">
        <f>RANK(D157,$D$23:$D$1022)</f>
        <v/>
      </c>
      <c r="G157" s="30">
        <f>COUNTIF($D$23:$D$1022,"&lt;"&amp;D157)+(COUNTIF($D$23:$D$1022,"="&amp;D157)+1)/2</f>
        <v/>
      </c>
    </row>
    <row r="158">
      <c r="B158" s="27">
        <f>'1 Data'!B147</f>
        <v/>
      </c>
      <c r="C158" s="28">
        <f>$C$12 + '1 Data'!C147*$C$13 + '1 Data'!D147*$C$14 + '1 Data'!E147*$C$15 + '1 Data'!F147*$C$16 + '1 Data'!G147*$C$17 + '1 Data'!H147*$C$18</f>
        <v/>
      </c>
      <c r="D158" s="23">
        <f>1/(1+EXP(-C158))</f>
        <v/>
      </c>
      <c r="E158" s="27">
        <f>'1 Data'!I147</f>
        <v/>
      </c>
      <c r="F158" s="29">
        <f>RANK(D158,$D$23:$D$1022)</f>
        <v/>
      </c>
      <c r="G158" s="30">
        <f>COUNTIF($D$23:$D$1022,"&lt;"&amp;D158)+(COUNTIF($D$23:$D$1022,"="&amp;D158)+1)/2</f>
        <v/>
      </c>
    </row>
    <row r="159">
      <c r="B159" s="27">
        <f>'1 Data'!B148</f>
        <v/>
      </c>
      <c r="C159" s="28">
        <f>$C$12 + '1 Data'!C148*$C$13 + '1 Data'!D148*$C$14 + '1 Data'!E148*$C$15 + '1 Data'!F148*$C$16 + '1 Data'!G148*$C$17 + '1 Data'!H148*$C$18</f>
        <v/>
      </c>
      <c r="D159" s="23">
        <f>1/(1+EXP(-C159))</f>
        <v/>
      </c>
      <c r="E159" s="27">
        <f>'1 Data'!I148</f>
        <v/>
      </c>
      <c r="F159" s="29">
        <f>RANK(D159,$D$23:$D$1022)</f>
        <v/>
      </c>
      <c r="G159" s="30">
        <f>COUNTIF($D$23:$D$1022,"&lt;"&amp;D159)+(COUNTIF($D$23:$D$1022,"="&amp;D159)+1)/2</f>
        <v/>
      </c>
    </row>
    <row r="160">
      <c r="B160" s="27">
        <f>'1 Data'!B149</f>
        <v/>
      </c>
      <c r="C160" s="28">
        <f>$C$12 + '1 Data'!C149*$C$13 + '1 Data'!D149*$C$14 + '1 Data'!E149*$C$15 + '1 Data'!F149*$C$16 + '1 Data'!G149*$C$17 + '1 Data'!H149*$C$18</f>
        <v/>
      </c>
      <c r="D160" s="23">
        <f>1/(1+EXP(-C160))</f>
        <v/>
      </c>
      <c r="E160" s="27">
        <f>'1 Data'!I149</f>
        <v/>
      </c>
      <c r="F160" s="29">
        <f>RANK(D160,$D$23:$D$1022)</f>
        <v/>
      </c>
      <c r="G160" s="30">
        <f>COUNTIF($D$23:$D$1022,"&lt;"&amp;D160)+(COUNTIF($D$23:$D$1022,"="&amp;D160)+1)/2</f>
        <v/>
      </c>
    </row>
    <row r="161">
      <c r="B161" s="27">
        <f>'1 Data'!B150</f>
        <v/>
      </c>
      <c r="C161" s="28">
        <f>$C$12 + '1 Data'!C150*$C$13 + '1 Data'!D150*$C$14 + '1 Data'!E150*$C$15 + '1 Data'!F150*$C$16 + '1 Data'!G150*$C$17 + '1 Data'!H150*$C$18</f>
        <v/>
      </c>
      <c r="D161" s="23">
        <f>1/(1+EXP(-C161))</f>
        <v/>
      </c>
      <c r="E161" s="27">
        <f>'1 Data'!I150</f>
        <v/>
      </c>
      <c r="F161" s="29">
        <f>RANK(D161,$D$23:$D$1022)</f>
        <v/>
      </c>
      <c r="G161" s="30">
        <f>COUNTIF($D$23:$D$1022,"&lt;"&amp;D161)+(COUNTIF($D$23:$D$1022,"="&amp;D161)+1)/2</f>
        <v/>
      </c>
    </row>
    <row r="162">
      <c r="B162" s="27">
        <f>'1 Data'!B151</f>
        <v/>
      </c>
      <c r="C162" s="28">
        <f>$C$12 + '1 Data'!C151*$C$13 + '1 Data'!D151*$C$14 + '1 Data'!E151*$C$15 + '1 Data'!F151*$C$16 + '1 Data'!G151*$C$17 + '1 Data'!H151*$C$18</f>
        <v/>
      </c>
      <c r="D162" s="23">
        <f>1/(1+EXP(-C162))</f>
        <v/>
      </c>
      <c r="E162" s="27">
        <f>'1 Data'!I151</f>
        <v/>
      </c>
      <c r="F162" s="29">
        <f>RANK(D162,$D$23:$D$1022)</f>
        <v/>
      </c>
      <c r="G162" s="30">
        <f>COUNTIF($D$23:$D$1022,"&lt;"&amp;D162)+(COUNTIF($D$23:$D$1022,"="&amp;D162)+1)/2</f>
        <v/>
      </c>
    </row>
    <row r="163">
      <c r="B163" s="27">
        <f>'1 Data'!B152</f>
        <v/>
      </c>
      <c r="C163" s="28">
        <f>$C$12 + '1 Data'!C152*$C$13 + '1 Data'!D152*$C$14 + '1 Data'!E152*$C$15 + '1 Data'!F152*$C$16 + '1 Data'!G152*$C$17 + '1 Data'!H152*$C$18</f>
        <v/>
      </c>
      <c r="D163" s="23">
        <f>1/(1+EXP(-C163))</f>
        <v/>
      </c>
      <c r="E163" s="27">
        <f>'1 Data'!I152</f>
        <v/>
      </c>
      <c r="F163" s="29">
        <f>RANK(D163,$D$23:$D$1022)</f>
        <v/>
      </c>
      <c r="G163" s="30">
        <f>COUNTIF($D$23:$D$1022,"&lt;"&amp;D163)+(COUNTIF($D$23:$D$1022,"="&amp;D163)+1)/2</f>
        <v/>
      </c>
    </row>
    <row r="164">
      <c r="B164" s="27">
        <f>'1 Data'!B153</f>
        <v/>
      </c>
      <c r="C164" s="28">
        <f>$C$12 + '1 Data'!C153*$C$13 + '1 Data'!D153*$C$14 + '1 Data'!E153*$C$15 + '1 Data'!F153*$C$16 + '1 Data'!G153*$C$17 + '1 Data'!H153*$C$18</f>
        <v/>
      </c>
      <c r="D164" s="23">
        <f>1/(1+EXP(-C164))</f>
        <v/>
      </c>
      <c r="E164" s="27">
        <f>'1 Data'!I153</f>
        <v/>
      </c>
      <c r="F164" s="29">
        <f>RANK(D164,$D$23:$D$1022)</f>
        <v/>
      </c>
      <c r="G164" s="30">
        <f>COUNTIF($D$23:$D$1022,"&lt;"&amp;D164)+(COUNTIF($D$23:$D$1022,"="&amp;D164)+1)/2</f>
        <v/>
      </c>
    </row>
    <row r="165">
      <c r="B165" s="27">
        <f>'1 Data'!B154</f>
        <v/>
      </c>
      <c r="C165" s="28">
        <f>$C$12 + '1 Data'!C154*$C$13 + '1 Data'!D154*$C$14 + '1 Data'!E154*$C$15 + '1 Data'!F154*$C$16 + '1 Data'!G154*$C$17 + '1 Data'!H154*$C$18</f>
        <v/>
      </c>
      <c r="D165" s="23">
        <f>1/(1+EXP(-C165))</f>
        <v/>
      </c>
      <c r="E165" s="27">
        <f>'1 Data'!I154</f>
        <v/>
      </c>
      <c r="F165" s="29">
        <f>RANK(D165,$D$23:$D$1022)</f>
        <v/>
      </c>
      <c r="G165" s="30">
        <f>COUNTIF($D$23:$D$1022,"&lt;"&amp;D165)+(COUNTIF($D$23:$D$1022,"="&amp;D165)+1)/2</f>
        <v/>
      </c>
    </row>
    <row r="166">
      <c r="B166" s="27">
        <f>'1 Data'!B155</f>
        <v/>
      </c>
      <c r="C166" s="28">
        <f>$C$12 + '1 Data'!C155*$C$13 + '1 Data'!D155*$C$14 + '1 Data'!E155*$C$15 + '1 Data'!F155*$C$16 + '1 Data'!G155*$C$17 + '1 Data'!H155*$C$18</f>
        <v/>
      </c>
      <c r="D166" s="23">
        <f>1/(1+EXP(-C166))</f>
        <v/>
      </c>
      <c r="E166" s="27">
        <f>'1 Data'!I155</f>
        <v/>
      </c>
      <c r="F166" s="29">
        <f>RANK(D166,$D$23:$D$1022)</f>
        <v/>
      </c>
      <c r="G166" s="30">
        <f>COUNTIF($D$23:$D$1022,"&lt;"&amp;D166)+(COUNTIF($D$23:$D$1022,"="&amp;D166)+1)/2</f>
        <v/>
      </c>
    </row>
    <row r="167">
      <c r="B167" s="27">
        <f>'1 Data'!B156</f>
        <v/>
      </c>
      <c r="C167" s="28">
        <f>$C$12 + '1 Data'!C156*$C$13 + '1 Data'!D156*$C$14 + '1 Data'!E156*$C$15 + '1 Data'!F156*$C$16 + '1 Data'!G156*$C$17 + '1 Data'!H156*$C$18</f>
        <v/>
      </c>
      <c r="D167" s="23">
        <f>1/(1+EXP(-C167))</f>
        <v/>
      </c>
      <c r="E167" s="27">
        <f>'1 Data'!I156</f>
        <v/>
      </c>
      <c r="F167" s="29">
        <f>RANK(D167,$D$23:$D$1022)</f>
        <v/>
      </c>
      <c r="G167" s="30">
        <f>COUNTIF($D$23:$D$1022,"&lt;"&amp;D167)+(COUNTIF($D$23:$D$1022,"="&amp;D167)+1)/2</f>
        <v/>
      </c>
    </row>
    <row r="168">
      <c r="B168" s="27">
        <f>'1 Data'!B157</f>
        <v/>
      </c>
      <c r="C168" s="28">
        <f>$C$12 + '1 Data'!C157*$C$13 + '1 Data'!D157*$C$14 + '1 Data'!E157*$C$15 + '1 Data'!F157*$C$16 + '1 Data'!G157*$C$17 + '1 Data'!H157*$C$18</f>
        <v/>
      </c>
      <c r="D168" s="23">
        <f>1/(1+EXP(-C168))</f>
        <v/>
      </c>
      <c r="E168" s="27">
        <f>'1 Data'!I157</f>
        <v/>
      </c>
      <c r="F168" s="29">
        <f>RANK(D168,$D$23:$D$1022)</f>
        <v/>
      </c>
      <c r="G168" s="30">
        <f>COUNTIF($D$23:$D$1022,"&lt;"&amp;D168)+(COUNTIF($D$23:$D$1022,"="&amp;D168)+1)/2</f>
        <v/>
      </c>
    </row>
    <row r="169">
      <c r="B169" s="27">
        <f>'1 Data'!B158</f>
        <v/>
      </c>
      <c r="C169" s="28">
        <f>$C$12 + '1 Data'!C158*$C$13 + '1 Data'!D158*$C$14 + '1 Data'!E158*$C$15 + '1 Data'!F158*$C$16 + '1 Data'!G158*$C$17 + '1 Data'!H158*$C$18</f>
        <v/>
      </c>
      <c r="D169" s="23">
        <f>1/(1+EXP(-C169))</f>
        <v/>
      </c>
      <c r="E169" s="27">
        <f>'1 Data'!I158</f>
        <v/>
      </c>
      <c r="F169" s="29">
        <f>RANK(D169,$D$23:$D$1022)</f>
        <v/>
      </c>
      <c r="G169" s="30">
        <f>COUNTIF($D$23:$D$1022,"&lt;"&amp;D169)+(COUNTIF($D$23:$D$1022,"="&amp;D169)+1)/2</f>
        <v/>
      </c>
    </row>
    <row r="170">
      <c r="B170" s="27">
        <f>'1 Data'!B159</f>
        <v/>
      </c>
      <c r="C170" s="28">
        <f>$C$12 + '1 Data'!C159*$C$13 + '1 Data'!D159*$C$14 + '1 Data'!E159*$C$15 + '1 Data'!F159*$C$16 + '1 Data'!G159*$C$17 + '1 Data'!H159*$C$18</f>
        <v/>
      </c>
      <c r="D170" s="23">
        <f>1/(1+EXP(-C170))</f>
        <v/>
      </c>
      <c r="E170" s="27">
        <f>'1 Data'!I159</f>
        <v/>
      </c>
      <c r="F170" s="29">
        <f>RANK(D170,$D$23:$D$1022)</f>
        <v/>
      </c>
      <c r="G170" s="30">
        <f>COUNTIF($D$23:$D$1022,"&lt;"&amp;D170)+(COUNTIF($D$23:$D$1022,"="&amp;D170)+1)/2</f>
        <v/>
      </c>
    </row>
    <row r="171">
      <c r="B171" s="27">
        <f>'1 Data'!B160</f>
        <v/>
      </c>
      <c r="C171" s="28">
        <f>$C$12 + '1 Data'!C160*$C$13 + '1 Data'!D160*$C$14 + '1 Data'!E160*$C$15 + '1 Data'!F160*$C$16 + '1 Data'!G160*$C$17 + '1 Data'!H160*$C$18</f>
        <v/>
      </c>
      <c r="D171" s="23">
        <f>1/(1+EXP(-C171))</f>
        <v/>
      </c>
      <c r="E171" s="27">
        <f>'1 Data'!I160</f>
        <v/>
      </c>
      <c r="F171" s="29">
        <f>RANK(D171,$D$23:$D$1022)</f>
        <v/>
      </c>
      <c r="G171" s="30">
        <f>COUNTIF($D$23:$D$1022,"&lt;"&amp;D171)+(COUNTIF($D$23:$D$1022,"="&amp;D171)+1)/2</f>
        <v/>
      </c>
    </row>
    <row r="172">
      <c r="B172" s="27">
        <f>'1 Data'!B161</f>
        <v/>
      </c>
      <c r="C172" s="28">
        <f>$C$12 + '1 Data'!C161*$C$13 + '1 Data'!D161*$C$14 + '1 Data'!E161*$C$15 + '1 Data'!F161*$C$16 + '1 Data'!G161*$C$17 + '1 Data'!H161*$C$18</f>
        <v/>
      </c>
      <c r="D172" s="23">
        <f>1/(1+EXP(-C172))</f>
        <v/>
      </c>
      <c r="E172" s="27">
        <f>'1 Data'!I161</f>
        <v/>
      </c>
      <c r="F172" s="29">
        <f>RANK(D172,$D$23:$D$1022)</f>
        <v/>
      </c>
      <c r="G172" s="30">
        <f>COUNTIF($D$23:$D$1022,"&lt;"&amp;D172)+(COUNTIF($D$23:$D$1022,"="&amp;D172)+1)/2</f>
        <v/>
      </c>
    </row>
    <row r="173">
      <c r="B173" s="27">
        <f>'1 Data'!B162</f>
        <v/>
      </c>
      <c r="C173" s="28">
        <f>$C$12 + '1 Data'!C162*$C$13 + '1 Data'!D162*$C$14 + '1 Data'!E162*$C$15 + '1 Data'!F162*$C$16 + '1 Data'!G162*$C$17 + '1 Data'!H162*$C$18</f>
        <v/>
      </c>
      <c r="D173" s="23">
        <f>1/(1+EXP(-C173))</f>
        <v/>
      </c>
      <c r="E173" s="27">
        <f>'1 Data'!I162</f>
        <v/>
      </c>
      <c r="F173" s="29">
        <f>RANK(D173,$D$23:$D$1022)</f>
        <v/>
      </c>
      <c r="G173" s="30">
        <f>COUNTIF($D$23:$D$1022,"&lt;"&amp;D173)+(COUNTIF($D$23:$D$1022,"="&amp;D173)+1)/2</f>
        <v/>
      </c>
    </row>
    <row r="174">
      <c r="B174" s="27">
        <f>'1 Data'!B163</f>
        <v/>
      </c>
      <c r="C174" s="28">
        <f>$C$12 + '1 Data'!C163*$C$13 + '1 Data'!D163*$C$14 + '1 Data'!E163*$C$15 + '1 Data'!F163*$C$16 + '1 Data'!G163*$C$17 + '1 Data'!H163*$C$18</f>
        <v/>
      </c>
      <c r="D174" s="23">
        <f>1/(1+EXP(-C174))</f>
        <v/>
      </c>
      <c r="E174" s="27">
        <f>'1 Data'!I163</f>
        <v/>
      </c>
      <c r="F174" s="29">
        <f>RANK(D174,$D$23:$D$1022)</f>
        <v/>
      </c>
      <c r="G174" s="30">
        <f>COUNTIF($D$23:$D$1022,"&lt;"&amp;D174)+(COUNTIF($D$23:$D$1022,"="&amp;D174)+1)/2</f>
        <v/>
      </c>
    </row>
    <row r="175">
      <c r="B175" s="27">
        <f>'1 Data'!B164</f>
        <v/>
      </c>
      <c r="C175" s="28">
        <f>$C$12 + '1 Data'!C164*$C$13 + '1 Data'!D164*$C$14 + '1 Data'!E164*$C$15 + '1 Data'!F164*$C$16 + '1 Data'!G164*$C$17 + '1 Data'!H164*$C$18</f>
        <v/>
      </c>
      <c r="D175" s="23">
        <f>1/(1+EXP(-C175))</f>
        <v/>
      </c>
      <c r="E175" s="27">
        <f>'1 Data'!I164</f>
        <v/>
      </c>
      <c r="F175" s="29">
        <f>RANK(D175,$D$23:$D$1022)</f>
        <v/>
      </c>
      <c r="G175" s="30">
        <f>COUNTIF($D$23:$D$1022,"&lt;"&amp;D175)+(COUNTIF($D$23:$D$1022,"="&amp;D175)+1)/2</f>
        <v/>
      </c>
    </row>
    <row r="176">
      <c r="B176" s="27">
        <f>'1 Data'!B165</f>
        <v/>
      </c>
      <c r="C176" s="28">
        <f>$C$12 + '1 Data'!C165*$C$13 + '1 Data'!D165*$C$14 + '1 Data'!E165*$C$15 + '1 Data'!F165*$C$16 + '1 Data'!G165*$C$17 + '1 Data'!H165*$C$18</f>
        <v/>
      </c>
      <c r="D176" s="23">
        <f>1/(1+EXP(-C176))</f>
        <v/>
      </c>
      <c r="E176" s="27">
        <f>'1 Data'!I165</f>
        <v/>
      </c>
      <c r="F176" s="29">
        <f>RANK(D176,$D$23:$D$1022)</f>
        <v/>
      </c>
      <c r="G176" s="30">
        <f>COUNTIF($D$23:$D$1022,"&lt;"&amp;D176)+(COUNTIF($D$23:$D$1022,"="&amp;D176)+1)/2</f>
        <v/>
      </c>
    </row>
    <row r="177">
      <c r="B177" s="27">
        <f>'1 Data'!B166</f>
        <v/>
      </c>
      <c r="C177" s="28">
        <f>$C$12 + '1 Data'!C166*$C$13 + '1 Data'!D166*$C$14 + '1 Data'!E166*$C$15 + '1 Data'!F166*$C$16 + '1 Data'!G166*$C$17 + '1 Data'!H166*$C$18</f>
        <v/>
      </c>
      <c r="D177" s="23">
        <f>1/(1+EXP(-C177))</f>
        <v/>
      </c>
      <c r="E177" s="27">
        <f>'1 Data'!I166</f>
        <v/>
      </c>
      <c r="F177" s="29">
        <f>RANK(D177,$D$23:$D$1022)</f>
        <v/>
      </c>
      <c r="G177" s="30">
        <f>COUNTIF($D$23:$D$1022,"&lt;"&amp;D177)+(COUNTIF($D$23:$D$1022,"="&amp;D177)+1)/2</f>
        <v/>
      </c>
    </row>
    <row r="178">
      <c r="B178" s="27">
        <f>'1 Data'!B167</f>
        <v/>
      </c>
      <c r="C178" s="28">
        <f>$C$12 + '1 Data'!C167*$C$13 + '1 Data'!D167*$C$14 + '1 Data'!E167*$C$15 + '1 Data'!F167*$C$16 + '1 Data'!G167*$C$17 + '1 Data'!H167*$C$18</f>
        <v/>
      </c>
      <c r="D178" s="23">
        <f>1/(1+EXP(-C178))</f>
        <v/>
      </c>
      <c r="E178" s="27">
        <f>'1 Data'!I167</f>
        <v/>
      </c>
      <c r="F178" s="29">
        <f>RANK(D178,$D$23:$D$1022)</f>
        <v/>
      </c>
      <c r="G178" s="30">
        <f>COUNTIF($D$23:$D$1022,"&lt;"&amp;D178)+(COUNTIF($D$23:$D$1022,"="&amp;D178)+1)/2</f>
        <v/>
      </c>
    </row>
    <row r="179">
      <c r="B179" s="27">
        <f>'1 Data'!B168</f>
        <v/>
      </c>
      <c r="C179" s="28">
        <f>$C$12 + '1 Data'!C168*$C$13 + '1 Data'!D168*$C$14 + '1 Data'!E168*$C$15 + '1 Data'!F168*$C$16 + '1 Data'!G168*$C$17 + '1 Data'!H168*$C$18</f>
        <v/>
      </c>
      <c r="D179" s="23">
        <f>1/(1+EXP(-C179))</f>
        <v/>
      </c>
      <c r="E179" s="27">
        <f>'1 Data'!I168</f>
        <v/>
      </c>
      <c r="F179" s="29">
        <f>RANK(D179,$D$23:$D$1022)</f>
        <v/>
      </c>
      <c r="G179" s="30">
        <f>COUNTIF($D$23:$D$1022,"&lt;"&amp;D179)+(COUNTIF($D$23:$D$1022,"="&amp;D179)+1)/2</f>
        <v/>
      </c>
    </row>
    <row r="180">
      <c r="B180" s="27">
        <f>'1 Data'!B169</f>
        <v/>
      </c>
      <c r="C180" s="28">
        <f>$C$12 + '1 Data'!C169*$C$13 + '1 Data'!D169*$C$14 + '1 Data'!E169*$C$15 + '1 Data'!F169*$C$16 + '1 Data'!G169*$C$17 + '1 Data'!H169*$C$18</f>
        <v/>
      </c>
      <c r="D180" s="23">
        <f>1/(1+EXP(-C180))</f>
        <v/>
      </c>
      <c r="E180" s="27">
        <f>'1 Data'!I169</f>
        <v/>
      </c>
      <c r="F180" s="29">
        <f>RANK(D180,$D$23:$D$1022)</f>
        <v/>
      </c>
      <c r="G180" s="30">
        <f>COUNTIF($D$23:$D$1022,"&lt;"&amp;D180)+(COUNTIF($D$23:$D$1022,"="&amp;D180)+1)/2</f>
        <v/>
      </c>
    </row>
    <row r="181">
      <c r="B181" s="27">
        <f>'1 Data'!B170</f>
        <v/>
      </c>
      <c r="C181" s="28">
        <f>$C$12 + '1 Data'!C170*$C$13 + '1 Data'!D170*$C$14 + '1 Data'!E170*$C$15 + '1 Data'!F170*$C$16 + '1 Data'!G170*$C$17 + '1 Data'!H170*$C$18</f>
        <v/>
      </c>
      <c r="D181" s="23">
        <f>1/(1+EXP(-C181))</f>
        <v/>
      </c>
      <c r="E181" s="27">
        <f>'1 Data'!I170</f>
        <v/>
      </c>
      <c r="F181" s="29">
        <f>RANK(D181,$D$23:$D$1022)</f>
        <v/>
      </c>
      <c r="G181" s="30">
        <f>COUNTIF($D$23:$D$1022,"&lt;"&amp;D181)+(COUNTIF($D$23:$D$1022,"="&amp;D181)+1)/2</f>
        <v/>
      </c>
    </row>
    <row r="182">
      <c r="B182" s="27">
        <f>'1 Data'!B171</f>
        <v/>
      </c>
      <c r="C182" s="28">
        <f>$C$12 + '1 Data'!C171*$C$13 + '1 Data'!D171*$C$14 + '1 Data'!E171*$C$15 + '1 Data'!F171*$C$16 + '1 Data'!G171*$C$17 + '1 Data'!H171*$C$18</f>
        <v/>
      </c>
      <c r="D182" s="23">
        <f>1/(1+EXP(-C182))</f>
        <v/>
      </c>
      <c r="E182" s="27">
        <f>'1 Data'!I171</f>
        <v/>
      </c>
      <c r="F182" s="29">
        <f>RANK(D182,$D$23:$D$1022)</f>
        <v/>
      </c>
      <c r="G182" s="30">
        <f>COUNTIF($D$23:$D$1022,"&lt;"&amp;D182)+(COUNTIF($D$23:$D$1022,"="&amp;D182)+1)/2</f>
        <v/>
      </c>
    </row>
    <row r="183">
      <c r="B183" s="27">
        <f>'1 Data'!B172</f>
        <v/>
      </c>
      <c r="C183" s="28">
        <f>$C$12 + '1 Data'!C172*$C$13 + '1 Data'!D172*$C$14 + '1 Data'!E172*$C$15 + '1 Data'!F172*$C$16 + '1 Data'!G172*$C$17 + '1 Data'!H172*$C$18</f>
        <v/>
      </c>
      <c r="D183" s="23">
        <f>1/(1+EXP(-C183))</f>
        <v/>
      </c>
      <c r="E183" s="27">
        <f>'1 Data'!I172</f>
        <v/>
      </c>
      <c r="F183" s="29">
        <f>RANK(D183,$D$23:$D$1022)</f>
        <v/>
      </c>
      <c r="G183" s="30">
        <f>COUNTIF($D$23:$D$1022,"&lt;"&amp;D183)+(COUNTIF($D$23:$D$1022,"="&amp;D183)+1)/2</f>
        <v/>
      </c>
    </row>
    <row r="184">
      <c r="B184" s="27">
        <f>'1 Data'!B173</f>
        <v/>
      </c>
      <c r="C184" s="28">
        <f>$C$12 + '1 Data'!C173*$C$13 + '1 Data'!D173*$C$14 + '1 Data'!E173*$C$15 + '1 Data'!F173*$C$16 + '1 Data'!G173*$C$17 + '1 Data'!H173*$C$18</f>
        <v/>
      </c>
      <c r="D184" s="23">
        <f>1/(1+EXP(-C184))</f>
        <v/>
      </c>
      <c r="E184" s="27">
        <f>'1 Data'!I173</f>
        <v/>
      </c>
      <c r="F184" s="29">
        <f>RANK(D184,$D$23:$D$1022)</f>
        <v/>
      </c>
      <c r="G184" s="30">
        <f>COUNTIF($D$23:$D$1022,"&lt;"&amp;D184)+(COUNTIF($D$23:$D$1022,"="&amp;D184)+1)/2</f>
        <v/>
      </c>
    </row>
    <row r="185">
      <c r="B185" s="27">
        <f>'1 Data'!B174</f>
        <v/>
      </c>
      <c r="C185" s="28">
        <f>$C$12 + '1 Data'!C174*$C$13 + '1 Data'!D174*$C$14 + '1 Data'!E174*$C$15 + '1 Data'!F174*$C$16 + '1 Data'!G174*$C$17 + '1 Data'!H174*$C$18</f>
        <v/>
      </c>
      <c r="D185" s="23">
        <f>1/(1+EXP(-C185))</f>
        <v/>
      </c>
      <c r="E185" s="27">
        <f>'1 Data'!I174</f>
        <v/>
      </c>
      <c r="F185" s="29">
        <f>RANK(D185,$D$23:$D$1022)</f>
        <v/>
      </c>
      <c r="G185" s="30">
        <f>COUNTIF($D$23:$D$1022,"&lt;"&amp;D185)+(COUNTIF($D$23:$D$1022,"="&amp;D185)+1)/2</f>
        <v/>
      </c>
    </row>
    <row r="186">
      <c r="B186" s="27">
        <f>'1 Data'!B175</f>
        <v/>
      </c>
      <c r="C186" s="28">
        <f>$C$12 + '1 Data'!C175*$C$13 + '1 Data'!D175*$C$14 + '1 Data'!E175*$C$15 + '1 Data'!F175*$C$16 + '1 Data'!G175*$C$17 + '1 Data'!H175*$C$18</f>
        <v/>
      </c>
      <c r="D186" s="23">
        <f>1/(1+EXP(-C186))</f>
        <v/>
      </c>
      <c r="E186" s="27">
        <f>'1 Data'!I175</f>
        <v/>
      </c>
      <c r="F186" s="29">
        <f>RANK(D186,$D$23:$D$1022)</f>
        <v/>
      </c>
      <c r="G186" s="30">
        <f>COUNTIF($D$23:$D$1022,"&lt;"&amp;D186)+(COUNTIF($D$23:$D$1022,"="&amp;D186)+1)/2</f>
        <v/>
      </c>
    </row>
    <row r="187">
      <c r="B187" s="27">
        <f>'1 Data'!B176</f>
        <v/>
      </c>
      <c r="C187" s="28">
        <f>$C$12 + '1 Data'!C176*$C$13 + '1 Data'!D176*$C$14 + '1 Data'!E176*$C$15 + '1 Data'!F176*$C$16 + '1 Data'!G176*$C$17 + '1 Data'!H176*$C$18</f>
        <v/>
      </c>
      <c r="D187" s="23">
        <f>1/(1+EXP(-C187))</f>
        <v/>
      </c>
      <c r="E187" s="27">
        <f>'1 Data'!I176</f>
        <v/>
      </c>
      <c r="F187" s="29">
        <f>RANK(D187,$D$23:$D$1022)</f>
        <v/>
      </c>
      <c r="G187" s="30">
        <f>COUNTIF($D$23:$D$1022,"&lt;"&amp;D187)+(COUNTIF($D$23:$D$1022,"="&amp;D187)+1)/2</f>
        <v/>
      </c>
    </row>
    <row r="188">
      <c r="B188" s="27">
        <f>'1 Data'!B177</f>
        <v/>
      </c>
      <c r="C188" s="28">
        <f>$C$12 + '1 Data'!C177*$C$13 + '1 Data'!D177*$C$14 + '1 Data'!E177*$C$15 + '1 Data'!F177*$C$16 + '1 Data'!G177*$C$17 + '1 Data'!H177*$C$18</f>
        <v/>
      </c>
      <c r="D188" s="23">
        <f>1/(1+EXP(-C188))</f>
        <v/>
      </c>
      <c r="E188" s="27">
        <f>'1 Data'!I177</f>
        <v/>
      </c>
      <c r="F188" s="29">
        <f>RANK(D188,$D$23:$D$1022)</f>
        <v/>
      </c>
      <c r="G188" s="30">
        <f>COUNTIF($D$23:$D$1022,"&lt;"&amp;D188)+(COUNTIF($D$23:$D$1022,"="&amp;D188)+1)/2</f>
        <v/>
      </c>
    </row>
    <row r="189">
      <c r="B189" s="27">
        <f>'1 Data'!B178</f>
        <v/>
      </c>
      <c r="C189" s="28">
        <f>$C$12 + '1 Data'!C178*$C$13 + '1 Data'!D178*$C$14 + '1 Data'!E178*$C$15 + '1 Data'!F178*$C$16 + '1 Data'!G178*$C$17 + '1 Data'!H178*$C$18</f>
        <v/>
      </c>
      <c r="D189" s="23">
        <f>1/(1+EXP(-C189))</f>
        <v/>
      </c>
      <c r="E189" s="27">
        <f>'1 Data'!I178</f>
        <v/>
      </c>
      <c r="F189" s="29">
        <f>RANK(D189,$D$23:$D$1022)</f>
        <v/>
      </c>
      <c r="G189" s="30">
        <f>COUNTIF($D$23:$D$1022,"&lt;"&amp;D189)+(COUNTIF($D$23:$D$1022,"="&amp;D189)+1)/2</f>
        <v/>
      </c>
    </row>
    <row r="190">
      <c r="B190" s="27">
        <f>'1 Data'!B179</f>
        <v/>
      </c>
      <c r="C190" s="28">
        <f>$C$12 + '1 Data'!C179*$C$13 + '1 Data'!D179*$C$14 + '1 Data'!E179*$C$15 + '1 Data'!F179*$C$16 + '1 Data'!G179*$C$17 + '1 Data'!H179*$C$18</f>
        <v/>
      </c>
      <c r="D190" s="23">
        <f>1/(1+EXP(-C190))</f>
        <v/>
      </c>
      <c r="E190" s="27">
        <f>'1 Data'!I179</f>
        <v/>
      </c>
      <c r="F190" s="29">
        <f>RANK(D190,$D$23:$D$1022)</f>
        <v/>
      </c>
      <c r="G190" s="30">
        <f>COUNTIF($D$23:$D$1022,"&lt;"&amp;D190)+(COUNTIF($D$23:$D$1022,"="&amp;D190)+1)/2</f>
        <v/>
      </c>
    </row>
    <row r="191">
      <c r="B191" s="27">
        <f>'1 Data'!B180</f>
        <v/>
      </c>
      <c r="C191" s="28">
        <f>$C$12 + '1 Data'!C180*$C$13 + '1 Data'!D180*$C$14 + '1 Data'!E180*$C$15 + '1 Data'!F180*$C$16 + '1 Data'!G180*$C$17 + '1 Data'!H180*$C$18</f>
        <v/>
      </c>
      <c r="D191" s="23">
        <f>1/(1+EXP(-C191))</f>
        <v/>
      </c>
      <c r="E191" s="27">
        <f>'1 Data'!I180</f>
        <v/>
      </c>
      <c r="F191" s="29">
        <f>RANK(D191,$D$23:$D$1022)</f>
        <v/>
      </c>
      <c r="G191" s="30">
        <f>COUNTIF($D$23:$D$1022,"&lt;"&amp;D191)+(COUNTIF($D$23:$D$1022,"="&amp;D191)+1)/2</f>
        <v/>
      </c>
    </row>
    <row r="192">
      <c r="B192" s="27">
        <f>'1 Data'!B181</f>
        <v/>
      </c>
      <c r="C192" s="28">
        <f>$C$12 + '1 Data'!C181*$C$13 + '1 Data'!D181*$C$14 + '1 Data'!E181*$C$15 + '1 Data'!F181*$C$16 + '1 Data'!G181*$C$17 + '1 Data'!H181*$C$18</f>
        <v/>
      </c>
      <c r="D192" s="23">
        <f>1/(1+EXP(-C192))</f>
        <v/>
      </c>
      <c r="E192" s="27">
        <f>'1 Data'!I181</f>
        <v/>
      </c>
      <c r="F192" s="29">
        <f>RANK(D192,$D$23:$D$1022)</f>
        <v/>
      </c>
      <c r="G192" s="30">
        <f>COUNTIF($D$23:$D$1022,"&lt;"&amp;D192)+(COUNTIF($D$23:$D$1022,"="&amp;D192)+1)/2</f>
        <v/>
      </c>
    </row>
    <row r="193">
      <c r="B193" s="27">
        <f>'1 Data'!B182</f>
        <v/>
      </c>
      <c r="C193" s="28">
        <f>$C$12 + '1 Data'!C182*$C$13 + '1 Data'!D182*$C$14 + '1 Data'!E182*$C$15 + '1 Data'!F182*$C$16 + '1 Data'!G182*$C$17 + '1 Data'!H182*$C$18</f>
        <v/>
      </c>
      <c r="D193" s="23">
        <f>1/(1+EXP(-C193))</f>
        <v/>
      </c>
      <c r="E193" s="27">
        <f>'1 Data'!I182</f>
        <v/>
      </c>
      <c r="F193" s="29">
        <f>RANK(D193,$D$23:$D$1022)</f>
        <v/>
      </c>
      <c r="G193" s="30">
        <f>COUNTIF($D$23:$D$1022,"&lt;"&amp;D193)+(COUNTIF($D$23:$D$1022,"="&amp;D193)+1)/2</f>
        <v/>
      </c>
    </row>
    <row r="194">
      <c r="B194" s="27">
        <f>'1 Data'!B183</f>
        <v/>
      </c>
      <c r="C194" s="28">
        <f>$C$12 + '1 Data'!C183*$C$13 + '1 Data'!D183*$C$14 + '1 Data'!E183*$C$15 + '1 Data'!F183*$C$16 + '1 Data'!G183*$C$17 + '1 Data'!H183*$C$18</f>
        <v/>
      </c>
      <c r="D194" s="23">
        <f>1/(1+EXP(-C194))</f>
        <v/>
      </c>
      <c r="E194" s="27">
        <f>'1 Data'!I183</f>
        <v/>
      </c>
      <c r="F194" s="29">
        <f>RANK(D194,$D$23:$D$1022)</f>
        <v/>
      </c>
      <c r="G194" s="30">
        <f>COUNTIF($D$23:$D$1022,"&lt;"&amp;D194)+(COUNTIF($D$23:$D$1022,"="&amp;D194)+1)/2</f>
        <v/>
      </c>
    </row>
    <row r="195">
      <c r="B195" s="27">
        <f>'1 Data'!B184</f>
        <v/>
      </c>
      <c r="C195" s="28">
        <f>$C$12 + '1 Data'!C184*$C$13 + '1 Data'!D184*$C$14 + '1 Data'!E184*$C$15 + '1 Data'!F184*$C$16 + '1 Data'!G184*$C$17 + '1 Data'!H184*$C$18</f>
        <v/>
      </c>
      <c r="D195" s="23">
        <f>1/(1+EXP(-C195))</f>
        <v/>
      </c>
      <c r="E195" s="27">
        <f>'1 Data'!I184</f>
        <v/>
      </c>
      <c r="F195" s="29">
        <f>RANK(D195,$D$23:$D$1022)</f>
        <v/>
      </c>
      <c r="G195" s="30">
        <f>COUNTIF($D$23:$D$1022,"&lt;"&amp;D195)+(COUNTIF($D$23:$D$1022,"="&amp;D195)+1)/2</f>
        <v/>
      </c>
    </row>
    <row r="196">
      <c r="B196" s="27">
        <f>'1 Data'!B185</f>
        <v/>
      </c>
      <c r="C196" s="28">
        <f>$C$12 + '1 Data'!C185*$C$13 + '1 Data'!D185*$C$14 + '1 Data'!E185*$C$15 + '1 Data'!F185*$C$16 + '1 Data'!G185*$C$17 + '1 Data'!H185*$C$18</f>
        <v/>
      </c>
      <c r="D196" s="23">
        <f>1/(1+EXP(-C196))</f>
        <v/>
      </c>
      <c r="E196" s="27">
        <f>'1 Data'!I185</f>
        <v/>
      </c>
      <c r="F196" s="29">
        <f>RANK(D196,$D$23:$D$1022)</f>
        <v/>
      </c>
      <c r="G196" s="30">
        <f>COUNTIF($D$23:$D$1022,"&lt;"&amp;D196)+(COUNTIF($D$23:$D$1022,"="&amp;D196)+1)/2</f>
        <v/>
      </c>
    </row>
    <row r="197">
      <c r="B197" s="27">
        <f>'1 Data'!B186</f>
        <v/>
      </c>
      <c r="C197" s="28">
        <f>$C$12 + '1 Data'!C186*$C$13 + '1 Data'!D186*$C$14 + '1 Data'!E186*$C$15 + '1 Data'!F186*$C$16 + '1 Data'!G186*$C$17 + '1 Data'!H186*$C$18</f>
        <v/>
      </c>
      <c r="D197" s="23">
        <f>1/(1+EXP(-C197))</f>
        <v/>
      </c>
      <c r="E197" s="27">
        <f>'1 Data'!I186</f>
        <v/>
      </c>
      <c r="F197" s="29">
        <f>RANK(D197,$D$23:$D$1022)</f>
        <v/>
      </c>
      <c r="G197" s="30">
        <f>COUNTIF($D$23:$D$1022,"&lt;"&amp;D197)+(COUNTIF($D$23:$D$1022,"="&amp;D197)+1)/2</f>
        <v/>
      </c>
    </row>
    <row r="198">
      <c r="B198" s="27">
        <f>'1 Data'!B187</f>
        <v/>
      </c>
      <c r="C198" s="28">
        <f>$C$12 + '1 Data'!C187*$C$13 + '1 Data'!D187*$C$14 + '1 Data'!E187*$C$15 + '1 Data'!F187*$C$16 + '1 Data'!G187*$C$17 + '1 Data'!H187*$C$18</f>
        <v/>
      </c>
      <c r="D198" s="23">
        <f>1/(1+EXP(-C198))</f>
        <v/>
      </c>
      <c r="E198" s="27">
        <f>'1 Data'!I187</f>
        <v/>
      </c>
      <c r="F198" s="29">
        <f>RANK(D198,$D$23:$D$1022)</f>
        <v/>
      </c>
      <c r="G198" s="30">
        <f>COUNTIF($D$23:$D$1022,"&lt;"&amp;D198)+(COUNTIF($D$23:$D$1022,"="&amp;D198)+1)/2</f>
        <v/>
      </c>
    </row>
    <row r="199">
      <c r="B199" s="27">
        <f>'1 Data'!B188</f>
        <v/>
      </c>
      <c r="C199" s="28">
        <f>$C$12 + '1 Data'!C188*$C$13 + '1 Data'!D188*$C$14 + '1 Data'!E188*$C$15 + '1 Data'!F188*$C$16 + '1 Data'!G188*$C$17 + '1 Data'!H188*$C$18</f>
        <v/>
      </c>
      <c r="D199" s="23">
        <f>1/(1+EXP(-C199))</f>
        <v/>
      </c>
      <c r="E199" s="27">
        <f>'1 Data'!I188</f>
        <v/>
      </c>
      <c r="F199" s="29">
        <f>RANK(D199,$D$23:$D$1022)</f>
        <v/>
      </c>
      <c r="G199" s="30">
        <f>COUNTIF($D$23:$D$1022,"&lt;"&amp;D199)+(COUNTIF($D$23:$D$1022,"="&amp;D199)+1)/2</f>
        <v/>
      </c>
    </row>
    <row r="200">
      <c r="B200" s="27">
        <f>'1 Data'!B189</f>
        <v/>
      </c>
      <c r="C200" s="28">
        <f>$C$12 + '1 Data'!C189*$C$13 + '1 Data'!D189*$C$14 + '1 Data'!E189*$C$15 + '1 Data'!F189*$C$16 + '1 Data'!G189*$C$17 + '1 Data'!H189*$C$18</f>
        <v/>
      </c>
      <c r="D200" s="23">
        <f>1/(1+EXP(-C200))</f>
        <v/>
      </c>
      <c r="E200" s="27">
        <f>'1 Data'!I189</f>
        <v/>
      </c>
      <c r="F200" s="29">
        <f>RANK(D200,$D$23:$D$1022)</f>
        <v/>
      </c>
      <c r="G200" s="30">
        <f>COUNTIF($D$23:$D$1022,"&lt;"&amp;D200)+(COUNTIF($D$23:$D$1022,"="&amp;D200)+1)/2</f>
        <v/>
      </c>
    </row>
    <row r="201">
      <c r="B201" s="27">
        <f>'1 Data'!B190</f>
        <v/>
      </c>
      <c r="C201" s="28">
        <f>$C$12 + '1 Data'!C190*$C$13 + '1 Data'!D190*$C$14 + '1 Data'!E190*$C$15 + '1 Data'!F190*$C$16 + '1 Data'!G190*$C$17 + '1 Data'!H190*$C$18</f>
        <v/>
      </c>
      <c r="D201" s="23">
        <f>1/(1+EXP(-C201))</f>
        <v/>
      </c>
      <c r="E201" s="27">
        <f>'1 Data'!I190</f>
        <v/>
      </c>
      <c r="F201" s="29">
        <f>RANK(D201,$D$23:$D$1022)</f>
        <v/>
      </c>
      <c r="G201" s="30">
        <f>COUNTIF($D$23:$D$1022,"&lt;"&amp;D201)+(COUNTIF($D$23:$D$1022,"="&amp;D201)+1)/2</f>
        <v/>
      </c>
    </row>
    <row r="202">
      <c r="B202" s="27">
        <f>'1 Data'!B191</f>
        <v/>
      </c>
      <c r="C202" s="28">
        <f>$C$12 + '1 Data'!C191*$C$13 + '1 Data'!D191*$C$14 + '1 Data'!E191*$C$15 + '1 Data'!F191*$C$16 + '1 Data'!G191*$C$17 + '1 Data'!H191*$C$18</f>
        <v/>
      </c>
      <c r="D202" s="23">
        <f>1/(1+EXP(-C202))</f>
        <v/>
      </c>
      <c r="E202" s="27">
        <f>'1 Data'!I191</f>
        <v/>
      </c>
      <c r="F202" s="29">
        <f>RANK(D202,$D$23:$D$1022)</f>
        <v/>
      </c>
      <c r="G202" s="30">
        <f>COUNTIF($D$23:$D$1022,"&lt;"&amp;D202)+(COUNTIF($D$23:$D$1022,"="&amp;D202)+1)/2</f>
        <v/>
      </c>
    </row>
    <row r="203">
      <c r="B203" s="27">
        <f>'1 Data'!B192</f>
        <v/>
      </c>
      <c r="C203" s="28">
        <f>$C$12 + '1 Data'!C192*$C$13 + '1 Data'!D192*$C$14 + '1 Data'!E192*$C$15 + '1 Data'!F192*$C$16 + '1 Data'!G192*$C$17 + '1 Data'!H192*$C$18</f>
        <v/>
      </c>
      <c r="D203" s="23">
        <f>1/(1+EXP(-C203))</f>
        <v/>
      </c>
      <c r="E203" s="27">
        <f>'1 Data'!I192</f>
        <v/>
      </c>
      <c r="F203" s="29">
        <f>RANK(D203,$D$23:$D$1022)</f>
        <v/>
      </c>
      <c r="G203" s="30">
        <f>COUNTIF($D$23:$D$1022,"&lt;"&amp;D203)+(COUNTIF($D$23:$D$1022,"="&amp;D203)+1)/2</f>
        <v/>
      </c>
    </row>
    <row r="204">
      <c r="B204" s="27">
        <f>'1 Data'!B193</f>
        <v/>
      </c>
      <c r="C204" s="28">
        <f>$C$12 + '1 Data'!C193*$C$13 + '1 Data'!D193*$C$14 + '1 Data'!E193*$C$15 + '1 Data'!F193*$C$16 + '1 Data'!G193*$C$17 + '1 Data'!H193*$C$18</f>
        <v/>
      </c>
      <c r="D204" s="23">
        <f>1/(1+EXP(-C204))</f>
        <v/>
      </c>
      <c r="E204" s="27">
        <f>'1 Data'!I193</f>
        <v/>
      </c>
      <c r="F204" s="29">
        <f>RANK(D204,$D$23:$D$1022)</f>
        <v/>
      </c>
      <c r="G204" s="30">
        <f>COUNTIF($D$23:$D$1022,"&lt;"&amp;D204)+(COUNTIF($D$23:$D$1022,"="&amp;D204)+1)/2</f>
        <v/>
      </c>
    </row>
    <row r="205">
      <c r="B205" s="27">
        <f>'1 Data'!B194</f>
        <v/>
      </c>
      <c r="C205" s="28">
        <f>$C$12 + '1 Data'!C194*$C$13 + '1 Data'!D194*$C$14 + '1 Data'!E194*$C$15 + '1 Data'!F194*$C$16 + '1 Data'!G194*$C$17 + '1 Data'!H194*$C$18</f>
        <v/>
      </c>
      <c r="D205" s="23">
        <f>1/(1+EXP(-C205))</f>
        <v/>
      </c>
      <c r="E205" s="27">
        <f>'1 Data'!I194</f>
        <v/>
      </c>
      <c r="F205" s="29">
        <f>RANK(D205,$D$23:$D$1022)</f>
        <v/>
      </c>
      <c r="G205" s="30">
        <f>COUNTIF($D$23:$D$1022,"&lt;"&amp;D205)+(COUNTIF($D$23:$D$1022,"="&amp;D205)+1)/2</f>
        <v/>
      </c>
    </row>
    <row r="206">
      <c r="B206" s="27">
        <f>'1 Data'!B195</f>
        <v/>
      </c>
      <c r="C206" s="28">
        <f>$C$12 + '1 Data'!C195*$C$13 + '1 Data'!D195*$C$14 + '1 Data'!E195*$C$15 + '1 Data'!F195*$C$16 + '1 Data'!G195*$C$17 + '1 Data'!H195*$C$18</f>
        <v/>
      </c>
      <c r="D206" s="23">
        <f>1/(1+EXP(-C206))</f>
        <v/>
      </c>
      <c r="E206" s="27">
        <f>'1 Data'!I195</f>
        <v/>
      </c>
      <c r="F206" s="29">
        <f>RANK(D206,$D$23:$D$1022)</f>
        <v/>
      </c>
      <c r="G206" s="30">
        <f>COUNTIF($D$23:$D$1022,"&lt;"&amp;D206)+(COUNTIF($D$23:$D$1022,"="&amp;D206)+1)/2</f>
        <v/>
      </c>
    </row>
    <row r="207">
      <c r="B207" s="27">
        <f>'1 Data'!B196</f>
        <v/>
      </c>
      <c r="C207" s="28">
        <f>$C$12 + '1 Data'!C196*$C$13 + '1 Data'!D196*$C$14 + '1 Data'!E196*$C$15 + '1 Data'!F196*$C$16 + '1 Data'!G196*$C$17 + '1 Data'!H196*$C$18</f>
        <v/>
      </c>
      <c r="D207" s="23">
        <f>1/(1+EXP(-C207))</f>
        <v/>
      </c>
      <c r="E207" s="27">
        <f>'1 Data'!I196</f>
        <v/>
      </c>
      <c r="F207" s="29">
        <f>RANK(D207,$D$23:$D$1022)</f>
        <v/>
      </c>
      <c r="G207" s="30">
        <f>COUNTIF($D$23:$D$1022,"&lt;"&amp;D207)+(COUNTIF($D$23:$D$1022,"="&amp;D207)+1)/2</f>
        <v/>
      </c>
    </row>
    <row r="208">
      <c r="B208" s="27">
        <f>'1 Data'!B197</f>
        <v/>
      </c>
      <c r="C208" s="28">
        <f>$C$12 + '1 Data'!C197*$C$13 + '1 Data'!D197*$C$14 + '1 Data'!E197*$C$15 + '1 Data'!F197*$C$16 + '1 Data'!G197*$C$17 + '1 Data'!H197*$C$18</f>
        <v/>
      </c>
      <c r="D208" s="23">
        <f>1/(1+EXP(-C208))</f>
        <v/>
      </c>
      <c r="E208" s="27">
        <f>'1 Data'!I197</f>
        <v/>
      </c>
      <c r="F208" s="29">
        <f>RANK(D208,$D$23:$D$1022)</f>
        <v/>
      </c>
      <c r="G208" s="30">
        <f>COUNTIF($D$23:$D$1022,"&lt;"&amp;D208)+(COUNTIF($D$23:$D$1022,"="&amp;D208)+1)/2</f>
        <v/>
      </c>
    </row>
    <row r="209">
      <c r="B209" s="27">
        <f>'1 Data'!B198</f>
        <v/>
      </c>
      <c r="C209" s="28">
        <f>$C$12 + '1 Data'!C198*$C$13 + '1 Data'!D198*$C$14 + '1 Data'!E198*$C$15 + '1 Data'!F198*$C$16 + '1 Data'!G198*$C$17 + '1 Data'!H198*$C$18</f>
        <v/>
      </c>
      <c r="D209" s="23">
        <f>1/(1+EXP(-C209))</f>
        <v/>
      </c>
      <c r="E209" s="27">
        <f>'1 Data'!I198</f>
        <v/>
      </c>
      <c r="F209" s="29">
        <f>RANK(D209,$D$23:$D$1022)</f>
        <v/>
      </c>
      <c r="G209" s="30">
        <f>COUNTIF($D$23:$D$1022,"&lt;"&amp;D209)+(COUNTIF($D$23:$D$1022,"="&amp;D209)+1)/2</f>
        <v/>
      </c>
    </row>
    <row r="210">
      <c r="B210" s="27">
        <f>'1 Data'!B199</f>
        <v/>
      </c>
      <c r="C210" s="28">
        <f>$C$12 + '1 Data'!C199*$C$13 + '1 Data'!D199*$C$14 + '1 Data'!E199*$C$15 + '1 Data'!F199*$C$16 + '1 Data'!G199*$C$17 + '1 Data'!H199*$C$18</f>
        <v/>
      </c>
      <c r="D210" s="23">
        <f>1/(1+EXP(-C210))</f>
        <v/>
      </c>
      <c r="E210" s="27">
        <f>'1 Data'!I199</f>
        <v/>
      </c>
      <c r="F210" s="29">
        <f>RANK(D210,$D$23:$D$1022)</f>
        <v/>
      </c>
      <c r="G210" s="30">
        <f>COUNTIF($D$23:$D$1022,"&lt;"&amp;D210)+(COUNTIF($D$23:$D$1022,"="&amp;D210)+1)/2</f>
        <v/>
      </c>
    </row>
    <row r="211">
      <c r="B211" s="27">
        <f>'1 Data'!B200</f>
        <v/>
      </c>
      <c r="C211" s="28">
        <f>$C$12 + '1 Data'!C200*$C$13 + '1 Data'!D200*$C$14 + '1 Data'!E200*$C$15 + '1 Data'!F200*$C$16 + '1 Data'!G200*$C$17 + '1 Data'!H200*$C$18</f>
        <v/>
      </c>
      <c r="D211" s="23">
        <f>1/(1+EXP(-C211))</f>
        <v/>
      </c>
      <c r="E211" s="27">
        <f>'1 Data'!I200</f>
        <v/>
      </c>
      <c r="F211" s="29">
        <f>RANK(D211,$D$23:$D$1022)</f>
        <v/>
      </c>
      <c r="G211" s="30">
        <f>COUNTIF($D$23:$D$1022,"&lt;"&amp;D211)+(COUNTIF($D$23:$D$1022,"="&amp;D211)+1)/2</f>
        <v/>
      </c>
    </row>
    <row r="212">
      <c r="B212" s="27">
        <f>'1 Data'!B201</f>
        <v/>
      </c>
      <c r="C212" s="28">
        <f>$C$12 + '1 Data'!C201*$C$13 + '1 Data'!D201*$C$14 + '1 Data'!E201*$C$15 + '1 Data'!F201*$C$16 + '1 Data'!G201*$C$17 + '1 Data'!H201*$C$18</f>
        <v/>
      </c>
      <c r="D212" s="23">
        <f>1/(1+EXP(-C212))</f>
        <v/>
      </c>
      <c r="E212" s="27">
        <f>'1 Data'!I201</f>
        <v/>
      </c>
      <c r="F212" s="29">
        <f>RANK(D212,$D$23:$D$1022)</f>
        <v/>
      </c>
      <c r="G212" s="30">
        <f>COUNTIF($D$23:$D$1022,"&lt;"&amp;D212)+(COUNTIF($D$23:$D$1022,"="&amp;D212)+1)/2</f>
        <v/>
      </c>
    </row>
    <row r="213">
      <c r="B213" s="27">
        <f>'1 Data'!B202</f>
        <v/>
      </c>
      <c r="C213" s="28">
        <f>$C$12 + '1 Data'!C202*$C$13 + '1 Data'!D202*$C$14 + '1 Data'!E202*$C$15 + '1 Data'!F202*$C$16 + '1 Data'!G202*$C$17 + '1 Data'!H202*$C$18</f>
        <v/>
      </c>
      <c r="D213" s="23">
        <f>1/(1+EXP(-C213))</f>
        <v/>
      </c>
      <c r="E213" s="27">
        <f>'1 Data'!I202</f>
        <v/>
      </c>
      <c r="F213" s="29">
        <f>RANK(D213,$D$23:$D$1022)</f>
        <v/>
      </c>
      <c r="G213" s="30">
        <f>COUNTIF($D$23:$D$1022,"&lt;"&amp;D213)+(COUNTIF($D$23:$D$1022,"="&amp;D213)+1)/2</f>
        <v/>
      </c>
    </row>
    <row r="214">
      <c r="B214" s="27">
        <f>'1 Data'!B203</f>
        <v/>
      </c>
      <c r="C214" s="28">
        <f>$C$12 + '1 Data'!C203*$C$13 + '1 Data'!D203*$C$14 + '1 Data'!E203*$C$15 + '1 Data'!F203*$C$16 + '1 Data'!G203*$C$17 + '1 Data'!H203*$C$18</f>
        <v/>
      </c>
      <c r="D214" s="23">
        <f>1/(1+EXP(-C214))</f>
        <v/>
      </c>
      <c r="E214" s="27">
        <f>'1 Data'!I203</f>
        <v/>
      </c>
      <c r="F214" s="29">
        <f>RANK(D214,$D$23:$D$1022)</f>
        <v/>
      </c>
      <c r="G214" s="30">
        <f>COUNTIF($D$23:$D$1022,"&lt;"&amp;D214)+(COUNTIF($D$23:$D$1022,"="&amp;D214)+1)/2</f>
        <v/>
      </c>
    </row>
    <row r="215">
      <c r="B215" s="27">
        <f>'1 Data'!B204</f>
        <v/>
      </c>
      <c r="C215" s="28">
        <f>$C$12 + '1 Data'!C204*$C$13 + '1 Data'!D204*$C$14 + '1 Data'!E204*$C$15 + '1 Data'!F204*$C$16 + '1 Data'!G204*$C$17 + '1 Data'!H204*$C$18</f>
        <v/>
      </c>
      <c r="D215" s="23">
        <f>1/(1+EXP(-C215))</f>
        <v/>
      </c>
      <c r="E215" s="27">
        <f>'1 Data'!I204</f>
        <v/>
      </c>
      <c r="F215" s="29">
        <f>RANK(D215,$D$23:$D$1022)</f>
        <v/>
      </c>
      <c r="G215" s="30">
        <f>COUNTIF($D$23:$D$1022,"&lt;"&amp;D215)+(COUNTIF($D$23:$D$1022,"="&amp;D215)+1)/2</f>
        <v/>
      </c>
    </row>
    <row r="216">
      <c r="B216" s="27">
        <f>'1 Data'!B205</f>
        <v/>
      </c>
      <c r="C216" s="28">
        <f>$C$12 + '1 Data'!C205*$C$13 + '1 Data'!D205*$C$14 + '1 Data'!E205*$C$15 + '1 Data'!F205*$C$16 + '1 Data'!G205*$C$17 + '1 Data'!H205*$C$18</f>
        <v/>
      </c>
      <c r="D216" s="23">
        <f>1/(1+EXP(-C216))</f>
        <v/>
      </c>
      <c r="E216" s="27">
        <f>'1 Data'!I205</f>
        <v/>
      </c>
      <c r="F216" s="29">
        <f>RANK(D216,$D$23:$D$1022)</f>
        <v/>
      </c>
      <c r="G216" s="30">
        <f>COUNTIF($D$23:$D$1022,"&lt;"&amp;D216)+(COUNTIF($D$23:$D$1022,"="&amp;D216)+1)/2</f>
        <v/>
      </c>
    </row>
    <row r="217">
      <c r="B217" s="27">
        <f>'1 Data'!B206</f>
        <v/>
      </c>
      <c r="C217" s="28">
        <f>$C$12 + '1 Data'!C206*$C$13 + '1 Data'!D206*$C$14 + '1 Data'!E206*$C$15 + '1 Data'!F206*$C$16 + '1 Data'!G206*$C$17 + '1 Data'!H206*$C$18</f>
        <v/>
      </c>
      <c r="D217" s="23">
        <f>1/(1+EXP(-C217))</f>
        <v/>
      </c>
      <c r="E217" s="27">
        <f>'1 Data'!I206</f>
        <v/>
      </c>
      <c r="F217" s="29">
        <f>RANK(D217,$D$23:$D$1022)</f>
        <v/>
      </c>
      <c r="G217" s="30">
        <f>COUNTIF($D$23:$D$1022,"&lt;"&amp;D217)+(COUNTIF($D$23:$D$1022,"="&amp;D217)+1)/2</f>
        <v/>
      </c>
    </row>
    <row r="218">
      <c r="B218" s="27">
        <f>'1 Data'!B207</f>
        <v/>
      </c>
      <c r="C218" s="28">
        <f>$C$12 + '1 Data'!C207*$C$13 + '1 Data'!D207*$C$14 + '1 Data'!E207*$C$15 + '1 Data'!F207*$C$16 + '1 Data'!G207*$C$17 + '1 Data'!H207*$C$18</f>
        <v/>
      </c>
      <c r="D218" s="23">
        <f>1/(1+EXP(-C218))</f>
        <v/>
      </c>
      <c r="E218" s="27">
        <f>'1 Data'!I207</f>
        <v/>
      </c>
      <c r="F218" s="29">
        <f>RANK(D218,$D$23:$D$1022)</f>
        <v/>
      </c>
      <c r="G218" s="30">
        <f>COUNTIF($D$23:$D$1022,"&lt;"&amp;D218)+(COUNTIF($D$23:$D$1022,"="&amp;D218)+1)/2</f>
        <v/>
      </c>
    </row>
    <row r="219">
      <c r="B219" s="27">
        <f>'1 Data'!B208</f>
        <v/>
      </c>
      <c r="C219" s="28">
        <f>$C$12 + '1 Data'!C208*$C$13 + '1 Data'!D208*$C$14 + '1 Data'!E208*$C$15 + '1 Data'!F208*$C$16 + '1 Data'!G208*$C$17 + '1 Data'!H208*$C$18</f>
        <v/>
      </c>
      <c r="D219" s="23">
        <f>1/(1+EXP(-C219))</f>
        <v/>
      </c>
      <c r="E219" s="27">
        <f>'1 Data'!I208</f>
        <v/>
      </c>
      <c r="F219" s="29">
        <f>RANK(D219,$D$23:$D$1022)</f>
        <v/>
      </c>
      <c r="G219" s="30">
        <f>COUNTIF($D$23:$D$1022,"&lt;"&amp;D219)+(COUNTIF($D$23:$D$1022,"="&amp;D219)+1)/2</f>
        <v/>
      </c>
    </row>
    <row r="220">
      <c r="B220" s="27">
        <f>'1 Data'!B209</f>
        <v/>
      </c>
      <c r="C220" s="28">
        <f>$C$12 + '1 Data'!C209*$C$13 + '1 Data'!D209*$C$14 + '1 Data'!E209*$C$15 + '1 Data'!F209*$C$16 + '1 Data'!G209*$C$17 + '1 Data'!H209*$C$18</f>
        <v/>
      </c>
      <c r="D220" s="23">
        <f>1/(1+EXP(-C220))</f>
        <v/>
      </c>
      <c r="E220" s="27">
        <f>'1 Data'!I209</f>
        <v/>
      </c>
      <c r="F220" s="29">
        <f>RANK(D220,$D$23:$D$1022)</f>
        <v/>
      </c>
      <c r="G220" s="30">
        <f>COUNTIF($D$23:$D$1022,"&lt;"&amp;D220)+(COUNTIF($D$23:$D$1022,"="&amp;D220)+1)/2</f>
        <v/>
      </c>
    </row>
    <row r="221">
      <c r="B221" s="27">
        <f>'1 Data'!B210</f>
        <v/>
      </c>
      <c r="C221" s="28">
        <f>$C$12 + '1 Data'!C210*$C$13 + '1 Data'!D210*$C$14 + '1 Data'!E210*$C$15 + '1 Data'!F210*$C$16 + '1 Data'!G210*$C$17 + '1 Data'!H210*$C$18</f>
        <v/>
      </c>
      <c r="D221" s="23">
        <f>1/(1+EXP(-C221))</f>
        <v/>
      </c>
      <c r="E221" s="27">
        <f>'1 Data'!I210</f>
        <v/>
      </c>
      <c r="F221" s="29">
        <f>RANK(D221,$D$23:$D$1022)</f>
        <v/>
      </c>
      <c r="G221" s="30">
        <f>COUNTIF($D$23:$D$1022,"&lt;"&amp;D221)+(COUNTIF($D$23:$D$1022,"="&amp;D221)+1)/2</f>
        <v/>
      </c>
    </row>
    <row r="222">
      <c r="B222" s="27">
        <f>'1 Data'!B211</f>
        <v/>
      </c>
      <c r="C222" s="28">
        <f>$C$12 + '1 Data'!C211*$C$13 + '1 Data'!D211*$C$14 + '1 Data'!E211*$C$15 + '1 Data'!F211*$C$16 + '1 Data'!G211*$C$17 + '1 Data'!H211*$C$18</f>
        <v/>
      </c>
      <c r="D222" s="23">
        <f>1/(1+EXP(-C222))</f>
        <v/>
      </c>
      <c r="E222" s="27">
        <f>'1 Data'!I211</f>
        <v/>
      </c>
      <c r="F222" s="29">
        <f>RANK(D222,$D$23:$D$1022)</f>
        <v/>
      </c>
      <c r="G222" s="30">
        <f>COUNTIF($D$23:$D$1022,"&lt;"&amp;D222)+(COUNTIF($D$23:$D$1022,"="&amp;D222)+1)/2</f>
        <v/>
      </c>
    </row>
    <row r="223">
      <c r="B223" s="27">
        <f>'1 Data'!B212</f>
        <v/>
      </c>
      <c r="C223" s="28">
        <f>$C$12 + '1 Data'!C212*$C$13 + '1 Data'!D212*$C$14 + '1 Data'!E212*$C$15 + '1 Data'!F212*$C$16 + '1 Data'!G212*$C$17 + '1 Data'!H212*$C$18</f>
        <v/>
      </c>
      <c r="D223" s="23">
        <f>1/(1+EXP(-C223))</f>
        <v/>
      </c>
      <c r="E223" s="27">
        <f>'1 Data'!I212</f>
        <v/>
      </c>
      <c r="F223" s="29">
        <f>RANK(D223,$D$23:$D$1022)</f>
        <v/>
      </c>
      <c r="G223" s="30">
        <f>COUNTIF($D$23:$D$1022,"&lt;"&amp;D223)+(COUNTIF($D$23:$D$1022,"="&amp;D223)+1)/2</f>
        <v/>
      </c>
    </row>
    <row r="224">
      <c r="B224" s="27">
        <f>'1 Data'!B213</f>
        <v/>
      </c>
      <c r="C224" s="28">
        <f>$C$12 + '1 Data'!C213*$C$13 + '1 Data'!D213*$C$14 + '1 Data'!E213*$C$15 + '1 Data'!F213*$C$16 + '1 Data'!G213*$C$17 + '1 Data'!H213*$C$18</f>
        <v/>
      </c>
      <c r="D224" s="23">
        <f>1/(1+EXP(-C224))</f>
        <v/>
      </c>
      <c r="E224" s="27">
        <f>'1 Data'!I213</f>
        <v/>
      </c>
      <c r="F224" s="29">
        <f>RANK(D224,$D$23:$D$1022)</f>
        <v/>
      </c>
      <c r="G224" s="30">
        <f>COUNTIF($D$23:$D$1022,"&lt;"&amp;D224)+(COUNTIF($D$23:$D$1022,"="&amp;D224)+1)/2</f>
        <v/>
      </c>
    </row>
    <row r="225">
      <c r="B225" s="27">
        <f>'1 Data'!B214</f>
        <v/>
      </c>
      <c r="C225" s="28">
        <f>$C$12 + '1 Data'!C214*$C$13 + '1 Data'!D214*$C$14 + '1 Data'!E214*$C$15 + '1 Data'!F214*$C$16 + '1 Data'!G214*$C$17 + '1 Data'!H214*$C$18</f>
        <v/>
      </c>
      <c r="D225" s="23">
        <f>1/(1+EXP(-C225))</f>
        <v/>
      </c>
      <c r="E225" s="27">
        <f>'1 Data'!I214</f>
        <v/>
      </c>
      <c r="F225" s="29">
        <f>RANK(D225,$D$23:$D$1022)</f>
        <v/>
      </c>
      <c r="G225" s="30">
        <f>COUNTIF($D$23:$D$1022,"&lt;"&amp;D225)+(COUNTIF($D$23:$D$1022,"="&amp;D225)+1)/2</f>
        <v/>
      </c>
    </row>
    <row r="226">
      <c r="B226" s="27">
        <f>'1 Data'!B215</f>
        <v/>
      </c>
      <c r="C226" s="28">
        <f>$C$12 + '1 Data'!C215*$C$13 + '1 Data'!D215*$C$14 + '1 Data'!E215*$C$15 + '1 Data'!F215*$C$16 + '1 Data'!G215*$C$17 + '1 Data'!H215*$C$18</f>
        <v/>
      </c>
      <c r="D226" s="23">
        <f>1/(1+EXP(-C226))</f>
        <v/>
      </c>
      <c r="E226" s="27">
        <f>'1 Data'!I215</f>
        <v/>
      </c>
      <c r="F226" s="29">
        <f>RANK(D226,$D$23:$D$1022)</f>
        <v/>
      </c>
      <c r="G226" s="30">
        <f>COUNTIF($D$23:$D$1022,"&lt;"&amp;D226)+(COUNTIF($D$23:$D$1022,"="&amp;D226)+1)/2</f>
        <v/>
      </c>
    </row>
    <row r="227">
      <c r="B227" s="27">
        <f>'1 Data'!B216</f>
        <v/>
      </c>
      <c r="C227" s="28">
        <f>$C$12 + '1 Data'!C216*$C$13 + '1 Data'!D216*$C$14 + '1 Data'!E216*$C$15 + '1 Data'!F216*$C$16 + '1 Data'!G216*$C$17 + '1 Data'!H216*$C$18</f>
        <v/>
      </c>
      <c r="D227" s="23">
        <f>1/(1+EXP(-C227))</f>
        <v/>
      </c>
      <c r="E227" s="27">
        <f>'1 Data'!I216</f>
        <v/>
      </c>
      <c r="F227" s="29">
        <f>RANK(D227,$D$23:$D$1022)</f>
        <v/>
      </c>
      <c r="G227" s="30">
        <f>COUNTIF($D$23:$D$1022,"&lt;"&amp;D227)+(COUNTIF($D$23:$D$1022,"="&amp;D227)+1)/2</f>
        <v/>
      </c>
    </row>
    <row r="228">
      <c r="B228" s="27">
        <f>'1 Data'!B217</f>
        <v/>
      </c>
      <c r="C228" s="28">
        <f>$C$12 + '1 Data'!C217*$C$13 + '1 Data'!D217*$C$14 + '1 Data'!E217*$C$15 + '1 Data'!F217*$C$16 + '1 Data'!G217*$C$17 + '1 Data'!H217*$C$18</f>
        <v/>
      </c>
      <c r="D228" s="23">
        <f>1/(1+EXP(-C228))</f>
        <v/>
      </c>
      <c r="E228" s="27">
        <f>'1 Data'!I217</f>
        <v/>
      </c>
      <c r="F228" s="29">
        <f>RANK(D228,$D$23:$D$1022)</f>
        <v/>
      </c>
      <c r="G228" s="30">
        <f>COUNTIF($D$23:$D$1022,"&lt;"&amp;D228)+(COUNTIF($D$23:$D$1022,"="&amp;D228)+1)/2</f>
        <v/>
      </c>
    </row>
    <row r="229">
      <c r="B229" s="27">
        <f>'1 Data'!B218</f>
        <v/>
      </c>
      <c r="C229" s="28">
        <f>$C$12 + '1 Data'!C218*$C$13 + '1 Data'!D218*$C$14 + '1 Data'!E218*$C$15 + '1 Data'!F218*$C$16 + '1 Data'!G218*$C$17 + '1 Data'!H218*$C$18</f>
        <v/>
      </c>
      <c r="D229" s="23">
        <f>1/(1+EXP(-C229))</f>
        <v/>
      </c>
      <c r="E229" s="27">
        <f>'1 Data'!I218</f>
        <v/>
      </c>
      <c r="F229" s="29">
        <f>RANK(D229,$D$23:$D$1022)</f>
        <v/>
      </c>
      <c r="G229" s="30">
        <f>COUNTIF($D$23:$D$1022,"&lt;"&amp;D229)+(COUNTIF($D$23:$D$1022,"="&amp;D229)+1)/2</f>
        <v/>
      </c>
    </row>
    <row r="230">
      <c r="B230" s="27">
        <f>'1 Data'!B219</f>
        <v/>
      </c>
      <c r="C230" s="28">
        <f>$C$12 + '1 Data'!C219*$C$13 + '1 Data'!D219*$C$14 + '1 Data'!E219*$C$15 + '1 Data'!F219*$C$16 + '1 Data'!G219*$C$17 + '1 Data'!H219*$C$18</f>
        <v/>
      </c>
      <c r="D230" s="23">
        <f>1/(1+EXP(-C230))</f>
        <v/>
      </c>
      <c r="E230" s="27">
        <f>'1 Data'!I219</f>
        <v/>
      </c>
      <c r="F230" s="29">
        <f>RANK(D230,$D$23:$D$1022)</f>
        <v/>
      </c>
      <c r="G230" s="30">
        <f>COUNTIF($D$23:$D$1022,"&lt;"&amp;D230)+(COUNTIF($D$23:$D$1022,"="&amp;D230)+1)/2</f>
        <v/>
      </c>
    </row>
    <row r="231">
      <c r="B231" s="27">
        <f>'1 Data'!B220</f>
        <v/>
      </c>
      <c r="C231" s="28">
        <f>$C$12 + '1 Data'!C220*$C$13 + '1 Data'!D220*$C$14 + '1 Data'!E220*$C$15 + '1 Data'!F220*$C$16 + '1 Data'!G220*$C$17 + '1 Data'!H220*$C$18</f>
        <v/>
      </c>
      <c r="D231" s="23">
        <f>1/(1+EXP(-C231))</f>
        <v/>
      </c>
      <c r="E231" s="27">
        <f>'1 Data'!I220</f>
        <v/>
      </c>
      <c r="F231" s="29">
        <f>RANK(D231,$D$23:$D$1022)</f>
        <v/>
      </c>
      <c r="G231" s="30">
        <f>COUNTIF($D$23:$D$1022,"&lt;"&amp;D231)+(COUNTIF($D$23:$D$1022,"="&amp;D231)+1)/2</f>
        <v/>
      </c>
    </row>
    <row r="232">
      <c r="B232" s="27">
        <f>'1 Data'!B221</f>
        <v/>
      </c>
      <c r="C232" s="28">
        <f>$C$12 + '1 Data'!C221*$C$13 + '1 Data'!D221*$C$14 + '1 Data'!E221*$C$15 + '1 Data'!F221*$C$16 + '1 Data'!G221*$C$17 + '1 Data'!H221*$C$18</f>
        <v/>
      </c>
      <c r="D232" s="23">
        <f>1/(1+EXP(-C232))</f>
        <v/>
      </c>
      <c r="E232" s="27">
        <f>'1 Data'!I221</f>
        <v/>
      </c>
      <c r="F232" s="29">
        <f>RANK(D232,$D$23:$D$1022)</f>
        <v/>
      </c>
      <c r="G232" s="30">
        <f>COUNTIF($D$23:$D$1022,"&lt;"&amp;D232)+(COUNTIF($D$23:$D$1022,"="&amp;D232)+1)/2</f>
        <v/>
      </c>
    </row>
    <row r="233">
      <c r="B233" s="27">
        <f>'1 Data'!B222</f>
        <v/>
      </c>
      <c r="C233" s="28">
        <f>$C$12 + '1 Data'!C222*$C$13 + '1 Data'!D222*$C$14 + '1 Data'!E222*$C$15 + '1 Data'!F222*$C$16 + '1 Data'!G222*$C$17 + '1 Data'!H222*$C$18</f>
        <v/>
      </c>
      <c r="D233" s="23">
        <f>1/(1+EXP(-C233))</f>
        <v/>
      </c>
      <c r="E233" s="27">
        <f>'1 Data'!I222</f>
        <v/>
      </c>
      <c r="F233" s="29">
        <f>RANK(D233,$D$23:$D$1022)</f>
        <v/>
      </c>
      <c r="G233" s="30">
        <f>COUNTIF($D$23:$D$1022,"&lt;"&amp;D233)+(COUNTIF($D$23:$D$1022,"="&amp;D233)+1)/2</f>
        <v/>
      </c>
    </row>
    <row r="234">
      <c r="B234" s="27">
        <f>'1 Data'!B223</f>
        <v/>
      </c>
      <c r="C234" s="28">
        <f>$C$12 + '1 Data'!C223*$C$13 + '1 Data'!D223*$C$14 + '1 Data'!E223*$C$15 + '1 Data'!F223*$C$16 + '1 Data'!G223*$C$17 + '1 Data'!H223*$C$18</f>
        <v/>
      </c>
      <c r="D234" s="23">
        <f>1/(1+EXP(-C234))</f>
        <v/>
      </c>
      <c r="E234" s="27">
        <f>'1 Data'!I223</f>
        <v/>
      </c>
      <c r="F234" s="29">
        <f>RANK(D234,$D$23:$D$1022)</f>
        <v/>
      </c>
      <c r="G234" s="30">
        <f>COUNTIF($D$23:$D$1022,"&lt;"&amp;D234)+(COUNTIF($D$23:$D$1022,"="&amp;D234)+1)/2</f>
        <v/>
      </c>
    </row>
    <row r="235">
      <c r="B235" s="27">
        <f>'1 Data'!B224</f>
        <v/>
      </c>
      <c r="C235" s="28">
        <f>$C$12 + '1 Data'!C224*$C$13 + '1 Data'!D224*$C$14 + '1 Data'!E224*$C$15 + '1 Data'!F224*$C$16 + '1 Data'!G224*$C$17 + '1 Data'!H224*$C$18</f>
        <v/>
      </c>
      <c r="D235" s="23">
        <f>1/(1+EXP(-C235))</f>
        <v/>
      </c>
      <c r="E235" s="27">
        <f>'1 Data'!I224</f>
        <v/>
      </c>
      <c r="F235" s="29">
        <f>RANK(D235,$D$23:$D$1022)</f>
        <v/>
      </c>
      <c r="G235" s="30">
        <f>COUNTIF($D$23:$D$1022,"&lt;"&amp;D235)+(COUNTIF($D$23:$D$1022,"="&amp;D235)+1)/2</f>
        <v/>
      </c>
    </row>
    <row r="236">
      <c r="B236" s="27">
        <f>'1 Data'!B225</f>
        <v/>
      </c>
      <c r="C236" s="28">
        <f>$C$12 + '1 Data'!C225*$C$13 + '1 Data'!D225*$C$14 + '1 Data'!E225*$C$15 + '1 Data'!F225*$C$16 + '1 Data'!G225*$C$17 + '1 Data'!H225*$C$18</f>
        <v/>
      </c>
      <c r="D236" s="23">
        <f>1/(1+EXP(-C236))</f>
        <v/>
      </c>
      <c r="E236" s="27">
        <f>'1 Data'!I225</f>
        <v/>
      </c>
      <c r="F236" s="29">
        <f>RANK(D236,$D$23:$D$1022)</f>
        <v/>
      </c>
      <c r="G236" s="30">
        <f>COUNTIF($D$23:$D$1022,"&lt;"&amp;D236)+(COUNTIF($D$23:$D$1022,"="&amp;D236)+1)/2</f>
        <v/>
      </c>
    </row>
    <row r="237">
      <c r="B237" s="27">
        <f>'1 Data'!B226</f>
        <v/>
      </c>
      <c r="C237" s="28">
        <f>$C$12 + '1 Data'!C226*$C$13 + '1 Data'!D226*$C$14 + '1 Data'!E226*$C$15 + '1 Data'!F226*$C$16 + '1 Data'!G226*$C$17 + '1 Data'!H226*$C$18</f>
        <v/>
      </c>
      <c r="D237" s="23">
        <f>1/(1+EXP(-C237))</f>
        <v/>
      </c>
      <c r="E237" s="27">
        <f>'1 Data'!I226</f>
        <v/>
      </c>
      <c r="F237" s="29">
        <f>RANK(D237,$D$23:$D$1022)</f>
        <v/>
      </c>
      <c r="G237" s="30">
        <f>COUNTIF($D$23:$D$1022,"&lt;"&amp;D237)+(COUNTIF($D$23:$D$1022,"="&amp;D237)+1)/2</f>
        <v/>
      </c>
    </row>
    <row r="238">
      <c r="B238" s="27">
        <f>'1 Data'!B227</f>
        <v/>
      </c>
      <c r="C238" s="28">
        <f>$C$12 + '1 Data'!C227*$C$13 + '1 Data'!D227*$C$14 + '1 Data'!E227*$C$15 + '1 Data'!F227*$C$16 + '1 Data'!G227*$C$17 + '1 Data'!H227*$C$18</f>
        <v/>
      </c>
      <c r="D238" s="23">
        <f>1/(1+EXP(-C238))</f>
        <v/>
      </c>
      <c r="E238" s="27">
        <f>'1 Data'!I227</f>
        <v/>
      </c>
      <c r="F238" s="29">
        <f>RANK(D238,$D$23:$D$1022)</f>
        <v/>
      </c>
      <c r="G238" s="30">
        <f>COUNTIF($D$23:$D$1022,"&lt;"&amp;D238)+(COUNTIF($D$23:$D$1022,"="&amp;D238)+1)/2</f>
        <v/>
      </c>
    </row>
    <row r="239">
      <c r="B239" s="27">
        <f>'1 Data'!B228</f>
        <v/>
      </c>
      <c r="C239" s="28">
        <f>$C$12 + '1 Data'!C228*$C$13 + '1 Data'!D228*$C$14 + '1 Data'!E228*$C$15 + '1 Data'!F228*$C$16 + '1 Data'!G228*$C$17 + '1 Data'!H228*$C$18</f>
        <v/>
      </c>
      <c r="D239" s="23">
        <f>1/(1+EXP(-C239))</f>
        <v/>
      </c>
      <c r="E239" s="27">
        <f>'1 Data'!I228</f>
        <v/>
      </c>
      <c r="F239" s="29">
        <f>RANK(D239,$D$23:$D$1022)</f>
        <v/>
      </c>
      <c r="G239" s="30">
        <f>COUNTIF($D$23:$D$1022,"&lt;"&amp;D239)+(COUNTIF($D$23:$D$1022,"="&amp;D239)+1)/2</f>
        <v/>
      </c>
    </row>
    <row r="240">
      <c r="B240" s="27">
        <f>'1 Data'!B229</f>
        <v/>
      </c>
      <c r="C240" s="28">
        <f>$C$12 + '1 Data'!C229*$C$13 + '1 Data'!D229*$C$14 + '1 Data'!E229*$C$15 + '1 Data'!F229*$C$16 + '1 Data'!G229*$C$17 + '1 Data'!H229*$C$18</f>
        <v/>
      </c>
      <c r="D240" s="23">
        <f>1/(1+EXP(-C240))</f>
        <v/>
      </c>
      <c r="E240" s="27">
        <f>'1 Data'!I229</f>
        <v/>
      </c>
      <c r="F240" s="29">
        <f>RANK(D240,$D$23:$D$1022)</f>
        <v/>
      </c>
      <c r="G240" s="30">
        <f>COUNTIF($D$23:$D$1022,"&lt;"&amp;D240)+(COUNTIF($D$23:$D$1022,"="&amp;D240)+1)/2</f>
        <v/>
      </c>
    </row>
    <row r="241">
      <c r="B241" s="27">
        <f>'1 Data'!B230</f>
        <v/>
      </c>
      <c r="C241" s="28">
        <f>$C$12 + '1 Data'!C230*$C$13 + '1 Data'!D230*$C$14 + '1 Data'!E230*$C$15 + '1 Data'!F230*$C$16 + '1 Data'!G230*$C$17 + '1 Data'!H230*$C$18</f>
        <v/>
      </c>
      <c r="D241" s="23">
        <f>1/(1+EXP(-C241))</f>
        <v/>
      </c>
      <c r="E241" s="27">
        <f>'1 Data'!I230</f>
        <v/>
      </c>
      <c r="F241" s="29">
        <f>RANK(D241,$D$23:$D$1022)</f>
        <v/>
      </c>
      <c r="G241" s="30">
        <f>COUNTIF($D$23:$D$1022,"&lt;"&amp;D241)+(COUNTIF($D$23:$D$1022,"="&amp;D241)+1)/2</f>
        <v/>
      </c>
    </row>
    <row r="242">
      <c r="B242" s="27">
        <f>'1 Data'!B231</f>
        <v/>
      </c>
      <c r="C242" s="28">
        <f>$C$12 + '1 Data'!C231*$C$13 + '1 Data'!D231*$C$14 + '1 Data'!E231*$C$15 + '1 Data'!F231*$C$16 + '1 Data'!G231*$C$17 + '1 Data'!H231*$C$18</f>
        <v/>
      </c>
      <c r="D242" s="23">
        <f>1/(1+EXP(-C242))</f>
        <v/>
      </c>
      <c r="E242" s="27">
        <f>'1 Data'!I231</f>
        <v/>
      </c>
      <c r="F242" s="29">
        <f>RANK(D242,$D$23:$D$1022)</f>
        <v/>
      </c>
      <c r="G242" s="30">
        <f>COUNTIF($D$23:$D$1022,"&lt;"&amp;D242)+(COUNTIF($D$23:$D$1022,"="&amp;D242)+1)/2</f>
        <v/>
      </c>
    </row>
    <row r="243">
      <c r="B243" s="27">
        <f>'1 Data'!B232</f>
        <v/>
      </c>
      <c r="C243" s="28">
        <f>$C$12 + '1 Data'!C232*$C$13 + '1 Data'!D232*$C$14 + '1 Data'!E232*$C$15 + '1 Data'!F232*$C$16 + '1 Data'!G232*$C$17 + '1 Data'!H232*$C$18</f>
        <v/>
      </c>
      <c r="D243" s="23">
        <f>1/(1+EXP(-C243))</f>
        <v/>
      </c>
      <c r="E243" s="27">
        <f>'1 Data'!I232</f>
        <v/>
      </c>
      <c r="F243" s="29">
        <f>RANK(D243,$D$23:$D$1022)</f>
        <v/>
      </c>
      <c r="G243" s="30">
        <f>COUNTIF($D$23:$D$1022,"&lt;"&amp;D243)+(COUNTIF($D$23:$D$1022,"="&amp;D243)+1)/2</f>
        <v/>
      </c>
    </row>
    <row r="244">
      <c r="B244" s="27">
        <f>'1 Data'!B233</f>
        <v/>
      </c>
      <c r="C244" s="28">
        <f>$C$12 + '1 Data'!C233*$C$13 + '1 Data'!D233*$C$14 + '1 Data'!E233*$C$15 + '1 Data'!F233*$C$16 + '1 Data'!G233*$C$17 + '1 Data'!H233*$C$18</f>
        <v/>
      </c>
      <c r="D244" s="23">
        <f>1/(1+EXP(-C244))</f>
        <v/>
      </c>
      <c r="E244" s="27">
        <f>'1 Data'!I233</f>
        <v/>
      </c>
      <c r="F244" s="29">
        <f>RANK(D244,$D$23:$D$1022)</f>
        <v/>
      </c>
      <c r="G244" s="30">
        <f>COUNTIF($D$23:$D$1022,"&lt;"&amp;D244)+(COUNTIF($D$23:$D$1022,"="&amp;D244)+1)/2</f>
        <v/>
      </c>
    </row>
    <row r="245">
      <c r="B245" s="27">
        <f>'1 Data'!B234</f>
        <v/>
      </c>
      <c r="C245" s="28">
        <f>$C$12 + '1 Data'!C234*$C$13 + '1 Data'!D234*$C$14 + '1 Data'!E234*$C$15 + '1 Data'!F234*$C$16 + '1 Data'!G234*$C$17 + '1 Data'!H234*$C$18</f>
        <v/>
      </c>
      <c r="D245" s="23">
        <f>1/(1+EXP(-C245))</f>
        <v/>
      </c>
      <c r="E245" s="27">
        <f>'1 Data'!I234</f>
        <v/>
      </c>
      <c r="F245" s="29">
        <f>RANK(D245,$D$23:$D$1022)</f>
        <v/>
      </c>
      <c r="G245" s="30">
        <f>COUNTIF($D$23:$D$1022,"&lt;"&amp;D245)+(COUNTIF($D$23:$D$1022,"="&amp;D245)+1)/2</f>
        <v/>
      </c>
    </row>
    <row r="246">
      <c r="B246" s="27">
        <f>'1 Data'!B235</f>
        <v/>
      </c>
      <c r="C246" s="28">
        <f>$C$12 + '1 Data'!C235*$C$13 + '1 Data'!D235*$C$14 + '1 Data'!E235*$C$15 + '1 Data'!F235*$C$16 + '1 Data'!G235*$C$17 + '1 Data'!H235*$C$18</f>
        <v/>
      </c>
      <c r="D246" s="23">
        <f>1/(1+EXP(-C246))</f>
        <v/>
      </c>
      <c r="E246" s="27">
        <f>'1 Data'!I235</f>
        <v/>
      </c>
      <c r="F246" s="29">
        <f>RANK(D246,$D$23:$D$1022)</f>
        <v/>
      </c>
      <c r="G246" s="30">
        <f>COUNTIF($D$23:$D$1022,"&lt;"&amp;D246)+(COUNTIF($D$23:$D$1022,"="&amp;D246)+1)/2</f>
        <v/>
      </c>
    </row>
    <row r="247">
      <c r="B247" s="27">
        <f>'1 Data'!B236</f>
        <v/>
      </c>
      <c r="C247" s="28">
        <f>$C$12 + '1 Data'!C236*$C$13 + '1 Data'!D236*$C$14 + '1 Data'!E236*$C$15 + '1 Data'!F236*$C$16 + '1 Data'!G236*$C$17 + '1 Data'!H236*$C$18</f>
        <v/>
      </c>
      <c r="D247" s="23">
        <f>1/(1+EXP(-C247))</f>
        <v/>
      </c>
      <c r="E247" s="27">
        <f>'1 Data'!I236</f>
        <v/>
      </c>
      <c r="F247" s="29">
        <f>RANK(D247,$D$23:$D$1022)</f>
        <v/>
      </c>
      <c r="G247" s="30">
        <f>COUNTIF($D$23:$D$1022,"&lt;"&amp;D247)+(COUNTIF($D$23:$D$1022,"="&amp;D247)+1)/2</f>
        <v/>
      </c>
    </row>
    <row r="248">
      <c r="B248" s="27">
        <f>'1 Data'!B237</f>
        <v/>
      </c>
      <c r="C248" s="28">
        <f>$C$12 + '1 Data'!C237*$C$13 + '1 Data'!D237*$C$14 + '1 Data'!E237*$C$15 + '1 Data'!F237*$C$16 + '1 Data'!G237*$C$17 + '1 Data'!H237*$C$18</f>
        <v/>
      </c>
      <c r="D248" s="23">
        <f>1/(1+EXP(-C248))</f>
        <v/>
      </c>
      <c r="E248" s="27">
        <f>'1 Data'!I237</f>
        <v/>
      </c>
      <c r="F248" s="29">
        <f>RANK(D248,$D$23:$D$1022)</f>
        <v/>
      </c>
      <c r="G248" s="30">
        <f>COUNTIF($D$23:$D$1022,"&lt;"&amp;D248)+(COUNTIF($D$23:$D$1022,"="&amp;D248)+1)/2</f>
        <v/>
      </c>
    </row>
    <row r="249">
      <c r="B249" s="27">
        <f>'1 Data'!B238</f>
        <v/>
      </c>
      <c r="C249" s="28">
        <f>$C$12 + '1 Data'!C238*$C$13 + '1 Data'!D238*$C$14 + '1 Data'!E238*$C$15 + '1 Data'!F238*$C$16 + '1 Data'!G238*$C$17 + '1 Data'!H238*$C$18</f>
        <v/>
      </c>
      <c r="D249" s="23">
        <f>1/(1+EXP(-C249))</f>
        <v/>
      </c>
      <c r="E249" s="27">
        <f>'1 Data'!I238</f>
        <v/>
      </c>
      <c r="F249" s="29">
        <f>RANK(D249,$D$23:$D$1022)</f>
        <v/>
      </c>
      <c r="G249" s="30">
        <f>COUNTIF($D$23:$D$1022,"&lt;"&amp;D249)+(COUNTIF($D$23:$D$1022,"="&amp;D249)+1)/2</f>
        <v/>
      </c>
    </row>
    <row r="250">
      <c r="B250" s="27">
        <f>'1 Data'!B239</f>
        <v/>
      </c>
      <c r="C250" s="28">
        <f>$C$12 + '1 Data'!C239*$C$13 + '1 Data'!D239*$C$14 + '1 Data'!E239*$C$15 + '1 Data'!F239*$C$16 + '1 Data'!G239*$C$17 + '1 Data'!H239*$C$18</f>
        <v/>
      </c>
      <c r="D250" s="23">
        <f>1/(1+EXP(-C250))</f>
        <v/>
      </c>
      <c r="E250" s="27">
        <f>'1 Data'!I239</f>
        <v/>
      </c>
      <c r="F250" s="29">
        <f>RANK(D250,$D$23:$D$1022)</f>
        <v/>
      </c>
      <c r="G250" s="30">
        <f>COUNTIF($D$23:$D$1022,"&lt;"&amp;D250)+(COUNTIF($D$23:$D$1022,"="&amp;D250)+1)/2</f>
        <v/>
      </c>
    </row>
    <row r="251">
      <c r="B251" s="27">
        <f>'1 Data'!B240</f>
        <v/>
      </c>
      <c r="C251" s="28">
        <f>$C$12 + '1 Data'!C240*$C$13 + '1 Data'!D240*$C$14 + '1 Data'!E240*$C$15 + '1 Data'!F240*$C$16 + '1 Data'!G240*$C$17 + '1 Data'!H240*$C$18</f>
        <v/>
      </c>
      <c r="D251" s="23">
        <f>1/(1+EXP(-C251))</f>
        <v/>
      </c>
      <c r="E251" s="27">
        <f>'1 Data'!I240</f>
        <v/>
      </c>
      <c r="F251" s="29">
        <f>RANK(D251,$D$23:$D$1022)</f>
        <v/>
      </c>
      <c r="G251" s="30">
        <f>COUNTIF($D$23:$D$1022,"&lt;"&amp;D251)+(COUNTIF($D$23:$D$1022,"="&amp;D251)+1)/2</f>
        <v/>
      </c>
    </row>
    <row r="252">
      <c r="B252" s="27">
        <f>'1 Data'!B241</f>
        <v/>
      </c>
      <c r="C252" s="28">
        <f>$C$12 + '1 Data'!C241*$C$13 + '1 Data'!D241*$C$14 + '1 Data'!E241*$C$15 + '1 Data'!F241*$C$16 + '1 Data'!G241*$C$17 + '1 Data'!H241*$C$18</f>
        <v/>
      </c>
      <c r="D252" s="23">
        <f>1/(1+EXP(-C252))</f>
        <v/>
      </c>
      <c r="E252" s="27">
        <f>'1 Data'!I241</f>
        <v/>
      </c>
      <c r="F252" s="29">
        <f>RANK(D252,$D$23:$D$1022)</f>
        <v/>
      </c>
      <c r="G252" s="30">
        <f>COUNTIF($D$23:$D$1022,"&lt;"&amp;D252)+(COUNTIF($D$23:$D$1022,"="&amp;D252)+1)/2</f>
        <v/>
      </c>
    </row>
    <row r="253">
      <c r="B253" s="27">
        <f>'1 Data'!B242</f>
        <v/>
      </c>
      <c r="C253" s="28">
        <f>$C$12 + '1 Data'!C242*$C$13 + '1 Data'!D242*$C$14 + '1 Data'!E242*$C$15 + '1 Data'!F242*$C$16 + '1 Data'!G242*$C$17 + '1 Data'!H242*$C$18</f>
        <v/>
      </c>
      <c r="D253" s="23">
        <f>1/(1+EXP(-C253))</f>
        <v/>
      </c>
      <c r="E253" s="27">
        <f>'1 Data'!I242</f>
        <v/>
      </c>
      <c r="F253" s="29">
        <f>RANK(D253,$D$23:$D$1022)</f>
        <v/>
      </c>
      <c r="G253" s="30">
        <f>COUNTIF($D$23:$D$1022,"&lt;"&amp;D253)+(COUNTIF($D$23:$D$1022,"="&amp;D253)+1)/2</f>
        <v/>
      </c>
    </row>
    <row r="254">
      <c r="B254" s="27">
        <f>'1 Data'!B243</f>
        <v/>
      </c>
      <c r="C254" s="28">
        <f>$C$12 + '1 Data'!C243*$C$13 + '1 Data'!D243*$C$14 + '1 Data'!E243*$C$15 + '1 Data'!F243*$C$16 + '1 Data'!G243*$C$17 + '1 Data'!H243*$C$18</f>
        <v/>
      </c>
      <c r="D254" s="23">
        <f>1/(1+EXP(-C254))</f>
        <v/>
      </c>
      <c r="E254" s="27">
        <f>'1 Data'!I243</f>
        <v/>
      </c>
      <c r="F254" s="29">
        <f>RANK(D254,$D$23:$D$1022)</f>
        <v/>
      </c>
      <c r="G254" s="30">
        <f>COUNTIF($D$23:$D$1022,"&lt;"&amp;D254)+(COUNTIF($D$23:$D$1022,"="&amp;D254)+1)/2</f>
        <v/>
      </c>
    </row>
    <row r="255">
      <c r="B255" s="27">
        <f>'1 Data'!B244</f>
        <v/>
      </c>
      <c r="C255" s="28">
        <f>$C$12 + '1 Data'!C244*$C$13 + '1 Data'!D244*$C$14 + '1 Data'!E244*$C$15 + '1 Data'!F244*$C$16 + '1 Data'!G244*$C$17 + '1 Data'!H244*$C$18</f>
        <v/>
      </c>
      <c r="D255" s="23">
        <f>1/(1+EXP(-C255))</f>
        <v/>
      </c>
      <c r="E255" s="27">
        <f>'1 Data'!I244</f>
        <v/>
      </c>
      <c r="F255" s="29">
        <f>RANK(D255,$D$23:$D$1022)</f>
        <v/>
      </c>
      <c r="G255" s="30">
        <f>COUNTIF($D$23:$D$1022,"&lt;"&amp;D255)+(COUNTIF($D$23:$D$1022,"="&amp;D255)+1)/2</f>
        <v/>
      </c>
    </row>
    <row r="256">
      <c r="B256" s="27">
        <f>'1 Data'!B245</f>
        <v/>
      </c>
      <c r="C256" s="28">
        <f>$C$12 + '1 Data'!C245*$C$13 + '1 Data'!D245*$C$14 + '1 Data'!E245*$C$15 + '1 Data'!F245*$C$16 + '1 Data'!G245*$C$17 + '1 Data'!H245*$C$18</f>
        <v/>
      </c>
      <c r="D256" s="23">
        <f>1/(1+EXP(-C256))</f>
        <v/>
      </c>
      <c r="E256" s="27">
        <f>'1 Data'!I245</f>
        <v/>
      </c>
      <c r="F256" s="29">
        <f>RANK(D256,$D$23:$D$1022)</f>
        <v/>
      </c>
      <c r="G256" s="30">
        <f>COUNTIF($D$23:$D$1022,"&lt;"&amp;D256)+(COUNTIF($D$23:$D$1022,"="&amp;D256)+1)/2</f>
        <v/>
      </c>
    </row>
    <row r="257">
      <c r="B257" s="27">
        <f>'1 Data'!B246</f>
        <v/>
      </c>
      <c r="C257" s="28">
        <f>$C$12 + '1 Data'!C246*$C$13 + '1 Data'!D246*$C$14 + '1 Data'!E246*$C$15 + '1 Data'!F246*$C$16 + '1 Data'!G246*$C$17 + '1 Data'!H246*$C$18</f>
        <v/>
      </c>
      <c r="D257" s="23">
        <f>1/(1+EXP(-C257))</f>
        <v/>
      </c>
      <c r="E257" s="27">
        <f>'1 Data'!I246</f>
        <v/>
      </c>
      <c r="F257" s="29">
        <f>RANK(D257,$D$23:$D$1022)</f>
        <v/>
      </c>
      <c r="G257" s="30">
        <f>COUNTIF($D$23:$D$1022,"&lt;"&amp;D257)+(COUNTIF($D$23:$D$1022,"="&amp;D257)+1)/2</f>
        <v/>
      </c>
    </row>
    <row r="258">
      <c r="B258" s="27">
        <f>'1 Data'!B247</f>
        <v/>
      </c>
      <c r="C258" s="28">
        <f>$C$12 + '1 Data'!C247*$C$13 + '1 Data'!D247*$C$14 + '1 Data'!E247*$C$15 + '1 Data'!F247*$C$16 + '1 Data'!G247*$C$17 + '1 Data'!H247*$C$18</f>
        <v/>
      </c>
      <c r="D258" s="23">
        <f>1/(1+EXP(-C258))</f>
        <v/>
      </c>
      <c r="E258" s="27">
        <f>'1 Data'!I247</f>
        <v/>
      </c>
      <c r="F258" s="29">
        <f>RANK(D258,$D$23:$D$1022)</f>
        <v/>
      </c>
      <c r="G258" s="30">
        <f>COUNTIF($D$23:$D$1022,"&lt;"&amp;D258)+(COUNTIF($D$23:$D$1022,"="&amp;D258)+1)/2</f>
        <v/>
      </c>
    </row>
    <row r="259">
      <c r="B259" s="27">
        <f>'1 Data'!B248</f>
        <v/>
      </c>
      <c r="C259" s="28">
        <f>$C$12 + '1 Data'!C248*$C$13 + '1 Data'!D248*$C$14 + '1 Data'!E248*$C$15 + '1 Data'!F248*$C$16 + '1 Data'!G248*$C$17 + '1 Data'!H248*$C$18</f>
        <v/>
      </c>
      <c r="D259" s="23">
        <f>1/(1+EXP(-C259))</f>
        <v/>
      </c>
      <c r="E259" s="27">
        <f>'1 Data'!I248</f>
        <v/>
      </c>
      <c r="F259" s="29">
        <f>RANK(D259,$D$23:$D$1022)</f>
        <v/>
      </c>
      <c r="G259" s="30">
        <f>COUNTIF($D$23:$D$1022,"&lt;"&amp;D259)+(COUNTIF($D$23:$D$1022,"="&amp;D259)+1)/2</f>
        <v/>
      </c>
    </row>
    <row r="260">
      <c r="B260" s="27">
        <f>'1 Data'!B249</f>
        <v/>
      </c>
      <c r="C260" s="28">
        <f>$C$12 + '1 Data'!C249*$C$13 + '1 Data'!D249*$C$14 + '1 Data'!E249*$C$15 + '1 Data'!F249*$C$16 + '1 Data'!G249*$C$17 + '1 Data'!H249*$C$18</f>
        <v/>
      </c>
      <c r="D260" s="23">
        <f>1/(1+EXP(-C260))</f>
        <v/>
      </c>
      <c r="E260" s="27">
        <f>'1 Data'!I249</f>
        <v/>
      </c>
      <c r="F260" s="29">
        <f>RANK(D260,$D$23:$D$1022)</f>
        <v/>
      </c>
      <c r="G260" s="30">
        <f>COUNTIF($D$23:$D$1022,"&lt;"&amp;D260)+(COUNTIF($D$23:$D$1022,"="&amp;D260)+1)/2</f>
        <v/>
      </c>
    </row>
    <row r="261">
      <c r="B261" s="27">
        <f>'1 Data'!B250</f>
        <v/>
      </c>
      <c r="C261" s="28">
        <f>$C$12 + '1 Data'!C250*$C$13 + '1 Data'!D250*$C$14 + '1 Data'!E250*$C$15 + '1 Data'!F250*$C$16 + '1 Data'!G250*$C$17 + '1 Data'!H250*$C$18</f>
        <v/>
      </c>
      <c r="D261" s="23">
        <f>1/(1+EXP(-C261))</f>
        <v/>
      </c>
      <c r="E261" s="27">
        <f>'1 Data'!I250</f>
        <v/>
      </c>
      <c r="F261" s="29">
        <f>RANK(D261,$D$23:$D$1022)</f>
        <v/>
      </c>
      <c r="G261" s="30">
        <f>COUNTIF($D$23:$D$1022,"&lt;"&amp;D261)+(COUNTIF($D$23:$D$1022,"="&amp;D261)+1)/2</f>
        <v/>
      </c>
    </row>
    <row r="262">
      <c r="B262" s="27">
        <f>'1 Data'!B251</f>
        <v/>
      </c>
      <c r="C262" s="28">
        <f>$C$12 + '1 Data'!C251*$C$13 + '1 Data'!D251*$C$14 + '1 Data'!E251*$C$15 + '1 Data'!F251*$C$16 + '1 Data'!G251*$C$17 + '1 Data'!H251*$C$18</f>
        <v/>
      </c>
      <c r="D262" s="23">
        <f>1/(1+EXP(-C262))</f>
        <v/>
      </c>
      <c r="E262" s="27">
        <f>'1 Data'!I251</f>
        <v/>
      </c>
      <c r="F262" s="29">
        <f>RANK(D262,$D$23:$D$1022)</f>
        <v/>
      </c>
      <c r="G262" s="30">
        <f>COUNTIF($D$23:$D$1022,"&lt;"&amp;D262)+(COUNTIF($D$23:$D$1022,"="&amp;D262)+1)/2</f>
        <v/>
      </c>
    </row>
    <row r="263">
      <c r="B263" s="27">
        <f>'1 Data'!B252</f>
        <v/>
      </c>
      <c r="C263" s="28">
        <f>$C$12 + '1 Data'!C252*$C$13 + '1 Data'!D252*$C$14 + '1 Data'!E252*$C$15 + '1 Data'!F252*$C$16 + '1 Data'!G252*$C$17 + '1 Data'!H252*$C$18</f>
        <v/>
      </c>
      <c r="D263" s="23">
        <f>1/(1+EXP(-C263))</f>
        <v/>
      </c>
      <c r="E263" s="27">
        <f>'1 Data'!I252</f>
        <v/>
      </c>
      <c r="F263" s="29">
        <f>RANK(D263,$D$23:$D$1022)</f>
        <v/>
      </c>
      <c r="G263" s="30">
        <f>COUNTIF($D$23:$D$1022,"&lt;"&amp;D263)+(COUNTIF($D$23:$D$1022,"="&amp;D263)+1)/2</f>
        <v/>
      </c>
    </row>
    <row r="264">
      <c r="B264" s="27">
        <f>'1 Data'!B253</f>
        <v/>
      </c>
      <c r="C264" s="28">
        <f>$C$12 + '1 Data'!C253*$C$13 + '1 Data'!D253*$C$14 + '1 Data'!E253*$C$15 + '1 Data'!F253*$C$16 + '1 Data'!G253*$C$17 + '1 Data'!H253*$C$18</f>
        <v/>
      </c>
      <c r="D264" s="23">
        <f>1/(1+EXP(-C264))</f>
        <v/>
      </c>
      <c r="E264" s="27">
        <f>'1 Data'!I253</f>
        <v/>
      </c>
      <c r="F264" s="29">
        <f>RANK(D264,$D$23:$D$1022)</f>
        <v/>
      </c>
      <c r="G264" s="30">
        <f>COUNTIF($D$23:$D$1022,"&lt;"&amp;D264)+(COUNTIF($D$23:$D$1022,"="&amp;D264)+1)/2</f>
        <v/>
      </c>
    </row>
    <row r="265">
      <c r="B265" s="27">
        <f>'1 Data'!B254</f>
        <v/>
      </c>
      <c r="C265" s="28">
        <f>$C$12 + '1 Data'!C254*$C$13 + '1 Data'!D254*$C$14 + '1 Data'!E254*$C$15 + '1 Data'!F254*$C$16 + '1 Data'!G254*$C$17 + '1 Data'!H254*$C$18</f>
        <v/>
      </c>
      <c r="D265" s="23">
        <f>1/(1+EXP(-C265))</f>
        <v/>
      </c>
      <c r="E265" s="27">
        <f>'1 Data'!I254</f>
        <v/>
      </c>
      <c r="F265" s="29">
        <f>RANK(D265,$D$23:$D$1022)</f>
        <v/>
      </c>
      <c r="G265" s="30">
        <f>COUNTIF($D$23:$D$1022,"&lt;"&amp;D265)+(COUNTIF($D$23:$D$1022,"="&amp;D265)+1)/2</f>
        <v/>
      </c>
    </row>
    <row r="266">
      <c r="B266" s="27">
        <f>'1 Data'!B255</f>
        <v/>
      </c>
      <c r="C266" s="28">
        <f>$C$12 + '1 Data'!C255*$C$13 + '1 Data'!D255*$C$14 + '1 Data'!E255*$C$15 + '1 Data'!F255*$C$16 + '1 Data'!G255*$C$17 + '1 Data'!H255*$C$18</f>
        <v/>
      </c>
      <c r="D266" s="23">
        <f>1/(1+EXP(-C266))</f>
        <v/>
      </c>
      <c r="E266" s="27">
        <f>'1 Data'!I255</f>
        <v/>
      </c>
      <c r="F266" s="29">
        <f>RANK(D266,$D$23:$D$1022)</f>
        <v/>
      </c>
      <c r="G266" s="30">
        <f>COUNTIF($D$23:$D$1022,"&lt;"&amp;D266)+(COUNTIF($D$23:$D$1022,"="&amp;D266)+1)/2</f>
        <v/>
      </c>
    </row>
    <row r="267">
      <c r="B267" s="27">
        <f>'1 Data'!B256</f>
        <v/>
      </c>
      <c r="C267" s="28">
        <f>$C$12 + '1 Data'!C256*$C$13 + '1 Data'!D256*$C$14 + '1 Data'!E256*$C$15 + '1 Data'!F256*$C$16 + '1 Data'!G256*$C$17 + '1 Data'!H256*$C$18</f>
        <v/>
      </c>
      <c r="D267" s="23">
        <f>1/(1+EXP(-C267))</f>
        <v/>
      </c>
      <c r="E267" s="27">
        <f>'1 Data'!I256</f>
        <v/>
      </c>
      <c r="F267" s="29">
        <f>RANK(D267,$D$23:$D$1022)</f>
        <v/>
      </c>
      <c r="G267" s="30">
        <f>COUNTIF($D$23:$D$1022,"&lt;"&amp;D267)+(COUNTIF($D$23:$D$1022,"="&amp;D267)+1)/2</f>
        <v/>
      </c>
    </row>
    <row r="268">
      <c r="B268" s="27">
        <f>'1 Data'!B257</f>
        <v/>
      </c>
      <c r="C268" s="28">
        <f>$C$12 + '1 Data'!C257*$C$13 + '1 Data'!D257*$C$14 + '1 Data'!E257*$C$15 + '1 Data'!F257*$C$16 + '1 Data'!G257*$C$17 + '1 Data'!H257*$C$18</f>
        <v/>
      </c>
      <c r="D268" s="23">
        <f>1/(1+EXP(-C268))</f>
        <v/>
      </c>
      <c r="E268" s="27">
        <f>'1 Data'!I257</f>
        <v/>
      </c>
      <c r="F268" s="29">
        <f>RANK(D268,$D$23:$D$1022)</f>
        <v/>
      </c>
      <c r="G268" s="30">
        <f>COUNTIF($D$23:$D$1022,"&lt;"&amp;D268)+(COUNTIF($D$23:$D$1022,"="&amp;D268)+1)/2</f>
        <v/>
      </c>
    </row>
    <row r="269">
      <c r="B269" s="27">
        <f>'1 Data'!B258</f>
        <v/>
      </c>
      <c r="C269" s="28">
        <f>$C$12 + '1 Data'!C258*$C$13 + '1 Data'!D258*$C$14 + '1 Data'!E258*$C$15 + '1 Data'!F258*$C$16 + '1 Data'!G258*$C$17 + '1 Data'!H258*$C$18</f>
        <v/>
      </c>
      <c r="D269" s="23">
        <f>1/(1+EXP(-C269))</f>
        <v/>
      </c>
      <c r="E269" s="27">
        <f>'1 Data'!I258</f>
        <v/>
      </c>
      <c r="F269" s="29">
        <f>RANK(D269,$D$23:$D$1022)</f>
        <v/>
      </c>
      <c r="G269" s="30">
        <f>COUNTIF($D$23:$D$1022,"&lt;"&amp;D269)+(COUNTIF($D$23:$D$1022,"="&amp;D269)+1)/2</f>
        <v/>
      </c>
    </row>
    <row r="270">
      <c r="B270" s="27">
        <f>'1 Data'!B259</f>
        <v/>
      </c>
      <c r="C270" s="28">
        <f>$C$12 + '1 Data'!C259*$C$13 + '1 Data'!D259*$C$14 + '1 Data'!E259*$C$15 + '1 Data'!F259*$C$16 + '1 Data'!G259*$C$17 + '1 Data'!H259*$C$18</f>
        <v/>
      </c>
      <c r="D270" s="23">
        <f>1/(1+EXP(-C270))</f>
        <v/>
      </c>
      <c r="E270" s="27">
        <f>'1 Data'!I259</f>
        <v/>
      </c>
      <c r="F270" s="29">
        <f>RANK(D270,$D$23:$D$1022)</f>
        <v/>
      </c>
      <c r="G270" s="30">
        <f>COUNTIF($D$23:$D$1022,"&lt;"&amp;D270)+(COUNTIF($D$23:$D$1022,"="&amp;D270)+1)/2</f>
        <v/>
      </c>
    </row>
    <row r="271">
      <c r="B271" s="27">
        <f>'1 Data'!B260</f>
        <v/>
      </c>
      <c r="C271" s="28">
        <f>$C$12 + '1 Data'!C260*$C$13 + '1 Data'!D260*$C$14 + '1 Data'!E260*$C$15 + '1 Data'!F260*$C$16 + '1 Data'!G260*$C$17 + '1 Data'!H260*$C$18</f>
        <v/>
      </c>
      <c r="D271" s="23">
        <f>1/(1+EXP(-C271))</f>
        <v/>
      </c>
      <c r="E271" s="27">
        <f>'1 Data'!I260</f>
        <v/>
      </c>
      <c r="F271" s="29">
        <f>RANK(D271,$D$23:$D$1022)</f>
        <v/>
      </c>
      <c r="G271" s="30">
        <f>COUNTIF($D$23:$D$1022,"&lt;"&amp;D271)+(COUNTIF($D$23:$D$1022,"="&amp;D271)+1)/2</f>
        <v/>
      </c>
    </row>
    <row r="272">
      <c r="B272" s="27">
        <f>'1 Data'!B261</f>
        <v/>
      </c>
      <c r="C272" s="28">
        <f>$C$12 + '1 Data'!C261*$C$13 + '1 Data'!D261*$C$14 + '1 Data'!E261*$C$15 + '1 Data'!F261*$C$16 + '1 Data'!G261*$C$17 + '1 Data'!H261*$C$18</f>
        <v/>
      </c>
      <c r="D272" s="23">
        <f>1/(1+EXP(-C272))</f>
        <v/>
      </c>
      <c r="E272" s="27">
        <f>'1 Data'!I261</f>
        <v/>
      </c>
      <c r="F272" s="29">
        <f>RANK(D272,$D$23:$D$1022)</f>
        <v/>
      </c>
      <c r="G272" s="30">
        <f>COUNTIF($D$23:$D$1022,"&lt;"&amp;D272)+(COUNTIF($D$23:$D$1022,"="&amp;D272)+1)/2</f>
        <v/>
      </c>
    </row>
    <row r="273">
      <c r="B273" s="27">
        <f>'1 Data'!B262</f>
        <v/>
      </c>
      <c r="C273" s="28">
        <f>$C$12 + '1 Data'!C262*$C$13 + '1 Data'!D262*$C$14 + '1 Data'!E262*$C$15 + '1 Data'!F262*$C$16 + '1 Data'!G262*$C$17 + '1 Data'!H262*$C$18</f>
        <v/>
      </c>
      <c r="D273" s="23">
        <f>1/(1+EXP(-C273))</f>
        <v/>
      </c>
      <c r="E273" s="27">
        <f>'1 Data'!I262</f>
        <v/>
      </c>
      <c r="F273" s="29">
        <f>RANK(D273,$D$23:$D$1022)</f>
        <v/>
      </c>
      <c r="G273" s="30">
        <f>COUNTIF($D$23:$D$1022,"&lt;"&amp;D273)+(COUNTIF($D$23:$D$1022,"="&amp;D273)+1)/2</f>
        <v/>
      </c>
    </row>
    <row r="274">
      <c r="B274" s="27">
        <f>'1 Data'!B263</f>
        <v/>
      </c>
      <c r="C274" s="28">
        <f>$C$12 + '1 Data'!C263*$C$13 + '1 Data'!D263*$C$14 + '1 Data'!E263*$C$15 + '1 Data'!F263*$C$16 + '1 Data'!G263*$C$17 + '1 Data'!H263*$C$18</f>
        <v/>
      </c>
      <c r="D274" s="23">
        <f>1/(1+EXP(-C274))</f>
        <v/>
      </c>
      <c r="E274" s="27">
        <f>'1 Data'!I263</f>
        <v/>
      </c>
      <c r="F274" s="29">
        <f>RANK(D274,$D$23:$D$1022)</f>
        <v/>
      </c>
      <c r="G274" s="30">
        <f>COUNTIF($D$23:$D$1022,"&lt;"&amp;D274)+(COUNTIF($D$23:$D$1022,"="&amp;D274)+1)/2</f>
        <v/>
      </c>
    </row>
    <row r="275">
      <c r="B275" s="27">
        <f>'1 Data'!B264</f>
        <v/>
      </c>
      <c r="C275" s="28">
        <f>$C$12 + '1 Data'!C264*$C$13 + '1 Data'!D264*$C$14 + '1 Data'!E264*$C$15 + '1 Data'!F264*$C$16 + '1 Data'!G264*$C$17 + '1 Data'!H264*$C$18</f>
        <v/>
      </c>
      <c r="D275" s="23">
        <f>1/(1+EXP(-C275))</f>
        <v/>
      </c>
      <c r="E275" s="27">
        <f>'1 Data'!I264</f>
        <v/>
      </c>
      <c r="F275" s="29">
        <f>RANK(D275,$D$23:$D$1022)</f>
        <v/>
      </c>
      <c r="G275" s="30">
        <f>COUNTIF($D$23:$D$1022,"&lt;"&amp;D275)+(COUNTIF($D$23:$D$1022,"="&amp;D275)+1)/2</f>
        <v/>
      </c>
    </row>
    <row r="276">
      <c r="B276" s="27">
        <f>'1 Data'!B265</f>
        <v/>
      </c>
      <c r="C276" s="28">
        <f>$C$12 + '1 Data'!C265*$C$13 + '1 Data'!D265*$C$14 + '1 Data'!E265*$C$15 + '1 Data'!F265*$C$16 + '1 Data'!G265*$C$17 + '1 Data'!H265*$C$18</f>
        <v/>
      </c>
      <c r="D276" s="23">
        <f>1/(1+EXP(-C276))</f>
        <v/>
      </c>
      <c r="E276" s="27">
        <f>'1 Data'!I265</f>
        <v/>
      </c>
      <c r="F276" s="29">
        <f>RANK(D276,$D$23:$D$1022)</f>
        <v/>
      </c>
      <c r="G276" s="30">
        <f>COUNTIF($D$23:$D$1022,"&lt;"&amp;D276)+(COUNTIF($D$23:$D$1022,"="&amp;D276)+1)/2</f>
        <v/>
      </c>
    </row>
    <row r="277">
      <c r="B277" s="27">
        <f>'1 Data'!B266</f>
        <v/>
      </c>
      <c r="C277" s="28">
        <f>$C$12 + '1 Data'!C266*$C$13 + '1 Data'!D266*$C$14 + '1 Data'!E266*$C$15 + '1 Data'!F266*$C$16 + '1 Data'!G266*$C$17 + '1 Data'!H266*$C$18</f>
        <v/>
      </c>
      <c r="D277" s="23">
        <f>1/(1+EXP(-C277))</f>
        <v/>
      </c>
      <c r="E277" s="27">
        <f>'1 Data'!I266</f>
        <v/>
      </c>
      <c r="F277" s="29">
        <f>RANK(D277,$D$23:$D$1022)</f>
        <v/>
      </c>
      <c r="G277" s="30">
        <f>COUNTIF($D$23:$D$1022,"&lt;"&amp;D277)+(COUNTIF($D$23:$D$1022,"="&amp;D277)+1)/2</f>
        <v/>
      </c>
    </row>
    <row r="278">
      <c r="B278" s="27">
        <f>'1 Data'!B267</f>
        <v/>
      </c>
      <c r="C278" s="28">
        <f>$C$12 + '1 Data'!C267*$C$13 + '1 Data'!D267*$C$14 + '1 Data'!E267*$C$15 + '1 Data'!F267*$C$16 + '1 Data'!G267*$C$17 + '1 Data'!H267*$C$18</f>
        <v/>
      </c>
      <c r="D278" s="23">
        <f>1/(1+EXP(-C278))</f>
        <v/>
      </c>
      <c r="E278" s="27">
        <f>'1 Data'!I267</f>
        <v/>
      </c>
      <c r="F278" s="29">
        <f>RANK(D278,$D$23:$D$1022)</f>
        <v/>
      </c>
      <c r="G278" s="30">
        <f>COUNTIF($D$23:$D$1022,"&lt;"&amp;D278)+(COUNTIF($D$23:$D$1022,"="&amp;D278)+1)/2</f>
        <v/>
      </c>
    </row>
    <row r="279">
      <c r="B279" s="27">
        <f>'1 Data'!B268</f>
        <v/>
      </c>
      <c r="C279" s="28">
        <f>$C$12 + '1 Data'!C268*$C$13 + '1 Data'!D268*$C$14 + '1 Data'!E268*$C$15 + '1 Data'!F268*$C$16 + '1 Data'!G268*$C$17 + '1 Data'!H268*$C$18</f>
        <v/>
      </c>
      <c r="D279" s="23">
        <f>1/(1+EXP(-C279))</f>
        <v/>
      </c>
      <c r="E279" s="27">
        <f>'1 Data'!I268</f>
        <v/>
      </c>
      <c r="F279" s="29">
        <f>RANK(D279,$D$23:$D$1022)</f>
        <v/>
      </c>
      <c r="G279" s="30">
        <f>COUNTIF($D$23:$D$1022,"&lt;"&amp;D279)+(COUNTIF($D$23:$D$1022,"="&amp;D279)+1)/2</f>
        <v/>
      </c>
    </row>
    <row r="280">
      <c r="B280" s="27">
        <f>'1 Data'!B269</f>
        <v/>
      </c>
      <c r="C280" s="28">
        <f>$C$12 + '1 Data'!C269*$C$13 + '1 Data'!D269*$C$14 + '1 Data'!E269*$C$15 + '1 Data'!F269*$C$16 + '1 Data'!G269*$C$17 + '1 Data'!H269*$C$18</f>
        <v/>
      </c>
      <c r="D280" s="23">
        <f>1/(1+EXP(-C280))</f>
        <v/>
      </c>
      <c r="E280" s="27">
        <f>'1 Data'!I269</f>
        <v/>
      </c>
      <c r="F280" s="29">
        <f>RANK(D280,$D$23:$D$1022)</f>
        <v/>
      </c>
      <c r="G280" s="30">
        <f>COUNTIF($D$23:$D$1022,"&lt;"&amp;D280)+(COUNTIF($D$23:$D$1022,"="&amp;D280)+1)/2</f>
        <v/>
      </c>
    </row>
    <row r="281">
      <c r="B281" s="27">
        <f>'1 Data'!B270</f>
        <v/>
      </c>
      <c r="C281" s="28">
        <f>$C$12 + '1 Data'!C270*$C$13 + '1 Data'!D270*$C$14 + '1 Data'!E270*$C$15 + '1 Data'!F270*$C$16 + '1 Data'!G270*$C$17 + '1 Data'!H270*$C$18</f>
        <v/>
      </c>
      <c r="D281" s="23">
        <f>1/(1+EXP(-C281))</f>
        <v/>
      </c>
      <c r="E281" s="27">
        <f>'1 Data'!I270</f>
        <v/>
      </c>
      <c r="F281" s="29">
        <f>RANK(D281,$D$23:$D$1022)</f>
        <v/>
      </c>
      <c r="G281" s="30">
        <f>COUNTIF($D$23:$D$1022,"&lt;"&amp;D281)+(COUNTIF($D$23:$D$1022,"="&amp;D281)+1)/2</f>
        <v/>
      </c>
    </row>
    <row r="282">
      <c r="B282" s="27">
        <f>'1 Data'!B271</f>
        <v/>
      </c>
      <c r="C282" s="28">
        <f>$C$12 + '1 Data'!C271*$C$13 + '1 Data'!D271*$C$14 + '1 Data'!E271*$C$15 + '1 Data'!F271*$C$16 + '1 Data'!G271*$C$17 + '1 Data'!H271*$C$18</f>
        <v/>
      </c>
      <c r="D282" s="23">
        <f>1/(1+EXP(-C282))</f>
        <v/>
      </c>
      <c r="E282" s="27">
        <f>'1 Data'!I271</f>
        <v/>
      </c>
      <c r="F282" s="29">
        <f>RANK(D282,$D$23:$D$1022)</f>
        <v/>
      </c>
      <c r="G282" s="30">
        <f>COUNTIF($D$23:$D$1022,"&lt;"&amp;D282)+(COUNTIF($D$23:$D$1022,"="&amp;D282)+1)/2</f>
        <v/>
      </c>
    </row>
    <row r="283">
      <c r="B283" s="27">
        <f>'1 Data'!B272</f>
        <v/>
      </c>
      <c r="C283" s="28">
        <f>$C$12 + '1 Data'!C272*$C$13 + '1 Data'!D272*$C$14 + '1 Data'!E272*$C$15 + '1 Data'!F272*$C$16 + '1 Data'!G272*$C$17 + '1 Data'!H272*$C$18</f>
        <v/>
      </c>
      <c r="D283" s="23">
        <f>1/(1+EXP(-C283))</f>
        <v/>
      </c>
      <c r="E283" s="27">
        <f>'1 Data'!I272</f>
        <v/>
      </c>
      <c r="F283" s="29">
        <f>RANK(D283,$D$23:$D$1022)</f>
        <v/>
      </c>
      <c r="G283" s="30">
        <f>COUNTIF($D$23:$D$1022,"&lt;"&amp;D283)+(COUNTIF($D$23:$D$1022,"="&amp;D283)+1)/2</f>
        <v/>
      </c>
    </row>
    <row r="284">
      <c r="B284" s="27">
        <f>'1 Data'!B273</f>
        <v/>
      </c>
      <c r="C284" s="28">
        <f>$C$12 + '1 Data'!C273*$C$13 + '1 Data'!D273*$C$14 + '1 Data'!E273*$C$15 + '1 Data'!F273*$C$16 + '1 Data'!G273*$C$17 + '1 Data'!H273*$C$18</f>
        <v/>
      </c>
      <c r="D284" s="23">
        <f>1/(1+EXP(-C284))</f>
        <v/>
      </c>
      <c r="E284" s="27">
        <f>'1 Data'!I273</f>
        <v/>
      </c>
      <c r="F284" s="29">
        <f>RANK(D284,$D$23:$D$1022)</f>
        <v/>
      </c>
      <c r="G284" s="30">
        <f>COUNTIF($D$23:$D$1022,"&lt;"&amp;D284)+(COUNTIF($D$23:$D$1022,"="&amp;D284)+1)/2</f>
        <v/>
      </c>
    </row>
    <row r="285">
      <c r="B285" s="27">
        <f>'1 Data'!B274</f>
        <v/>
      </c>
      <c r="C285" s="28">
        <f>$C$12 + '1 Data'!C274*$C$13 + '1 Data'!D274*$C$14 + '1 Data'!E274*$C$15 + '1 Data'!F274*$C$16 + '1 Data'!G274*$C$17 + '1 Data'!H274*$C$18</f>
        <v/>
      </c>
      <c r="D285" s="23">
        <f>1/(1+EXP(-C285))</f>
        <v/>
      </c>
      <c r="E285" s="27">
        <f>'1 Data'!I274</f>
        <v/>
      </c>
      <c r="F285" s="29">
        <f>RANK(D285,$D$23:$D$1022)</f>
        <v/>
      </c>
      <c r="G285" s="30">
        <f>COUNTIF($D$23:$D$1022,"&lt;"&amp;D285)+(COUNTIF($D$23:$D$1022,"="&amp;D285)+1)/2</f>
        <v/>
      </c>
    </row>
    <row r="286">
      <c r="B286" s="27">
        <f>'1 Data'!B275</f>
        <v/>
      </c>
      <c r="C286" s="28">
        <f>$C$12 + '1 Data'!C275*$C$13 + '1 Data'!D275*$C$14 + '1 Data'!E275*$C$15 + '1 Data'!F275*$C$16 + '1 Data'!G275*$C$17 + '1 Data'!H275*$C$18</f>
        <v/>
      </c>
      <c r="D286" s="23">
        <f>1/(1+EXP(-C286))</f>
        <v/>
      </c>
      <c r="E286" s="27">
        <f>'1 Data'!I275</f>
        <v/>
      </c>
      <c r="F286" s="29">
        <f>RANK(D286,$D$23:$D$1022)</f>
        <v/>
      </c>
      <c r="G286" s="30">
        <f>COUNTIF($D$23:$D$1022,"&lt;"&amp;D286)+(COUNTIF($D$23:$D$1022,"="&amp;D286)+1)/2</f>
        <v/>
      </c>
    </row>
    <row r="287">
      <c r="B287" s="27">
        <f>'1 Data'!B276</f>
        <v/>
      </c>
      <c r="C287" s="28">
        <f>$C$12 + '1 Data'!C276*$C$13 + '1 Data'!D276*$C$14 + '1 Data'!E276*$C$15 + '1 Data'!F276*$C$16 + '1 Data'!G276*$C$17 + '1 Data'!H276*$C$18</f>
        <v/>
      </c>
      <c r="D287" s="23">
        <f>1/(1+EXP(-C287))</f>
        <v/>
      </c>
      <c r="E287" s="27">
        <f>'1 Data'!I276</f>
        <v/>
      </c>
      <c r="F287" s="29">
        <f>RANK(D287,$D$23:$D$1022)</f>
        <v/>
      </c>
      <c r="G287" s="30">
        <f>COUNTIF($D$23:$D$1022,"&lt;"&amp;D287)+(COUNTIF($D$23:$D$1022,"="&amp;D287)+1)/2</f>
        <v/>
      </c>
    </row>
    <row r="288">
      <c r="B288" s="27">
        <f>'1 Data'!B277</f>
        <v/>
      </c>
      <c r="C288" s="28">
        <f>$C$12 + '1 Data'!C277*$C$13 + '1 Data'!D277*$C$14 + '1 Data'!E277*$C$15 + '1 Data'!F277*$C$16 + '1 Data'!G277*$C$17 + '1 Data'!H277*$C$18</f>
        <v/>
      </c>
      <c r="D288" s="23">
        <f>1/(1+EXP(-C288))</f>
        <v/>
      </c>
      <c r="E288" s="27">
        <f>'1 Data'!I277</f>
        <v/>
      </c>
      <c r="F288" s="29">
        <f>RANK(D288,$D$23:$D$1022)</f>
        <v/>
      </c>
      <c r="G288" s="30">
        <f>COUNTIF($D$23:$D$1022,"&lt;"&amp;D288)+(COUNTIF($D$23:$D$1022,"="&amp;D288)+1)/2</f>
        <v/>
      </c>
    </row>
    <row r="289">
      <c r="B289" s="27">
        <f>'1 Data'!B278</f>
        <v/>
      </c>
      <c r="C289" s="28">
        <f>$C$12 + '1 Data'!C278*$C$13 + '1 Data'!D278*$C$14 + '1 Data'!E278*$C$15 + '1 Data'!F278*$C$16 + '1 Data'!G278*$C$17 + '1 Data'!H278*$C$18</f>
        <v/>
      </c>
      <c r="D289" s="23">
        <f>1/(1+EXP(-C289))</f>
        <v/>
      </c>
      <c r="E289" s="27">
        <f>'1 Data'!I278</f>
        <v/>
      </c>
      <c r="F289" s="29">
        <f>RANK(D289,$D$23:$D$1022)</f>
        <v/>
      </c>
      <c r="G289" s="30">
        <f>COUNTIF($D$23:$D$1022,"&lt;"&amp;D289)+(COUNTIF($D$23:$D$1022,"="&amp;D289)+1)/2</f>
        <v/>
      </c>
    </row>
    <row r="290">
      <c r="B290" s="27">
        <f>'1 Data'!B279</f>
        <v/>
      </c>
      <c r="C290" s="28">
        <f>$C$12 + '1 Data'!C279*$C$13 + '1 Data'!D279*$C$14 + '1 Data'!E279*$C$15 + '1 Data'!F279*$C$16 + '1 Data'!G279*$C$17 + '1 Data'!H279*$C$18</f>
        <v/>
      </c>
      <c r="D290" s="23">
        <f>1/(1+EXP(-C290))</f>
        <v/>
      </c>
      <c r="E290" s="27">
        <f>'1 Data'!I279</f>
        <v/>
      </c>
      <c r="F290" s="29">
        <f>RANK(D290,$D$23:$D$1022)</f>
        <v/>
      </c>
      <c r="G290" s="30">
        <f>COUNTIF($D$23:$D$1022,"&lt;"&amp;D290)+(COUNTIF($D$23:$D$1022,"="&amp;D290)+1)/2</f>
        <v/>
      </c>
    </row>
    <row r="291">
      <c r="B291" s="27">
        <f>'1 Data'!B280</f>
        <v/>
      </c>
      <c r="C291" s="28">
        <f>$C$12 + '1 Data'!C280*$C$13 + '1 Data'!D280*$C$14 + '1 Data'!E280*$C$15 + '1 Data'!F280*$C$16 + '1 Data'!G280*$C$17 + '1 Data'!H280*$C$18</f>
        <v/>
      </c>
      <c r="D291" s="23">
        <f>1/(1+EXP(-C291))</f>
        <v/>
      </c>
      <c r="E291" s="27">
        <f>'1 Data'!I280</f>
        <v/>
      </c>
      <c r="F291" s="29">
        <f>RANK(D291,$D$23:$D$1022)</f>
        <v/>
      </c>
      <c r="G291" s="30">
        <f>COUNTIF($D$23:$D$1022,"&lt;"&amp;D291)+(COUNTIF($D$23:$D$1022,"="&amp;D291)+1)/2</f>
        <v/>
      </c>
    </row>
    <row r="292">
      <c r="B292" s="27">
        <f>'1 Data'!B281</f>
        <v/>
      </c>
      <c r="C292" s="28">
        <f>$C$12 + '1 Data'!C281*$C$13 + '1 Data'!D281*$C$14 + '1 Data'!E281*$C$15 + '1 Data'!F281*$C$16 + '1 Data'!G281*$C$17 + '1 Data'!H281*$C$18</f>
        <v/>
      </c>
      <c r="D292" s="23">
        <f>1/(1+EXP(-C292))</f>
        <v/>
      </c>
      <c r="E292" s="27">
        <f>'1 Data'!I281</f>
        <v/>
      </c>
      <c r="F292" s="29">
        <f>RANK(D292,$D$23:$D$1022)</f>
        <v/>
      </c>
      <c r="G292" s="30">
        <f>COUNTIF($D$23:$D$1022,"&lt;"&amp;D292)+(COUNTIF($D$23:$D$1022,"="&amp;D292)+1)/2</f>
        <v/>
      </c>
    </row>
    <row r="293">
      <c r="B293" s="27">
        <f>'1 Data'!B282</f>
        <v/>
      </c>
      <c r="C293" s="28">
        <f>$C$12 + '1 Data'!C282*$C$13 + '1 Data'!D282*$C$14 + '1 Data'!E282*$C$15 + '1 Data'!F282*$C$16 + '1 Data'!G282*$C$17 + '1 Data'!H282*$C$18</f>
        <v/>
      </c>
      <c r="D293" s="23">
        <f>1/(1+EXP(-C293))</f>
        <v/>
      </c>
      <c r="E293" s="27">
        <f>'1 Data'!I282</f>
        <v/>
      </c>
      <c r="F293" s="29">
        <f>RANK(D293,$D$23:$D$1022)</f>
        <v/>
      </c>
      <c r="G293" s="30">
        <f>COUNTIF($D$23:$D$1022,"&lt;"&amp;D293)+(COUNTIF($D$23:$D$1022,"="&amp;D293)+1)/2</f>
        <v/>
      </c>
    </row>
    <row r="294">
      <c r="B294" s="27">
        <f>'1 Data'!B283</f>
        <v/>
      </c>
      <c r="C294" s="28">
        <f>$C$12 + '1 Data'!C283*$C$13 + '1 Data'!D283*$C$14 + '1 Data'!E283*$C$15 + '1 Data'!F283*$C$16 + '1 Data'!G283*$C$17 + '1 Data'!H283*$C$18</f>
        <v/>
      </c>
      <c r="D294" s="23">
        <f>1/(1+EXP(-C294))</f>
        <v/>
      </c>
      <c r="E294" s="27">
        <f>'1 Data'!I283</f>
        <v/>
      </c>
      <c r="F294" s="29">
        <f>RANK(D294,$D$23:$D$1022)</f>
        <v/>
      </c>
      <c r="G294" s="30">
        <f>COUNTIF($D$23:$D$1022,"&lt;"&amp;D294)+(COUNTIF($D$23:$D$1022,"="&amp;D294)+1)/2</f>
        <v/>
      </c>
    </row>
    <row r="295">
      <c r="B295" s="27">
        <f>'1 Data'!B284</f>
        <v/>
      </c>
      <c r="C295" s="28">
        <f>$C$12 + '1 Data'!C284*$C$13 + '1 Data'!D284*$C$14 + '1 Data'!E284*$C$15 + '1 Data'!F284*$C$16 + '1 Data'!G284*$C$17 + '1 Data'!H284*$C$18</f>
        <v/>
      </c>
      <c r="D295" s="23">
        <f>1/(1+EXP(-C295))</f>
        <v/>
      </c>
      <c r="E295" s="27">
        <f>'1 Data'!I284</f>
        <v/>
      </c>
      <c r="F295" s="29">
        <f>RANK(D295,$D$23:$D$1022)</f>
        <v/>
      </c>
      <c r="G295" s="30">
        <f>COUNTIF($D$23:$D$1022,"&lt;"&amp;D295)+(COUNTIF($D$23:$D$1022,"="&amp;D295)+1)/2</f>
        <v/>
      </c>
    </row>
    <row r="296">
      <c r="B296" s="27">
        <f>'1 Data'!B285</f>
        <v/>
      </c>
      <c r="C296" s="28">
        <f>$C$12 + '1 Data'!C285*$C$13 + '1 Data'!D285*$C$14 + '1 Data'!E285*$C$15 + '1 Data'!F285*$C$16 + '1 Data'!G285*$C$17 + '1 Data'!H285*$C$18</f>
        <v/>
      </c>
      <c r="D296" s="23">
        <f>1/(1+EXP(-C296))</f>
        <v/>
      </c>
      <c r="E296" s="27">
        <f>'1 Data'!I285</f>
        <v/>
      </c>
      <c r="F296" s="29">
        <f>RANK(D296,$D$23:$D$1022)</f>
        <v/>
      </c>
      <c r="G296" s="30">
        <f>COUNTIF($D$23:$D$1022,"&lt;"&amp;D296)+(COUNTIF($D$23:$D$1022,"="&amp;D296)+1)/2</f>
        <v/>
      </c>
    </row>
    <row r="297">
      <c r="B297" s="27">
        <f>'1 Data'!B286</f>
        <v/>
      </c>
      <c r="C297" s="28">
        <f>$C$12 + '1 Data'!C286*$C$13 + '1 Data'!D286*$C$14 + '1 Data'!E286*$C$15 + '1 Data'!F286*$C$16 + '1 Data'!G286*$C$17 + '1 Data'!H286*$C$18</f>
        <v/>
      </c>
      <c r="D297" s="23">
        <f>1/(1+EXP(-C297))</f>
        <v/>
      </c>
      <c r="E297" s="27">
        <f>'1 Data'!I286</f>
        <v/>
      </c>
      <c r="F297" s="29">
        <f>RANK(D297,$D$23:$D$1022)</f>
        <v/>
      </c>
      <c r="G297" s="30">
        <f>COUNTIF($D$23:$D$1022,"&lt;"&amp;D297)+(COUNTIF($D$23:$D$1022,"="&amp;D297)+1)/2</f>
        <v/>
      </c>
    </row>
    <row r="298">
      <c r="B298" s="27">
        <f>'1 Data'!B287</f>
        <v/>
      </c>
      <c r="C298" s="28">
        <f>$C$12 + '1 Data'!C287*$C$13 + '1 Data'!D287*$C$14 + '1 Data'!E287*$C$15 + '1 Data'!F287*$C$16 + '1 Data'!G287*$C$17 + '1 Data'!H287*$C$18</f>
        <v/>
      </c>
      <c r="D298" s="23">
        <f>1/(1+EXP(-C298))</f>
        <v/>
      </c>
      <c r="E298" s="27">
        <f>'1 Data'!I287</f>
        <v/>
      </c>
      <c r="F298" s="29">
        <f>RANK(D298,$D$23:$D$1022)</f>
        <v/>
      </c>
      <c r="G298" s="30">
        <f>COUNTIF($D$23:$D$1022,"&lt;"&amp;D298)+(COUNTIF($D$23:$D$1022,"="&amp;D298)+1)/2</f>
        <v/>
      </c>
    </row>
    <row r="299">
      <c r="B299" s="27">
        <f>'1 Data'!B288</f>
        <v/>
      </c>
      <c r="C299" s="28">
        <f>$C$12 + '1 Data'!C288*$C$13 + '1 Data'!D288*$C$14 + '1 Data'!E288*$C$15 + '1 Data'!F288*$C$16 + '1 Data'!G288*$C$17 + '1 Data'!H288*$C$18</f>
        <v/>
      </c>
      <c r="D299" s="23">
        <f>1/(1+EXP(-C299))</f>
        <v/>
      </c>
      <c r="E299" s="27">
        <f>'1 Data'!I288</f>
        <v/>
      </c>
      <c r="F299" s="29">
        <f>RANK(D299,$D$23:$D$1022)</f>
        <v/>
      </c>
      <c r="G299" s="30">
        <f>COUNTIF($D$23:$D$1022,"&lt;"&amp;D299)+(COUNTIF($D$23:$D$1022,"="&amp;D299)+1)/2</f>
        <v/>
      </c>
    </row>
    <row r="300">
      <c r="B300" s="27">
        <f>'1 Data'!B289</f>
        <v/>
      </c>
      <c r="C300" s="28">
        <f>$C$12 + '1 Data'!C289*$C$13 + '1 Data'!D289*$C$14 + '1 Data'!E289*$C$15 + '1 Data'!F289*$C$16 + '1 Data'!G289*$C$17 + '1 Data'!H289*$C$18</f>
        <v/>
      </c>
      <c r="D300" s="23">
        <f>1/(1+EXP(-C300))</f>
        <v/>
      </c>
      <c r="E300" s="27">
        <f>'1 Data'!I289</f>
        <v/>
      </c>
      <c r="F300" s="29">
        <f>RANK(D300,$D$23:$D$1022)</f>
        <v/>
      </c>
      <c r="G300" s="30">
        <f>COUNTIF($D$23:$D$1022,"&lt;"&amp;D300)+(COUNTIF($D$23:$D$1022,"="&amp;D300)+1)/2</f>
        <v/>
      </c>
    </row>
    <row r="301">
      <c r="B301" s="27">
        <f>'1 Data'!B290</f>
        <v/>
      </c>
      <c r="C301" s="28">
        <f>$C$12 + '1 Data'!C290*$C$13 + '1 Data'!D290*$C$14 + '1 Data'!E290*$C$15 + '1 Data'!F290*$C$16 + '1 Data'!G290*$C$17 + '1 Data'!H290*$C$18</f>
        <v/>
      </c>
      <c r="D301" s="23">
        <f>1/(1+EXP(-C301))</f>
        <v/>
      </c>
      <c r="E301" s="27">
        <f>'1 Data'!I290</f>
        <v/>
      </c>
      <c r="F301" s="29">
        <f>RANK(D301,$D$23:$D$1022)</f>
        <v/>
      </c>
      <c r="G301" s="30">
        <f>COUNTIF($D$23:$D$1022,"&lt;"&amp;D301)+(COUNTIF($D$23:$D$1022,"="&amp;D301)+1)/2</f>
        <v/>
      </c>
    </row>
    <row r="302">
      <c r="B302" s="27">
        <f>'1 Data'!B291</f>
        <v/>
      </c>
      <c r="C302" s="28">
        <f>$C$12 + '1 Data'!C291*$C$13 + '1 Data'!D291*$C$14 + '1 Data'!E291*$C$15 + '1 Data'!F291*$C$16 + '1 Data'!G291*$C$17 + '1 Data'!H291*$C$18</f>
        <v/>
      </c>
      <c r="D302" s="23">
        <f>1/(1+EXP(-C302))</f>
        <v/>
      </c>
      <c r="E302" s="27">
        <f>'1 Data'!I291</f>
        <v/>
      </c>
      <c r="F302" s="29">
        <f>RANK(D302,$D$23:$D$1022)</f>
        <v/>
      </c>
      <c r="G302" s="30">
        <f>COUNTIF($D$23:$D$1022,"&lt;"&amp;D302)+(COUNTIF($D$23:$D$1022,"="&amp;D302)+1)/2</f>
        <v/>
      </c>
    </row>
    <row r="303">
      <c r="B303" s="27">
        <f>'1 Data'!B292</f>
        <v/>
      </c>
      <c r="C303" s="28">
        <f>$C$12 + '1 Data'!C292*$C$13 + '1 Data'!D292*$C$14 + '1 Data'!E292*$C$15 + '1 Data'!F292*$C$16 + '1 Data'!G292*$C$17 + '1 Data'!H292*$C$18</f>
        <v/>
      </c>
      <c r="D303" s="23">
        <f>1/(1+EXP(-C303))</f>
        <v/>
      </c>
      <c r="E303" s="27">
        <f>'1 Data'!I292</f>
        <v/>
      </c>
      <c r="F303" s="29">
        <f>RANK(D303,$D$23:$D$1022)</f>
        <v/>
      </c>
      <c r="G303" s="30">
        <f>COUNTIF($D$23:$D$1022,"&lt;"&amp;D303)+(COUNTIF($D$23:$D$1022,"="&amp;D303)+1)/2</f>
        <v/>
      </c>
    </row>
    <row r="304">
      <c r="B304" s="27">
        <f>'1 Data'!B293</f>
        <v/>
      </c>
      <c r="C304" s="28">
        <f>$C$12 + '1 Data'!C293*$C$13 + '1 Data'!D293*$C$14 + '1 Data'!E293*$C$15 + '1 Data'!F293*$C$16 + '1 Data'!G293*$C$17 + '1 Data'!H293*$C$18</f>
        <v/>
      </c>
      <c r="D304" s="23">
        <f>1/(1+EXP(-C304))</f>
        <v/>
      </c>
      <c r="E304" s="27">
        <f>'1 Data'!I293</f>
        <v/>
      </c>
      <c r="F304" s="29">
        <f>RANK(D304,$D$23:$D$1022)</f>
        <v/>
      </c>
      <c r="G304" s="30">
        <f>COUNTIF($D$23:$D$1022,"&lt;"&amp;D304)+(COUNTIF($D$23:$D$1022,"="&amp;D304)+1)/2</f>
        <v/>
      </c>
    </row>
    <row r="305">
      <c r="B305" s="27">
        <f>'1 Data'!B294</f>
        <v/>
      </c>
      <c r="C305" s="28">
        <f>$C$12 + '1 Data'!C294*$C$13 + '1 Data'!D294*$C$14 + '1 Data'!E294*$C$15 + '1 Data'!F294*$C$16 + '1 Data'!G294*$C$17 + '1 Data'!H294*$C$18</f>
        <v/>
      </c>
      <c r="D305" s="23">
        <f>1/(1+EXP(-C305))</f>
        <v/>
      </c>
      <c r="E305" s="27">
        <f>'1 Data'!I294</f>
        <v/>
      </c>
      <c r="F305" s="29">
        <f>RANK(D305,$D$23:$D$1022)</f>
        <v/>
      </c>
      <c r="G305" s="30">
        <f>COUNTIF($D$23:$D$1022,"&lt;"&amp;D305)+(COUNTIF($D$23:$D$1022,"="&amp;D305)+1)/2</f>
        <v/>
      </c>
    </row>
    <row r="306">
      <c r="B306" s="27">
        <f>'1 Data'!B295</f>
        <v/>
      </c>
      <c r="C306" s="28">
        <f>$C$12 + '1 Data'!C295*$C$13 + '1 Data'!D295*$C$14 + '1 Data'!E295*$C$15 + '1 Data'!F295*$C$16 + '1 Data'!G295*$C$17 + '1 Data'!H295*$C$18</f>
        <v/>
      </c>
      <c r="D306" s="23">
        <f>1/(1+EXP(-C306))</f>
        <v/>
      </c>
      <c r="E306" s="27">
        <f>'1 Data'!I295</f>
        <v/>
      </c>
      <c r="F306" s="29">
        <f>RANK(D306,$D$23:$D$1022)</f>
        <v/>
      </c>
      <c r="G306" s="30">
        <f>COUNTIF($D$23:$D$1022,"&lt;"&amp;D306)+(COUNTIF($D$23:$D$1022,"="&amp;D306)+1)/2</f>
        <v/>
      </c>
    </row>
    <row r="307">
      <c r="B307" s="27">
        <f>'1 Data'!B296</f>
        <v/>
      </c>
      <c r="C307" s="28">
        <f>$C$12 + '1 Data'!C296*$C$13 + '1 Data'!D296*$C$14 + '1 Data'!E296*$C$15 + '1 Data'!F296*$C$16 + '1 Data'!G296*$C$17 + '1 Data'!H296*$C$18</f>
        <v/>
      </c>
      <c r="D307" s="23">
        <f>1/(1+EXP(-C307))</f>
        <v/>
      </c>
      <c r="E307" s="27">
        <f>'1 Data'!I296</f>
        <v/>
      </c>
      <c r="F307" s="29">
        <f>RANK(D307,$D$23:$D$1022)</f>
        <v/>
      </c>
      <c r="G307" s="30">
        <f>COUNTIF($D$23:$D$1022,"&lt;"&amp;D307)+(COUNTIF($D$23:$D$1022,"="&amp;D307)+1)/2</f>
        <v/>
      </c>
    </row>
    <row r="308">
      <c r="B308" s="27">
        <f>'1 Data'!B297</f>
        <v/>
      </c>
      <c r="C308" s="28">
        <f>$C$12 + '1 Data'!C297*$C$13 + '1 Data'!D297*$C$14 + '1 Data'!E297*$C$15 + '1 Data'!F297*$C$16 + '1 Data'!G297*$C$17 + '1 Data'!H297*$C$18</f>
        <v/>
      </c>
      <c r="D308" s="23">
        <f>1/(1+EXP(-C308))</f>
        <v/>
      </c>
      <c r="E308" s="27">
        <f>'1 Data'!I297</f>
        <v/>
      </c>
      <c r="F308" s="29">
        <f>RANK(D308,$D$23:$D$1022)</f>
        <v/>
      </c>
      <c r="G308" s="30">
        <f>COUNTIF($D$23:$D$1022,"&lt;"&amp;D308)+(COUNTIF($D$23:$D$1022,"="&amp;D308)+1)/2</f>
        <v/>
      </c>
    </row>
    <row r="309">
      <c r="B309" s="27">
        <f>'1 Data'!B298</f>
        <v/>
      </c>
      <c r="C309" s="28">
        <f>$C$12 + '1 Data'!C298*$C$13 + '1 Data'!D298*$C$14 + '1 Data'!E298*$C$15 + '1 Data'!F298*$C$16 + '1 Data'!G298*$C$17 + '1 Data'!H298*$C$18</f>
        <v/>
      </c>
      <c r="D309" s="23">
        <f>1/(1+EXP(-C309))</f>
        <v/>
      </c>
      <c r="E309" s="27">
        <f>'1 Data'!I298</f>
        <v/>
      </c>
      <c r="F309" s="29">
        <f>RANK(D309,$D$23:$D$1022)</f>
        <v/>
      </c>
      <c r="G309" s="30">
        <f>COUNTIF($D$23:$D$1022,"&lt;"&amp;D309)+(COUNTIF($D$23:$D$1022,"="&amp;D309)+1)/2</f>
        <v/>
      </c>
    </row>
    <row r="310">
      <c r="B310" s="27">
        <f>'1 Data'!B299</f>
        <v/>
      </c>
      <c r="C310" s="28">
        <f>$C$12 + '1 Data'!C299*$C$13 + '1 Data'!D299*$C$14 + '1 Data'!E299*$C$15 + '1 Data'!F299*$C$16 + '1 Data'!G299*$C$17 + '1 Data'!H299*$C$18</f>
        <v/>
      </c>
      <c r="D310" s="23">
        <f>1/(1+EXP(-C310))</f>
        <v/>
      </c>
      <c r="E310" s="27">
        <f>'1 Data'!I299</f>
        <v/>
      </c>
      <c r="F310" s="29">
        <f>RANK(D310,$D$23:$D$1022)</f>
        <v/>
      </c>
      <c r="G310" s="30">
        <f>COUNTIF($D$23:$D$1022,"&lt;"&amp;D310)+(COUNTIF($D$23:$D$1022,"="&amp;D310)+1)/2</f>
        <v/>
      </c>
    </row>
    <row r="311">
      <c r="B311" s="27">
        <f>'1 Data'!B300</f>
        <v/>
      </c>
      <c r="C311" s="28">
        <f>$C$12 + '1 Data'!C300*$C$13 + '1 Data'!D300*$C$14 + '1 Data'!E300*$C$15 + '1 Data'!F300*$C$16 + '1 Data'!G300*$C$17 + '1 Data'!H300*$C$18</f>
        <v/>
      </c>
      <c r="D311" s="23">
        <f>1/(1+EXP(-C311))</f>
        <v/>
      </c>
      <c r="E311" s="27">
        <f>'1 Data'!I300</f>
        <v/>
      </c>
      <c r="F311" s="29">
        <f>RANK(D311,$D$23:$D$1022)</f>
        <v/>
      </c>
      <c r="G311" s="30">
        <f>COUNTIF($D$23:$D$1022,"&lt;"&amp;D311)+(COUNTIF($D$23:$D$1022,"="&amp;D311)+1)/2</f>
        <v/>
      </c>
    </row>
    <row r="312">
      <c r="B312" s="27">
        <f>'1 Data'!B301</f>
        <v/>
      </c>
      <c r="C312" s="28">
        <f>$C$12 + '1 Data'!C301*$C$13 + '1 Data'!D301*$C$14 + '1 Data'!E301*$C$15 + '1 Data'!F301*$C$16 + '1 Data'!G301*$C$17 + '1 Data'!H301*$C$18</f>
        <v/>
      </c>
      <c r="D312" s="23">
        <f>1/(1+EXP(-C312))</f>
        <v/>
      </c>
      <c r="E312" s="27">
        <f>'1 Data'!I301</f>
        <v/>
      </c>
      <c r="F312" s="29">
        <f>RANK(D312,$D$23:$D$1022)</f>
        <v/>
      </c>
      <c r="G312" s="30">
        <f>COUNTIF($D$23:$D$1022,"&lt;"&amp;D312)+(COUNTIF($D$23:$D$1022,"="&amp;D312)+1)/2</f>
        <v/>
      </c>
    </row>
    <row r="313">
      <c r="B313" s="27">
        <f>'1 Data'!B302</f>
        <v/>
      </c>
      <c r="C313" s="28">
        <f>$C$12 + '1 Data'!C302*$C$13 + '1 Data'!D302*$C$14 + '1 Data'!E302*$C$15 + '1 Data'!F302*$C$16 + '1 Data'!G302*$C$17 + '1 Data'!H302*$C$18</f>
        <v/>
      </c>
      <c r="D313" s="23">
        <f>1/(1+EXP(-C313))</f>
        <v/>
      </c>
      <c r="E313" s="27">
        <f>'1 Data'!I302</f>
        <v/>
      </c>
      <c r="F313" s="29">
        <f>RANK(D313,$D$23:$D$1022)</f>
        <v/>
      </c>
      <c r="G313" s="30">
        <f>COUNTIF($D$23:$D$1022,"&lt;"&amp;D313)+(COUNTIF($D$23:$D$1022,"="&amp;D313)+1)/2</f>
        <v/>
      </c>
    </row>
    <row r="314">
      <c r="B314" s="27">
        <f>'1 Data'!B303</f>
        <v/>
      </c>
      <c r="C314" s="28">
        <f>$C$12 + '1 Data'!C303*$C$13 + '1 Data'!D303*$C$14 + '1 Data'!E303*$C$15 + '1 Data'!F303*$C$16 + '1 Data'!G303*$C$17 + '1 Data'!H303*$C$18</f>
        <v/>
      </c>
      <c r="D314" s="23">
        <f>1/(1+EXP(-C314))</f>
        <v/>
      </c>
      <c r="E314" s="27">
        <f>'1 Data'!I303</f>
        <v/>
      </c>
      <c r="F314" s="29">
        <f>RANK(D314,$D$23:$D$1022)</f>
        <v/>
      </c>
      <c r="G314" s="30">
        <f>COUNTIF($D$23:$D$1022,"&lt;"&amp;D314)+(COUNTIF($D$23:$D$1022,"="&amp;D314)+1)/2</f>
        <v/>
      </c>
    </row>
    <row r="315">
      <c r="B315" s="27">
        <f>'1 Data'!B304</f>
        <v/>
      </c>
      <c r="C315" s="28">
        <f>$C$12 + '1 Data'!C304*$C$13 + '1 Data'!D304*$C$14 + '1 Data'!E304*$C$15 + '1 Data'!F304*$C$16 + '1 Data'!G304*$C$17 + '1 Data'!H304*$C$18</f>
        <v/>
      </c>
      <c r="D315" s="23">
        <f>1/(1+EXP(-C315))</f>
        <v/>
      </c>
      <c r="E315" s="27">
        <f>'1 Data'!I304</f>
        <v/>
      </c>
      <c r="F315" s="29">
        <f>RANK(D315,$D$23:$D$1022)</f>
        <v/>
      </c>
      <c r="G315" s="30">
        <f>COUNTIF($D$23:$D$1022,"&lt;"&amp;D315)+(COUNTIF($D$23:$D$1022,"="&amp;D315)+1)/2</f>
        <v/>
      </c>
    </row>
    <row r="316">
      <c r="B316" s="27">
        <f>'1 Data'!B305</f>
        <v/>
      </c>
      <c r="C316" s="28">
        <f>$C$12 + '1 Data'!C305*$C$13 + '1 Data'!D305*$C$14 + '1 Data'!E305*$C$15 + '1 Data'!F305*$C$16 + '1 Data'!G305*$C$17 + '1 Data'!H305*$C$18</f>
        <v/>
      </c>
      <c r="D316" s="23">
        <f>1/(1+EXP(-C316))</f>
        <v/>
      </c>
      <c r="E316" s="27">
        <f>'1 Data'!I305</f>
        <v/>
      </c>
      <c r="F316" s="29">
        <f>RANK(D316,$D$23:$D$1022)</f>
        <v/>
      </c>
      <c r="G316" s="30">
        <f>COUNTIF($D$23:$D$1022,"&lt;"&amp;D316)+(COUNTIF($D$23:$D$1022,"="&amp;D316)+1)/2</f>
        <v/>
      </c>
    </row>
    <row r="317">
      <c r="B317" s="27">
        <f>'1 Data'!B306</f>
        <v/>
      </c>
      <c r="C317" s="28">
        <f>$C$12 + '1 Data'!C306*$C$13 + '1 Data'!D306*$C$14 + '1 Data'!E306*$C$15 + '1 Data'!F306*$C$16 + '1 Data'!G306*$C$17 + '1 Data'!H306*$C$18</f>
        <v/>
      </c>
      <c r="D317" s="23">
        <f>1/(1+EXP(-C317))</f>
        <v/>
      </c>
      <c r="E317" s="27">
        <f>'1 Data'!I306</f>
        <v/>
      </c>
      <c r="F317" s="29">
        <f>RANK(D317,$D$23:$D$1022)</f>
        <v/>
      </c>
      <c r="G317" s="30">
        <f>COUNTIF($D$23:$D$1022,"&lt;"&amp;D317)+(COUNTIF($D$23:$D$1022,"="&amp;D317)+1)/2</f>
        <v/>
      </c>
    </row>
    <row r="318">
      <c r="B318" s="27">
        <f>'1 Data'!B307</f>
        <v/>
      </c>
      <c r="C318" s="28">
        <f>$C$12 + '1 Data'!C307*$C$13 + '1 Data'!D307*$C$14 + '1 Data'!E307*$C$15 + '1 Data'!F307*$C$16 + '1 Data'!G307*$C$17 + '1 Data'!H307*$C$18</f>
        <v/>
      </c>
      <c r="D318" s="23">
        <f>1/(1+EXP(-C318))</f>
        <v/>
      </c>
      <c r="E318" s="27">
        <f>'1 Data'!I307</f>
        <v/>
      </c>
      <c r="F318" s="29">
        <f>RANK(D318,$D$23:$D$1022)</f>
        <v/>
      </c>
      <c r="G318" s="30">
        <f>COUNTIF($D$23:$D$1022,"&lt;"&amp;D318)+(COUNTIF($D$23:$D$1022,"="&amp;D318)+1)/2</f>
        <v/>
      </c>
    </row>
    <row r="319">
      <c r="B319" s="27">
        <f>'1 Data'!B308</f>
        <v/>
      </c>
      <c r="C319" s="28">
        <f>$C$12 + '1 Data'!C308*$C$13 + '1 Data'!D308*$C$14 + '1 Data'!E308*$C$15 + '1 Data'!F308*$C$16 + '1 Data'!G308*$C$17 + '1 Data'!H308*$C$18</f>
        <v/>
      </c>
      <c r="D319" s="23">
        <f>1/(1+EXP(-C319))</f>
        <v/>
      </c>
      <c r="E319" s="27">
        <f>'1 Data'!I308</f>
        <v/>
      </c>
      <c r="F319" s="29">
        <f>RANK(D319,$D$23:$D$1022)</f>
        <v/>
      </c>
      <c r="G319" s="30">
        <f>COUNTIF($D$23:$D$1022,"&lt;"&amp;D319)+(COUNTIF($D$23:$D$1022,"="&amp;D319)+1)/2</f>
        <v/>
      </c>
    </row>
    <row r="320">
      <c r="B320" s="27">
        <f>'1 Data'!B309</f>
        <v/>
      </c>
      <c r="C320" s="28">
        <f>$C$12 + '1 Data'!C309*$C$13 + '1 Data'!D309*$C$14 + '1 Data'!E309*$C$15 + '1 Data'!F309*$C$16 + '1 Data'!G309*$C$17 + '1 Data'!H309*$C$18</f>
        <v/>
      </c>
      <c r="D320" s="23">
        <f>1/(1+EXP(-C320))</f>
        <v/>
      </c>
      <c r="E320" s="27">
        <f>'1 Data'!I309</f>
        <v/>
      </c>
      <c r="F320" s="29">
        <f>RANK(D320,$D$23:$D$1022)</f>
        <v/>
      </c>
      <c r="G320" s="30">
        <f>COUNTIF($D$23:$D$1022,"&lt;"&amp;D320)+(COUNTIF($D$23:$D$1022,"="&amp;D320)+1)/2</f>
        <v/>
      </c>
    </row>
    <row r="321">
      <c r="B321" s="27">
        <f>'1 Data'!B310</f>
        <v/>
      </c>
      <c r="C321" s="28">
        <f>$C$12 + '1 Data'!C310*$C$13 + '1 Data'!D310*$C$14 + '1 Data'!E310*$C$15 + '1 Data'!F310*$C$16 + '1 Data'!G310*$C$17 + '1 Data'!H310*$C$18</f>
        <v/>
      </c>
      <c r="D321" s="23">
        <f>1/(1+EXP(-C321))</f>
        <v/>
      </c>
      <c r="E321" s="27">
        <f>'1 Data'!I310</f>
        <v/>
      </c>
      <c r="F321" s="29">
        <f>RANK(D321,$D$23:$D$1022)</f>
        <v/>
      </c>
      <c r="G321" s="30">
        <f>COUNTIF($D$23:$D$1022,"&lt;"&amp;D321)+(COUNTIF($D$23:$D$1022,"="&amp;D321)+1)/2</f>
        <v/>
      </c>
    </row>
    <row r="322">
      <c r="B322" s="27">
        <f>'1 Data'!B311</f>
        <v/>
      </c>
      <c r="C322" s="28">
        <f>$C$12 + '1 Data'!C311*$C$13 + '1 Data'!D311*$C$14 + '1 Data'!E311*$C$15 + '1 Data'!F311*$C$16 + '1 Data'!G311*$C$17 + '1 Data'!H311*$C$18</f>
        <v/>
      </c>
      <c r="D322" s="23">
        <f>1/(1+EXP(-C322))</f>
        <v/>
      </c>
      <c r="E322" s="27">
        <f>'1 Data'!I311</f>
        <v/>
      </c>
      <c r="F322" s="29">
        <f>RANK(D322,$D$23:$D$1022)</f>
        <v/>
      </c>
      <c r="G322" s="30">
        <f>COUNTIF($D$23:$D$1022,"&lt;"&amp;D322)+(COUNTIF($D$23:$D$1022,"="&amp;D322)+1)/2</f>
        <v/>
      </c>
    </row>
    <row r="323">
      <c r="B323" s="27">
        <f>'1 Data'!B312</f>
        <v/>
      </c>
      <c r="C323" s="28">
        <f>$C$12 + '1 Data'!C312*$C$13 + '1 Data'!D312*$C$14 + '1 Data'!E312*$C$15 + '1 Data'!F312*$C$16 + '1 Data'!G312*$C$17 + '1 Data'!H312*$C$18</f>
        <v/>
      </c>
      <c r="D323" s="23">
        <f>1/(1+EXP(-C323))</f>
        <v/>
      </c>
      <c r="E323" s="27">
        <f>'1 Data'!I312</f>
        <v/>
      </c>
      <c r="F323" s="29">
        <f>RANK(D323,$D$23:$D$1022)</f>
        <v/>
      </c>
      <c r="G323" s="30">
        <f>COUNTIF($D$23:$D$1022,"&lt;"&amp;D323)+(COUNTIF($D$23:$D$1022,"="&amp;D323)+1)/2</f>
        <v/>
      </c>
    </row>
    <row r="324">
      <c r="B324" s="27">
        <f>'1 Data'!B313</f>
        <v/>
      </c>
      <c r="C324" s="28">
        <f>$C$12 + '1 Data'!C313*$C$13 + '1 Data'!D313*$C$14 + '1 Data'!E313*$C$15 + '1 Data'!F313*$C$16 + '1 Data'!G313*$C$17 + '1 Data'!H313*$C$18</f>
        <v/>
      </c>
      <c r="D324" s="23">
        <f>1/(1+EXP(-C324))</f>
        <v/>
      </c>
      <c r="E324" s="27">
        <f>'1 Data'!I313</f>
        <v/>
      </c>
      <c r="F324" s="29">
        <f>RANK(D324,$D$23:$D$1022)</f>
        <v/>
      </c>
      <c r="G324" s="30">
        <f>COUNTIF($D$23:$D$1022,"&lt;"&amp;D324)+(COUNTIF($D$23:$D$1022,"="&amp;D324)+1)/2</f>
        <v/>
      </c>
    </row>
    <row r="325">
      <c r="B325" s="27">
        <f>'1 Data'!B314</f>
        <v/>
      </c>
      <c r="C325" s="28">
        <f>$C$12 + '1 Data'!C314*$C$13 + '1 Data'!D314*$C$14 + '1 Data'!E314*$C$15 + '1 Data'!F314*$C$16 + '1 Data'!G314*$C$17 + '1 Data'!H314*$C$18</f>
        <v/>
      </c>
      <c r="D325" s="23">
        <f>1/(1+EXP(-C325))</f>
        <v/>
      </c>
      <c r="E325" s="27">
        <f>'1 Data'!I314</f>
        <v/>
      </c>
      <c r="F325" s="29">
        <f>RANK(D325,$D$23:$D$1022)</f>
        <v/>
      </c>
      <c r="G325" s="30">
        <f>COUNTIF($D$23:$D$1022,"&lt;"&amp;D325)+(COUNTIF($D$23:$D$1022,"="&amp;D325)+1)/2</f>
        <v/>
      </c>
    </row>
    <row r="326">
      <c r="B326" s="27">
        <f>'1 Data'!B315</f>
        <v/>
      </c>
      <c r="C326" s="28">
        <f>$C$12 + '1 Data'!C315*$C$13 + '1 Data'!D315*$C$14 + '1 Data'!E315*$C$15 + '1 Data'!F315*$C$16 + '1 Data'!G315*$C$17 + '1 Data'!H315*$C$18</f>
        <v/>
      </c>
      <c r="D326" s="23">
        <f>1/(1+EXP(-C326))</f>
        <v/>
      </c>
      <c r="E326" s="27">
        <f>'1 Data'!I315</f>
        <v/>
      </c>
      <c r="F326" s="29">
        <f>RANK(D326,$D$23:$D$1022)</f>
        <v/>
      </c>
      <c r="G326" s="30">
        <f>COUNTIF($D$23:$D$1022,"&lt;"&amp;D326)+(COUNTIF($D$23:$D$1022,"="&amp;D326)+1)/2</f>
        <v/>
      </c>
    </row>
    <row r="327">
      <c r="B327" s="27">
        <f>'1 Data'!B316</f>
        <v/>
      </c>
      <c r="C327" s="28">
        <f>$C$12 + '1 Data'!C316*$C$13 + '1 Data'!D316*$C$14 + '1 Data'!E316*$C$15 + '1 Data'!F316*$C$16 + '1 Data'!G316*$C$17 + '1 Data'!H316*$C$18</f>
        <v/>
      </c>
      <c r="D327" s="23">
        <f>1/(1+EXP(-C327))</f>
        <v/>
      </c>
      <c r="E327" s="27">
        <f>'1 Data'!I316</f>
        <v/>
      </c>
      <c r="F327" s="29">
        <f>RANK(D327,$D$23:$D$1022)</f>
        <v/>
      </c>
      <c r="G327" s="30">
        <f>COUNTIF($D$23:$D$1022,"&lt;"&amp;D327)+(COUNTIF($D$23:$D$1022,"="&amp;D327)+1)/2</f>
        <v/>
      </c>
    </row>
    <row r="328">
      <c r="B328" s="27">
        <f>'1 Data'!B317</f>
        <v/>
      </c>
      <c r="C328" s="28">
        <f>$C$12 + '1 Data'!C317*$C$13 + '1 Data'!D317*$C$14 + '1 Data'!E317*$C$15 + '1 Data'!F317*$C$16 + '1 Data'!G317*$C$17 + '1 Data'!H317*$C$18</f>
        <v/>
      </c>
      <c r="D328" s="23">
        <f>1/(1+EXP(-C328))</f>
        <v/>
      </c>
      <c r="E328" s="27">
        <f>'1 Data'!I317</f>
        <v/>
      </c>
      <c r="F328" s="29">
        <f>RANK(D328,$D$23:$D$1022)</f>
        <v/>
      </c>
      <c r="G328" s="30">
        <f>COUNTIF($D$23:$D$1022,"&lt;"&amp;D328)+(COUNTIF($D$23:$D$1022,"="&amp;D328)+1)/2</f>
        <v/>
      </c>
    </row>
    <row r="329">
      <c r="B329" s="27">
        <f>'1 Data'!B318</f>
        <v/>
      </c>
      <c r="C329" s="28">
        <f>$C$12 + '1 Data'!C318*$C$13 + '1 Data'!D318*$C$14 + '1 Data'!E318*$C$15 + '1 Data'!F318*$C$16 + '1 Data'!G318*$C$17 + '1 Data'!H318*$C$18</f>
        <v/>
      </c>
      <c r="D329" s="23">
        <f>1/(1+EXP(-C329))</f>
        <v/>
      </c>
      <c r="E329" s="27">
        <f>'1 Data'!I318</f>
        <v/>
      </c>
      <c r="F329" s="29">
        <f>RANK(D329,$D$23:$D$1022)</f>
        <v/>
      </c>
      <c r="G329" s="30">
        <f>COUNTIF($D$23:$D$1022,"&lt;"&amp;D329)+(COUNTIF($D$23:$D$1022,"="&amp;D329)+1)/2</f>
        <v/>
      </c>
    </row>
    <row r="330">
      <c r="B330" s="27">
        <f>'1 Data'!B319</f>
        <v/>
      </c>
      <c r="C330" s="28">
        <f>$C$12 + '1 Data'!C319*$C$13 + '1 Data'!D319*$C$14 + '1 Data'!E319*$C$15 + '1 Data'!F319*$C$16 + '1 Data'!G319*$C$17 + '1 Data'!H319*$C$18</f>
        <v/>
      </c>
      <c r="D330" s="23">
        <f>1/(1+EXP(-C330))</f>
        <v/>
      </c>
      <c r="E330" s="27">
        <f>'1 Data'!I319</f>
        <v/>
      </c>
      <c r="F330" s="29">
        <f>RANK(D330,$D$23:$D$1022)</f>
        <v/>
      </c>
      <c r="G330" s="30">
        <f>COUNTIF($D$23:$D$1022,"&lt;"&amp;D330)+(COUNTIF($D$23:$D$1022,"="&amp;D330)+1)/2</f>
        <v/>
      </c>
    </row>
    <row r="331">
      <c r="B331" s="27">
        <f>'1 Data'!B320</f>
        <v/>
      </c>
      <c r="C331" s="28">
        <f>$C$12 + '1 Data'!C320*$C$13 + '1 Data'!D320*$C$14 + '1 Data'!E320*$C$15 + '1 Data'!F320*$C$16 + '1 Data'!G320*$C$17 + '1 Data'!H320*$C$18</f>
        <v/>
      </c>
      <c r="D331" s="23">
        <f>1/(1+EXP(-C331))</f>
        <v/>
      </c>
      <c r="E331" s="27">
        <f>'1 Data'!I320</f>
        <v/>
      </c>
      <c r="F331" s="29">
        <f>RANK(D331,$D$23:$D$1022)</f>
        <v/>
      </c>
      <c r="G331" s="30">
        <f>COUNTIF($D$23:$D$1022,"&lt;"&amp;D331)+(COUNTIF($D$23:$D$1022,"="&amp;D331)+1)/2</f>
        <v/>
      </c>
    </row>
    <row r="332">
      <c r="B332" s="27">
        <f>'1 Data'!B321</f>
        <v/>
      </c>
      <c r="C332" s="28">
        <f>$C$12 + '1 Data'!C321*$C$13 + '1 Data'!D321*$C$14 + '1 Data'!E321*$C$15 + '1 Data'!F321*$C$16 + '1 Data'!G321*$C$17 + '1 Data'!H321*$C$18</f>
        <v/>
      </c>
      <c r="D332" s="23">
        <f>1/(1+EXP(-C332))</f>
        <v/>
      </c>
      <c r="E332" s="27">
        <f>'1 Data'!I321</f>
        <v/>
      </c>
      <c r="F332" s="29">
        <f>RANK(D332,$D$23:$D$1022)</f>
        <v/>
      </c>
      <c r="G332" s="30">
        <f>COUNTIF($D$23:$D$1022,"&lt;"&amp;D332)+(COUNTIF($D$23:$D$1022,"="&amp;D332)+1)/2</f>
        <v/>
      </c>
    </row>
    <row r="333">
      <c r="B333" s="27">
        <f>'1 Data'!B322</f>
        <v/>
      </c>
      <c r="C333" s="28">
        <f>$C$12 + '1 Data'!C322*$C$13 + '1 Data'!D322*$C$14 + '1 Data'!E322*$C$15 + '1 Data'!F322*$C$16 + '1 Data'!G322*$C$17 + '1 Data'!H322*$C$18</f>
        <v/>
      </c>
      <c r="D333" s="23">
        <f>1/(1+EXP(-C333))</f>
        <v/>
      </c>
      <c r="E333" s="27">
        <f>'1 Data'!I322</f>
        <v/>
      </c>
      <c r="F333" s="29">
        <f>RANK(D333,$D$23:$D$1022)</f>
        <v/>
      </c>
      <c r="G333" s="30">
        <f>COUNTIF($D$23:$D$1022,"&lt;"&amp;D333)+(COUNTIF($D$23:$D$1022,"="&amp;D333)+1)/2</f>
        <v/>
      </c>
    </row>
    <row r="334">
      <c r="B334" s="27">
        <f>'1 Data'!B323</f>
        <v/>
      </c>
      <c r="C334" s="28">
        <f>$C$12 + '1 Data'!C323*$C$13 + '1 Data'!D323*$C$14 + '1 Data'!E323*$C$15 + '1 Data'!F323*$C$16 + '1 Data'!G323*$C$17 + '1 Data'!H323*$C$18</f>
        <v/>
      </c>
      <c r="D334" s="23">
        <f>1/(1+EXP(-C334))</f>
        <v/>
      </c>
      <c r="E334" s="27">
        <f>'1 Data'!I323</f>
        <v/>
      </c>
      <c r="F334" s="29">
        <f>RANK(D334,$D$23:$D$1022)</f>
        <v/>
      </c>
      <c r="G334" s="30">
        <f>COUNTIF($D$23:$D$1022,"&lt;"&amp;D334)+(COUNTIF($D$23:$D$1022,"="&amp;D334)+1)/2</f>
        <v/>
      </c>
    </row>
    <row r="335">
      <c r="B335" s="27">
        <f>'1 Data'!B324</f>
        <v/>
      </c>
      <c r="C335" s="28">
        <f>$C$12 + '1 Data'!C324*$C$13 + '1 Data'!D324*$C$14 + '1 Data'!E324*$C$15 + '1 Data'!F324*$C$16 + '1 Data'!G324*$C$17 + '1 Data'!H324*$C$18</f>
        <v/>
      </c>
      <c r="D335" s="23">
        <f>1/(1+EXP(-C335))</f>
        <v/>
      </c>
      <c r="E335" s="27">
        <f>'1 Data'!I324</f>
        <v/>
      </c>
      <c r="F335" s="29">
        <f>RANK(D335,$D$23:$D$1022)</f>
        <v/>
      </c>
      <c r="G335" s="30">
        <f>COUNTIF($D$23:$D$1022,"&lt;"&amp;D335)+(COUNTIF($D$23:$D$1022,"="&amp;D335)+1)/2</f>
        <v/>
      </c>
    </row>
    <row r="336">
      <c r="B336" s="27">
        <f>'1 Data'!B325</f>
        <v/>
      </c>
      <c r="C336" s="28">
        <f>$C$12 + '1 Data'!C325*$C$13 + '1 Data'!D325*$C$14 + '1 Data'!E325*$C$15 + '1 Data'!F325*$C$16 + '1 Data'!G325*$C$17 + '1 Data'!H325*$C$18</f>
        <v/>
      </c>
      <c r="D336" s="23">
        <f>1/(1+EXP(-C336))</f>
        <v/>
      </c>
      <c r="E336" s="27">
        <f>'1 Data'!I325</f>
        <v/>
      </c>
      <c r="F336" s="29">
        <f>RANK(D336,$D$23:$D$1022)</f>
        <v/>
      </c>
      <c r="G336" s="30">
        <f>COUNTIF($D$23:$D$1022,"&lt;"&amp;D336)+(COUNTIF($D$23:$D$1022,"="&amp;D336)+1)/2</f>
        <v/>
      </c>
    </row>
    <row r="337">
      <c r="B337" s="27">
        <f>'1 Data'!B326</f>
        <v/>
      </c>
      <c r="C337" s="28">
        <f>$C$12 + '1 Data'!C326*$C$13 + '1 Data'!D326*$C$14 + '1 Data'!E326*$C$15 + '1 Data'!F326*$C$16 + '1 Data'!G326*$C$17 + '1 Data'!H326*$C$18</f>
        <v/>
      </c>
      <c r="D337" s="23">
        <f>1/(1+EXP(-C337))</f>
        <v/>
      </c>
      <c r="E337" s="27">
        <f>'1 Data'!I326</f>
        <v/>
      </c>
      <c r="F337" s="29">
        <f>RANK(D337,$D$23:$D$1022)</f>
        <v/>
      </c>
      <c r="G337" s="30">
        <f>COUNTIF($D$23:$D$1022,"&lt;"&amp;D337)+(COUNTIF($D$23:$D$1022,"="&amp;D337)+1)/2</f>
        <v/>
      </c>
    </row>
    <row r="338">
      <c r="B338" s="27">
        <f>'1 Data'!B327</f>
        <v/>
      </c>
      <c r="C338" s="28">
        <f>$C$12 + '1 Data'!C327*$C$13 + '1 Data'!D327*$C$14 + '1 Data'!E327*$C$15 + '1 Data'!F327*$C$16 + '1 Data'!G327*$C$17 + '1 Data'!H327*$C$18</f>
        <v/>
      </c>
      <c r="D338" s="23">
        <f>1/(1+EXP(-C338))</f>
        <v/>
      </c>
      <c r="E338" s="27">
        <f>'1 Data'!I327</f>
        <v/>
      </c>
      <c r="F338" s="29">
        <f>RANK(D338,$D$23:$D$1022)</f>
        <v/>
      </c>
      <c r="G338" s="30">
        <f>COUNTIF($D$23:$D$1022,"&lt;"&amp;D338)+(COUNTIF($D$23:$D$1022,"="&amp;D338)+1)/2</f>
        <v/>
      </c>
    </row>
    <row r="339">
      <c r="B339" s="27">
        <f>'1 Data'!B328</f>
        <v/>
      </c>
      <c r="C339" s="28">
        <f>$C$12 + '1 Data'!C328*$C$13 + '1 Data'!D328*$C$14 + '1 Data'!E328*$C$15 + '1 Data'!F328*$C$16 + '1 Data'!G328*$C$17 + '1 Data'!H328*$C$18</f>
        <v/>
      </c>
      <c r="D339" s="23">
        <f>1/(1+EXP(-C339))</f>
        <v/>
      </c>
      <c r="E339" s="27">
        <f>'1 Data'!I328</f>
        <v/>
      </c>
      <c r="F339" s="29">
        <f>RANK(D339,$D$23:$D$1022)</f>
        <v/>
      </c>
      <c r="G339" s="30">
        <f>COUNTIF($D$23:$D$1022,"&lt;"&amp;D339)+(COUNTIF($D$23:$D$1022,"="&amp;D339)+1)/2</f>
        <v/>
      </c>
    </row>
    <row r="340">
      <c r="B340" s="27">
        <f>'1 Data'!B329</f>
        <v/>
      </c>
      <c r="C340" s="28">
        <f>$C$12 + '1 Data'!C329*$C$13 + '1 Data'!D329*$C$14 + '1 Data'!E329*$C$15 + '1 Data'!F329*$C$16 + '1 Data'!G329*$C$17 + '1 Data'!H329*$C$18</f>
        <v/>
      </c>
      <c r="D340" s="23">
        <f>1/(1+EXP(-C340))</f>
        <v/>
      </c>
      <c r="E340" s="27">
        <f>'1 Data'!I329</f>
        <v/>
      </c>
      <c r="F340" s="29">
        <f>RANK(D340,$D$23:$D$1022)</f>
        <v/>
      </c>
      <c r="G340" s="30">
        <f>COUNTIF($D$23:$D$1022,"&lt;"&amp;D340)+(COUNTIF($D$23:$D$1022,"="&amp;D340)+1)/2</f>
        <v/>
      </c>
    </row>
    <row r="341">
      <c r="B341" s="27">
        <f>'1 Data'!B330</f>
        <v/>
      </c>
      <c r="C341" s="28">
        <f>$C$12 + '1 Data'!C330*$C$13 + '1 Data'!D330*$C$14 + '1 Data'!E330*$C$15 + '1 Data'!F330*$C$16 + '1 Data'!G330*$C$17 + '1 Data'!H330*$C$18</f>
        <v/>
      </c>
      <c r="D341" s="23">
        <f>1/(1+EXP(-C341))</f>
        <v/>
      </c>
      <c r="E341" s="27">
        <f>'1 Data'!I330</f>
        <v/>
      </c>
      <c r="F341" s="29">
        <f>RANK(D341,$D$23:$D$1022)</f>
        <v/>
      </c>
      <c r="G341" s="30">
        <f>COUNTIF($D$23:$D$1022,"&lt;"&amp;D341)+(COUNTIF($D$23:$D$1022,"="&amp;D341)+1)/2</f>
        <v/>
      </c>
    </row>
    <row r="342">
      <c r="B342" s="27">
        <f>'1 Data'!B331</f>
        <v/>
      </c>
      <c r="C342" s="28">
        <f>$C$12 + '1 Data'!C331*$C$13 + '1 Data'!D331*$C$14 + '1 Data'!E331*$C$15 + '1 Data'!F331*$C$16 + '1 Data'!G331*$C$17 + '1 Data'!H331*$C$18</f>
        <v/>
      </c>
      <c r="D342" s="23">
        <f>1/(1+EXP(-C342))</f>
        <v/>
      </c>
      <c r="E342" s="27">
        <f>'1 Data'!I331</f>
        <v/>
      </c>
      <c r="F342" s="29">
        <f>RANK(D342,$D$23:$D$1022)</f>
        <v/>
      </c>
      <c r="G342" s="30">
        <f>COUNTIF($D$23:$D$1022,"&lt;"&amp;D342)+(COUNTIF($D$23:$D$1022,"="&amp;D342)+1)/2</f>
        <v/>
      </c>
    </row>
    <row r="343">
      <c r="B343" s="27">
        <f>'1 Data'!B332</f>
        <v/>
      </c>
      <c r="C343" s="28">
        <f>$C$12 + '1 Data'!C332*$C$13 + '1 Data'!D332*$C$14 + '1 Data'!E332*$C$15 + '1 Data'!F332*$C$16 + '1 Data'!G332*$C$17 + '1 Data'!H332*$C$18</f>
        <v/>
      </c>
      <c r="D343" s="23">
        <f>1/(1+EXP(-C343))</f>
        <v/>
      </c>
      <c r="E343" s="27">
        <f>'1 Data'!I332</f>
        <v/>
      </c>
      <c r="F343" s="29">
        <f>RANK(D343,$D$23:$D$1022)</f>
        <v/>
      </c>
      <c r="G343" s="30">
        <f>COUNTIF($D$23:$D$1022,"&lt;"&amp;D343)+(COUNTIF($D$23:$D$1022,"="&amp;D343)+1)/2</f>
        <v/>
      </c>
    </row>
    <row r="344">
      <c r="B344" s="27">
        <f>'1 Data'!B333</f>
        <v/>
      </c>
      <c r="C344" s="28">
        <f>$C$12 + '1 Data'!C333*$C$13 + '1 Data'!D333*$C$14 + '1 Data'!E333*$C$15 + '1 Data'!F333*$C$16 + '1 Data'!G333*$C$17 + '1 Data'!H333*$C$18</f>
        <v/>
      </c>
      <c r="D344" s="23">
        <f>1/(1+EXP(-C344))</f>
        <v/>
      </c>
      <c r="E344" s="27">
        <f>'1 Data'!I333</f>
        <v/>
      </c>
      <c r="F344" s="29">
        <f>RANK(D344,$D$23:$D$1022)</f>
        <v/>
      </c>
      <c r="G344" s="30">
        <f>COUNTIF($D$23:$D$1022,"&lt;"&amp;D344)+(COUNTIF($D$23:$D$1022,"="&amp;D344)+1)/2</f>
        <v/>
      </c>
    </row>
    <row r="345">
      <c r="B345" s="27">
        <f>'1 Data'!B334</f>
        <v/>
      </c>
      <c r="C345" s="28">
        <f>$C$12 + '1 Data'!C334*$C$13 + '1 Data'!D334*$C$14 + '1 Data'!E334*$C$15 + '1 Data'!F334*$C$16 + '1 Data'!G334*$C$17 + '1 Data'!H334*$C$18</f>
        <v/>
      </c>
      <c r="D345" s="23">
        <f>1/(1+EXP(-C345))</f>
        <v/>
      </c>
      <c r="E345" s="27">
        <f>'1 Data'!I334</f>
        <v/>
      </c>
      <c r="F345" s="29">
        <f>RANK(D345,$D$23:$D$1022)</f>
        <v/>
      </c>
      <c r="G345" s="30">
        <f>COUNTIF($D$23:$D$1022,"&lt;"&amp;D345)+(COUNTIF($D$23:$D$1022,"="&amp;D345)+1)/2</f>
        <v/>
      </c>
    </row>
    <row r="346">
      <c r="B346" s="27">
        <f>'1 Data'!B335</f>
        <v/>
      </c>
      <c r="C346" s="28">
        <f>$C$12 + '1 Data'!C335*$C$13 + '1 Data'!D335*$C$14 + '1 Data'!E335*$C$15 + '1 Data'!F335*$C$16 + '1 Data'!G335*$C$17 + '1 Data'!H335*$C$18</f>
        <v/>
      </c>
      <c r="D346" s="23">
        <f>1/(1+EXP(-C346))</f>
        <v/>
      </c>
      <c r="E346" s="27">
        <f>'1 Data'!I335</f>
        <v/>
      </c>
      <c r="F346" s="29">
        <f>RANK(D346,$D$23:$D$1022)</f>
        <v/>
      </c>
      <c r="G346" s="30">
        <f>COUNTIF($D$23:$D$1022,"&lt;"&amp;D346)+(COUNTIF($D$23:$D$1022,"="&amp;D346)+1)/2</f>
        <v/>
      </c>
    </row>
    <row r="347">
      <c r="B347" s="27">
        <f>'1 Data'!B336</f>
        <v/>
      </c>
      <c r="C347" s="28">
        <f>$C$12 + '1 Data'!C336*$C$13 + '1 Data'!D336*$C$14 + '1 Data'!E336*$C$15 + '1 Data'!F336*$C$16 + '1 Data'!G336*$C$17 + '1 Data'!H336*$C$18</f>
        <v/>
      </c>
      <c r="D347" s="23">
        <f>1/(1+EXP(-C347))</f>
        <v/>
      </c>
      <c r="E347" s="27">
        <f>'1 Data'!I336</f>
        <v/>
      </c>
      <c r="F347" s="29">
        <f>RANK(D347,$D$23:$D$1022)</f>
        <v/>
      </c>
      <c r="G347" s="30">
        <f>COUNTIF($D$23:$D$1022,"&lt;"&amp;D347)+(COUNTIF($D$23:$D$1022,"="&amp;D347)+1)/2</f>
        <v/>
      </c>
    </row>
    <row r="348">
      <c r="B348" s="27">
        <f>'1 Data'!B337</f>
        <v/>
      </c>
      <c r="C348" s="28">
        <f>$C$12 + '1 Data'!C337*$C$13 + '1 Data'!D337*$C$14 + '1 Data'!E337*$C$15 + '1 Data'!F337*$C$16 + '1 Data'!G337*$C$17 + '1 Data'!H337*$C$18</f>
        <v/>
      </c>
      <c r="D348" s="23">
        <f>1/(1+EXP(-C348))</f>
        <v/>
      </c>
      <c r="E348" s="27">
        <f>'1 Data'!I337</f>
        <v/>
      </c>
      <c r="F348" s="29">
        <f>RANK(D348,$D$23:$D$1022)</f>
        <v/>
      </c>
      <c r="G348" s="30">
        <f>COUNTIF($D$23:$D$1022,"&lt;"&amp;D348)+(COUNTIF($D$23:$D$1022,"="&amp;D348)+1)/2</f>
        <v/>
      </c>
    </row>
    <row r="349">
      <c r="B349" s="27">
        <f>'1 Data'!B338</f>
        <v/>
      </c>
      <c r="C349" s="28">
        <f>$C$12 + '1 Data'!C338*$C$13 + '1 Data'!D338*$C$14 + '1 Data'!E338*$C$15 + '1 Data'!F338*$C$16 + '1 Data'!G338*$C$17 + '1 Data'!H338*$C$18</f>
        <v/>
      </c>
      <c r="D349" s="23">
        <f>1/(1+EXP(-C349))</f>
        <v/>
      </c>
      <c r="E349" s="27">
        <f>'1 Data'!I338</f>
        <v/>
      </c>
      <c r="F349" s="29">
        <f>RANK(D349,$D$23:$D$1022)</f>
        <v/>
      </c>
      <c r="G349" s="30">
        <f>COUNTIF($D$23:$D$1022,"&lt;"&amp;D349)+(COUNTIF($D$23:$D$1022,"="&amp;D349)+1)/2</f>
        <v/>
      </c>
    </row>
    <row r="350">
      <c r="B350" s="27">
        <f>'1 Data'!B339</f>
        <v/>
      </c>
      <c r="C350" s="28">
        <f>$C$12 + '1 Data'!C339*$C$13 + '1 Data'!D339*$C$14 + '1 Data'!E339*$C$15 + '1 Data'!F339*$C$16 + '1 Data'!G339*$C$17 + '1 Data'!H339*$C$18</f>
        <v/>
      </c>
      <c r="D350" s="23">
        <f>1/(1+EXP(-C350))</f>
        <v/>
      </c>
      <c r="E350" s="27">
        <f>'1 Data'!I339</f>
        <v/>
      </c>
      <c r="F350" s="29">
        <f>RANK(D350,$D$23:$D$1022)</f>
        <v/>
      </c>
      <c r="G350" s="30">
        <f>COUNTIF($D$23:$D$1022,"&lt;"&amp;D350)+(COUNTIF($D$23:$D$1022,"="&amp;D350)+1)/2</f>
        <v/>
      </c>
    </row>
    <row r="351">
      <c r="B351" s="27">
        <f>'1 Data'!B340</f>
        <v/>
      </c>
      <c r="C351" s="28">
        <f>$C$12 + '1 Data'!C340*$C$13 + '1 Data'!D340*$C$14 + '1 Data'!E340*$C$15 + '1 Data'!F340*$C$16 + '1 Data'!G340*$C$17 + '1 Data'!H340*$C$18</f>
        <v/>
      </c>
      <c r="D351" s="23">
        <f>1/(1+EXP(-C351))</f>
        <v/>
      </c>
      <c r="E351" s="27">
        <f>'1 Data'!I340</f>
        <v/>
      </c>
      <c r="F351" s="29">
        <f>RANK(D351,$D$23:$D$1022)</f>
        <v/>
      </c>
      <c r="G351" s="30">
        <f>COUNTIF($D$23:$D$1022,"&lt;"&amp;D351)+(COUNTIF($D$23:$D$1022,"="&amp;D351)+1)/2</f>
        <v/>
      </c>
    </row>
    <row r="352">
      <c r="B352" s="27">
        <f>'1 Data'!B341</f>
        <v/>
      </c>
      <c r="C352" s="28">
        <f>$C$12 + '1 Data'!C341*$C$13 + '1 Data'!D341*$C$14 + '1 Data'!E341*$C$15 + '1 Data'!F341*$C$16 + '1 Data'!G341*$C$17 + '1 Data'!H341*$C$18</f>
        <v/>
      </c>
      <c r="D352" s="23">
        <f>1/(1+EXP(-C352))</f>
        <v/>
      </c>
      <c r="E352" s="27">
        <f>'1 Data'!I341</f>
        <v/>
      </c>
      <c r="F352" s="29">
        <f>RANK(D352,$D$23:$D$1022)</f>
        <v/>
      </c>
      <c r="G352" s="30">
        <f>COUNTIF($D$23:$D$1022,"&lt;"&amp;D352)+(COUNTIF($D$23:$D$1022,"="&amp;D352)+1)/2</f>
        <v/>
      </c>
    </row>
    <row r="353">
      <c r="B353" s="27">
        <f>'1 Data'!B342</f>
        <v/>
      </c>
      <c r="C353" s="28">
        <f>$C$12 + '1 Data'!C342*$C$13 + '1 Data'!D342*$C$14 + '1 Data'!E342*$C$15 + '1 Data'!F342*$C$16 + '1 Data'!G342*$C$17 + '1 Data'!H342*$C$18</f>
        <v/>
      </c>
      <c r="D353" s="23">
        <f>1/(1+EXP(-C353))</f>
        <v/>
      </c>
      <c r="E353" s="27">
        <f>'1 Data'!I342</f>
        <v/>
      </c>
      <c r="F353" s="29">
        <f>RANK(D353,$D$23:$D$1022)</f>
        <v/>
      </c>
      <c r="G353" s="30">
        <f>COUNTIF($D$23:$D$1022,"&lt;"&amp;D353)+(COUNTIF($D$23:$D$1022,"="&amp;D353)+1)/2</f>
        <v/>
      </c>
    </row>
    <row r="354">
      <c r="B354" s="27">
        <f>'1 Data'!B343</f>
        <v/>
      </c>
      <c r="C354" s="28">
        <f>$C$12 + '1 Data'!C343*$C$13 + '1 Data'!D343*$C$14 + '1 Data'!E343*$C$15 + '1 Data'!F343*$C$16 + '1 Data'!G343*$C$17 + '1 Data'!H343*$C$18</f>
        <v/>
      </c>
      <c r="D354" s="23">
        <f>1/(1+EXP(-C354))</f>
        <v/>
      </c>
      <c r="E354" s="27">
        <f>'1 Data'!I343</f>
        <v/>
      </c>
      <c r="F354" s="29">
        <f>RANK(D354,$D$23:$D$1022)</f>
        <v/>
      </c>
      <c r="G354" s="30">
        <f>COUNTIF($D$23:$D$1022,"&lt;"&amp;D354)+(COUNTIF($D$23:$D$1022,"="&amp;D354)+1)/2</f>
        <v/>
      </c>
    </row>
    <row r="355">
      <c r="B355" s="27">
        <f>'1 Data'!B344</f>
        <v/>
      </c>
      <c r="C355" s="28">
        <f>$C$12 + '1 Data'!C344*$C$13 + '1 Data'!D344*$C$14 + '1 Data'!E344*$C$15 + '1 Data'!F344*$C$16 + '1 Data'!G344*$C$17 + '1 Data'!H344*$C$18</f>
        <v/>
      </c>
      <c r="D355" s="23">
        <f>1/(1+EXP(-C355))</f>
        <v/>
      </c>
      <c r="E355" s="27">
        <f>'1 Data'!I344</f>
        <v/>
      </c>
      <c r="F355" s="29">
        <f>RANK(D355,$D$23:$D$1022)</f>
        <v/>
      </c>
      <c r="G355" s="30">
        <f>COUNTIF($D$23:$D$1022,"&lt;"&amp;D355)+(COUNTIF($D$23:$D$1022,"="&amp;D355)+1)/2</f>
        <v/>
      </c>
    </row>
    <row r="356">
      <c r="B356" s="27">
        <f>'1 Data'!B345</f>
        <v/>
      </c>
      <c r="C356" s="28">
        <f>$C$12 + '1 Data'!C345*$C$13 + '1 Data'!D345*$C$14 + '1 Data'!E345*$C$15 + '1 Data'!F345*$C$16 + '1 Data'!G345*$C$17 + '1 Data'!H345*$C$18</f>
        <v/>
      </c>
      <c r="D356" s="23">
        <f>1/(1+EXP(-C356))</f>
        <v/>
      </c>
      <c r="E356" s="27">
        <f>'1 Data'!I345</f>
        <v/>
      </c>
      <c r="F356" s="29">
        <f>RANK(D356,$D$23:$D$1022)</f>
        <v/>
      </c>
      <c r="G356" s="30">
        <f>COUNTIF($D$23:$D$1022,"&lt;"&amp;D356)+(COUNTIF($D$23:$D$1022,"="&amp;D356)+1)/2</f>
        <v/>
      </c>
    </row>
    <row r="357">
      <c r="B357" s="27">
        <f>'1 Data'!B346</f>
        <v/>
      </c>
      <c r="C357" s="28">
        <f>$C$12 + '1 Data'!C346*$C$13 + '1 Data'!D346*$C$14 + '1 Data'!E346*$C$15 + '1 Data'!F346*$C$16 + '1 Data'!G346*$C$17 + '1 Data'!H346*$C$18</f>
        <v/>
      </c>
      <c r="D357" s="23">
        <f>1/(1+EXP(-C357))</f>
        <v/>
      </c>
      <c r="E357" s="27">
        <f>'1 Data'!I346</f>
        <v/>
      </c>
      <c r="F357" s="29">
        <f>RANK(D357,$D$23:$D$1022)</f>
        <v/>
      </c>
      <c r="G357" s="30">
        <f>COUNTIF($D$23:$D$1022,"&lt;"&amp;D357)+(COUNTIF($D$23:$D$1022,"="&amp;D357)+1)/2</f>
        <v/>
      </c>
    </row>
    <row r="358">
      <c r="B358" s="27">
        <f>'1 Data'!B347</f>
        <v/>
      </c>
      <c r="C358" s="28">
        <f>$C$12 + '1 Data'!C347*$C$13 + '1 Data'!D347*$C$14 + '1 Data'!E347*$C$15 + '1 Data'!F347*$C$16 + '1 Data'!G347*$C$17 + '1 Data'!H347*$C$18</f>
        <v/>
      </c>
      <c r="D358" s="23">
        <f>1/(1+EXP(-C358))</f>
        <v/>
      </c>
      <c r="E358" s="27">
        <f>'1 Data'!I347</f>
        <v/>
      </c>
      <c r="F358" s="29">
        <f>RANK(D358,$D$23:$D$1022)</f>
        <v/>
      </c>
      <c r="G358" s="30">
        <f>COUNTIF($D$23:$D$1022,"&lt;"&amp;D358)+(COUNTIF($D$23:$D$1022,"="&amp;D358)+1)/2</f>
        <v/>
      </c>
    </row>
    <row r="359">
      <c r="B359" s="27">
        <f>'1 Data'!B348</f>
        <v/>
      </c>
      <c r="C359" s="28">
        <f>$C$12 + '1 Data'!C348*$C$13 + '1 Data'!D348*$C$14 + '1 Data'!E348*$C$15 + '1 Data'!F348*$C$16 + '1 Data'!G348*$C$17 + '1 Data'!H348*$C$18</f>
        <v/>
      </c>
      <c r="D359" s="23">
        <f>1/(1+EXP(-C359))</f>
        <v/>
      </c>
      <c r="E359" s="27">
        <f>'1 Data'!I348</f>
        <v/>
      </c>
      <c r="F359" s="29">
        <f>RANK(D359,$D$23:$D$1022)</f>
        <v/>
      </c>
      <c r="G359" s="30">
        <f>COUNTIF($D$23:$D$1022,"&lt;"&amp;D359)+(COUNTIF($D$23:$D$1022,"="&amp;D359)+1)/2</f>
        <v/>
      </c>
    </row>
    <row r="360">
      <c r="B360" s="27">
        <f>'1 Data'!B349</f>
        <v/>
      </c>
      <c r="C360" s="28">
        <f>$C$12 + '1 Data'!C349*$C$13 + '1 Data'!D349*$C$14 + '1 Data'!E349*$C$15 + '1 Data'!F349*$C$16 + '1 Data'!G349*$C$17 + '1 Data'!H349*$C$18</f>
        <v/>
      </c>
      <c r="D360" s="23">
        <f>1/(1+EXP(-C360))</f>
        <v/>
      </c>
      <c r="E360" s="27">
        <f>'1 Data'!I349</f>
        <v/>
      </c>
      <c r="F360" s="29">
        <f>RANK(D360,$D$23:$D$1022)</f>
        <v/>
      </c>
      <c r="G360" s="30">
        <f>COUNTIF($D$23:$D$1022,"&lt;"&amp;D360)+(COUNTIF($D$23:$D$1022,"="&amp;D360)+1)/2</f>
        <v/>
      </c>
    </row>
    <row r="361">
      <c r="B361" s="27">
        <f>'1 Data'!B350</f>
        <v/>
      </c>
      <c r="C361" s="28">
        <f>$C$12 + '1 Data'!C350*$C$13 + '1 Data'!D350*$C$14 + '1 Data'!E350*$C$15 + '1 Data'!F350*$C$16 + '1 Data'!G350*$C$17 + '1 Data'!H350*$C$18</f>
        <v/>
      </c>
      <c r="D361" s="23">
        <f>1/(1+EXP(-C361))</f>
        <v/>
      </c>
      <c r="E361" s="27">
        <f>'1 Data'!I350</f>
        <v/>
      </c>
      <c r="F361" s="29">
        <f>RANK(D361,$D$23:$D$1022)</f>
        <v/>
      </c>
      <c r="G361" s="30">
        <f>COUNTIF($D$23:$D$1022,"&lt;"&amp;D361)+(COUNTIF($D$23:$D$1022,"="&amp;D361)+1)/2</f>
        <v/>
      </c>
    </row>
    <row r="362">
      <c r="B362" s="27">
        <f>'1 Data'!B351</f>
        <v/>
      </c>
      <c r="C362" s="28">
        <f>$C$12 + '1 Data'!C351*$C$13 + '1 Data'!D351*$C$14 + '1 Data'!E351*$C$15 + '1 Data'!F351*$C$16 + '1 Data'!G351*$C$17 + '1 Data'!H351*$C$18</f>
        <v/>
      </c>
      <c r="D362" s="23">
        <f>1/(1+EXP(-C362))</f>
        <v/>
      </c>
      <c r="E362" s="27">
        <f>'1 Data'!I351</f>
        <v/>
      </c>
      <c r="F362" s="29">
        <f>RANK(D362,$D$23:$D$1022)</f>
        <v/>
      </c>
      <c r="G362" s="30">
        <f>COUNTIF($D$23:$D$1022,"&lt;"&amp;D362)+(COUNTIF($D$23:$D$1022,"="&amp;D362)+1)/2</f>
        <v/>
      </c>
    </row>
    <row r="363">
      <c r="B363" s="27">
        <f>'1 Data'!B352</f>
        <v/>
      </c>
      <c r="C363" s="28">
        <f>$C$12 + '1 Data'!C352*$C$13 + '1 Data'!D352*$C$14 + '1 Data'!E352*$C$15 + '1 Data'!F352*$C$16 + '1 Data'!G352*$C$17 + '1 Data'!H352*$C$18</f>
        <v/>
      </c>
      <c r="D363" s="23">
        <f>1/(1+EXP(-C363))</f>
        <v/>
      </c>
      <c r="E363" s="27">
        <f>'1 Data'!I352</f>
        <v/>
      </c>
      <c r="F363" s="29">
        <f>RANK(D363,$D$23:$D$1022)</f>
        <v/>
      </c>
      <c r="G363" s="30">
        <f>COUNTIF($D$23:$D$1022,"&lt;"&amp;D363)+(COUNTIF($D$23:$D$1022,"="&amp;D363)+1)/2</f>
        <v/>
      </c>
    </row>
    <row r="364">
      <c r="B364" s="27">
        <f>'1 Data'!B353</f>
        <v/>
      </c>
      <c r="C364" s="28">
        <f>$C$12 + '1 Data'!C353*$C$13 + '1 Data'!D353*$C$14 + '1 Data'!E353*$C$15 + '1 Data'!F353*$C$16 + '1 Data'!G353*$C$17 + '1 Data'!H353*$C$18</f>
        <v/>
      </c>
      <c r="D364" s="23">
        <f>1/(1+EXP(-C364))</f>
        <v/>
      </c>
      <c r="E364" s="27">
        <f>'1 Data'!I353</f>
        <v/>
      </c>
      <c r="F364" s="29">
        <f>RANK(D364,$D$23:$D$1022)</f>
        <v/>
      </c>
      <c r="G364" s="30">
        <f>COUNTIF($D$23:$D$1022,"&lt;"&amp;D364)+(COUNTIF($D$23:$D$1022,"="&amp;D364)+1)/2</f>
        <v/>
      </c>
    </row>
    <row r="365">
      <c r="B365" s="27">
        <f>'1 Data'!B354</f>
        <v/>
      </c>
      <c r="C365" s="28">
        <f>$C$12 + '1 Data'!C354*$C$13 + '1 Data'!D354*$C$14 + '1 Data'!E354*$C$15 + '1 Data'!F354*$C$16 + '1 Data'!G354*$C$17 + '1 Data'!H354*$C$18</f>
        <v/>
      </c>
      <c r="D365" s="23">
        <f>1/(1+EXP(-C365))</f>
        <v/>
      </c>
      <c r="E365" s="27">
        <f>'1 Data'!I354</f>
        <v/>
      </c>
      <c r="F365" s="29">
        <f>RANK(D365,$D$23:$D$1022)</f>
        <v/>
      </c>
      <c r="G365" s="30">
        <f>COUNTIF($D$23:$D$1022,"&lt;"&amp;D365)+(COUNTIF($D$23:$D$1022,"="&amp;D365)+1)/2</f>
        <v/>
      </c>
    </row>
    <row r="366">
      <c r="B366" s="27">
        <f>'1 Data'!B355</f>
        <v/>
      </c>
      <c r="C366" s="28">
        <f>$C$12 + '1 Data'!C355*$C$13 + '1 Data'!D355*$C$14 + '1 Data'!E355*$C$15 + '1 Data'!F355*$C$16 + '1 Data'!G355*$C$17 + '1 Data'!H355*$C$18</f>
        <v/>
      </c>
      <c r="D366" s="23">
        <f>1/(1+EXP(-C366))</f>
        <v/>
      </c>
      <c r="E366" s="27">
        <f>'1 Data'!I355</f>
        <v/>
      </c>
      <c r="F366" s="29">
        <f>RANK(D366,$D$23:$D$1022)</f>
        <v/>
      </c>
      <c r="G366" s="30">
        <f>COUNTIF($D$23:$D$1022,"&lt;"&amp;D366)+(COUNTIF($D$23:$D$1022,"="&amp;D366)+1)/2</f>
        <v/>
      </c>
    </row>
    <row r="367">
      <c r="B367" s="27">
        <f>'1 Data'!B356</f>
        <v/>
      </c>
      <c r="C367" s="28">
        <f>$C$12 + '1 Data'!C356*$C$13 + '1 Data'!D356*$C$14 + '1 Data'!E356*$C$15 + '1 Data'!F356*$C$16 + '1 Data'!G356*$C$17 + '1 Data'!H356*$C$18</f>
        <v/>
      </c>
      <c r="D367" s="23">
        <f>1/(1+EXP(-C367))</f>
        <v/>
      </c>
      <c r="E367" s="27">
        <f>'1 Data'!I356</f>
        <v/>
      </c>
      <c r="F367" s="29">
        <f>RANK(D367,$D$23:$D$1022)</f>
        <v/>
      </c>
      <c r="G367" s="30">
        <f>COUNTIF($D$23:$D$1022,"&lt;"&amp;D367)+(COUNTIF($D$23:$D$1022,"="&amp;D367)+1)/2</f>
        <v/>
      </c>
    </row>
    <row r="368">
      <c r="B368" s="27">
        <f>'1 Data'!B357</f>
        <v/>
      </c>
      <c r="C368" s="28">
        <f>$C$12 + '1 Data'!C357*$C$13 + '1 Data'!D357*$C$14 + '1 Data'!E357*$C$15 + '1 Data'!F357*$C$16 + '1 Data'!G357*$C$17 + '1 Data'!H357*$C$18</f>
        <v/>
      </c>
      <c r="D368" s="23">
        <f>1/(1+EXP(-C368))</f>
        <v/>
      </c>
      <c r="E368" s="27">
        <f>'1 Data'!I357</f>
        <v/>
      </c>
      <c r="F368" s="29">
        <f>RANK(D368,$D$23:$D$1022)</f>
        <v/>
      </c>
      <c r="G368" s="30">
        <f>COUNTIF($D$23:$D$1022,"&lt;"&amp;D368)+(COUNTIF($D$23:$D$1022,"="&amp;D368)+1)/2</f>
        <v/>
      </c>
    </row>
    <row r="369">
      <c r="B369" s="27">
        <f>'1 Data'!B358</f>
        <v/>
      </c>
      <c r="C369" s="28">
        <f>$C$12 + '1 Data'!C358*$C$13 + '1 Data'!D358*$C$14 + '1 Data'!E358*$C$15 + '1 Data'!F358*$C$16 + '1 Data'!G358*$C$17 + '1 Data'!H358*$C$18</f>
        <v/>
      </c>
      <c r="D369" s="23">
        <f>1/(1+EXP(-C369))</f>
        <v/>
      </c>
      <c r="E369" s="27">
        <f>'1 Data'!I358</f>
        <v/>
      </c>
      <c r="F369" s="29">
        <f>RANK(D369,$D$23:$D$1022)</f>
        <v/>
      </c>
      <c r="G369" s="30">
        <f>COUNTIF($D$23:$D$1022,"&lt;"&amp;D369)+(COUNTIF($D$23:$D$1022,"="&amp;D369)+1)/2</f>
        <v/>
      </c>
    </row>
    <row r="370">
      <c r="B370" s="27">
        <f>'1 Data'!B359</f>
        <v/>
      </c>
      <c r="C370" s="28">
        <f>$C$12 + '1 Data'!C359*$C$13 + '1 Data'!D359*$C$14 + '1 Data'!E359*$C$15 + '1 Data'!F359*$C$16 + '1 Data'!G359*$C$17 + '1 Data'!H359*$C$18</f>
        <v/>
      </c>
      <c r="D370" s="23">
        <f>1/(1+EXP(-C370))</f>
        <v/>
      </c>
      <c r="E370" s="27">
        <f>'1 Data'!I359</f>
        <v/>
      </c>
      <c r="F370" s="29">
        <f>RANK(D370,$D$23:$D$1022)</f>
        <v/>
      </c>
      <c r="G370" s="30">
        <f>COUNTIF($D$23:$D$1022,"&lt;"&amp;D370)+(COUNTIF($D$23:$D$1022,"="&amp;D370)+1)/2</f>
        <v/>
      </c>
    </row>
    <row r="371">
      <c r="B371" s="27">
        <f>'1 Data'!B360</f>
        <v/>
      </c>
      <c r="C371" s="28">
        <f>$C$12 + '1 Data'!C360*$C$13 + '1 Data'!D360*$C$14 + '1 Data'!E360*$C$15 + '1 Data'!F360*$C$16 + '1 Data'!G360*$C$17 + '1 Data'!H360*$C$18</f>
        <v/>
      </c>
      <c r="D371" s="23">
        <f>1/(1+EXP(-C371))</f>
        <v/>
      </c>
      <c r="E371" s="27">
        <f>'1 Data'!I360</f>
        <v/>
      </c>
      <c r="F371" s="29">
        <f>RANK(D371,$D$23:$D$1022)</f>
        <v/>
      </c>
      <c r="G371" s="30">
        <f>COUNTIF($D$23:$D$1022,"&lt;"&amp;D371)+(COUNTIF($D$23:$D$1022,"="&amp;D371)+1)/2</f>
        <v/>
      </c>
    </row>
    <row r="372">
      <c r="B372" s="27">
        <f>'1 Data'!B361</f>
        <v/>
      </c>
      <c r="C372" s="28">
        <f>$C$12 + '1 Data'!C361*$C$13 + '1 Data'!D361*$C$14 + '1 Data'!E361*$C$15 + '1 Data'!F361*$C$16 + '1 Data'!G361*$C$17 + '1 Data'!H361*$C$18</f>
        <v/>
      </c>
      <c r="D372" s="23">
        <f>1/(1+EXP(-C372))</f>
        <v/>
      </c>
      <c r="E372" s="27">
        <f>'1 Data'!I361</f>
        <v/>
      </c>
      <c r="F372" s="29">
        <f>RANK(D372,$D$23:$D$1022)</f>
        <v/>
      </c>
      <c r="G372" s="30">
        <f>COUNTIF($D$23:$D$1022,"&lt;"&amp;D372)+(COUNTIF($D$23:$D$1022,"="&amp;D372)+1)/2</f>
        <v/>
      </c>
    </row>
    <row r="373">
      <c r="B373" s="27">
        <f>'1 Data'!B362</f>
        <v/>
      </c>
      <c r="C373" s="28">
        <f>$C$12 + '1 Data'!C362*$C$13 + '1 Data'!D362*$C$14 + '1 Data'!E362*$C$15 + '1 Data'!F362*$C$16 + '1 Data'!G362*$C$17 + '1 Data'!H362*$C$18</f>
        <v/>
      </c>
      <c r="D373" s="23">
        <f>1/(1+EXP(-C373))</f>
        <v/>
      </c>
      <c r="E373" s="27">
        <f>'1 Data'!I362</f>
        <v/>
      </c>
      <c r="F373" s="29">
        <f>RANK(D373,$D$23:$D$1022)</f>
        <v/>
      </c>
      <c r="G373" s="30">
        <f>COUNTIF($D$23:$D$1022,"&lt;"&amp;D373)+(COUNTIF($D$23:$D$1022,"="&amp;D373)+1)/2</f>
        <v/>
      </c>
    </row>
    <row r="374">
      <c r="B374" s="27">
        <f>'1 Data'!B363</f>
        <v/>
      </c>
      <c r="C374" s="28">
        <f>$C$12 + '1 Data'!C363*$C$13 + '1 Data'!D363*$C$14 + '1 Data'!E363*$C$15 + '1 Data'!F363*$C$16 + '1 Data'!G363*$C$17 + '1 Data'!H363*$C$18</f>
        <v/>
      </c>
      <c r="D374" s="23">
        <f>1/(1+EXP(-C374))</f>
        <v/>
      </c>
      <c r="E374" s="27">
        <f>'1 Data'!I363</f>
        <v/>
      </c>
      <c r="F374" s="29">
        <f>RANK(D374,$D$23:$D$1022)</f>
        <v/>
      </c>
      <c r="G374" s="30">
        <f>COUNTIF($D$23:$D$1022,"&lt;"&amp;D374)+(COUNTIF($D$23:$D$1022,"="&amp;D374)+1)/2</f>
        <v/>
      </c>
    </row>
    <row r="375">
      <c r="B375" s="27">
        <f>'1 Data'!B364</f>
        <v/>
      </c>
      <c r="C375" s="28">
        <f>$C$12 + '1 Data'!C364*$C$13 + '1 Data'!D364*$C$14 + '1 Data'!E364*$C$15 + '1 Data'!F364*$C$16 + '1 Data'!G364*$C$17 + '1 Data'!H364*$C$18</f>
        <v/>
      </c>
      <c r="D375" s="23">
        <f>1/(1+EXP(-C375))</f>
        <v/>
      </c>
      <c r="E375" s="27">
        <f>'1 Data'!I364</f>
        <v/>
      </c>
      <c r="F375" s="29">
        <f>RANK(D375,$D$23:$D$1022)</f>
        <v/>
      </c>
      <c r="G375" s="30">
        <f>COUNTIF($D$23:$D$1022,"&lt;"&amp;D375)+(COUNTIF($D$23:$D$1022,"="&amp;D375)+1)/2</f>
        <v/>
      </c>
    </row>
    <row r="376">
      <c r="B376" s="27">
        <f>'1 Data'!B365</f>
        <v/>
      </c>
      <c r="C376" s="28">
        <f>$C$12 + '1 Data'!C365*$C$13 + '1 Data'!D365*$C$14 + '1 Data'!E365*$C$15 + '1 Data'!F365*$C$16 + '1 Data'!G365*$C$17 + '1 Data'!H365*$C$18</f>
        <v/>
      </c>
      <c r="D376" s="23">
        <f>1/(1+EXP(-C376))</f>
        <v/>
      </c>
      <c r="E376" s="27">
        <f>'1 Data'!I365</f>
        <v/>
      </c>
      <c r="F376" s="29">
        <f>RANK(D376,$D$23:$D$1022)</f>
        <v/>
      </c>
      <c r="G376" s="30">
        <f>COUNTIF($D$23:$D$1022,"&lt;"&amp;D376)+(COUNTIF($D$23:$D$1022,"="&amp;D376)+1)/2</f>
        <v/>
      </c>
    </row>
    <row r="377">
      <c r="B377" s="27">
        <f>'1 Data'!B366</f>
        <v/>
      </c>
      <c r="C377" s="28">
        <f>$C$12 + '1 Data'!C366*$C$13 + '1 Data'!D366*$C$14 + '1 Data'!E366*$C$15 + '1 Data'!F366*$C$16 + '1 Data'!G366*$C$17 + '1 Data'!H366*$C$18</f>
        <v/>
      </c>
      <c r="D377" s="23">
        <f>1/(1+EXP(-C377))</f>
        <v/>
      </c>
      <c r="E377" s="27">
        <f>'1 Data'!I366</f>
        <v/>
      </c>
      <c r="F377" s="29">
        <f>RANK(D377,$D$23:$D$1022)</f>
        <v/>
      </c>
      <c r="G377" s="30">
        <f>COUNTIF($D$23:$D$1022,"&lt;"&amp;D377)+(COUNTIF($D$23:$D$1022,"="&amp;D377)+1)/2</f>
        <v/>
      </c>
    </row>
    <row r="378">
      <c r="B378" s="27">
        <f>'1 Data'!B367</f>
        <v/>
      </c>
      <c r="C378" s="28">
        <f>$C$12 + '1 Data'!C367*$C$13 + '1 Data'!D367*$C$14 + '1 Data'!E367*$C$15 + '1 Data'!F367*$C$16 + '1 Data'!G367*$C$17 + '1 Data'!H367*$C$18</f>
        <v/>
      </c>
      <c r="D378" s="23">
        <f>1/(1+EXP(-C378))</f>
        <v/>
      </c>
      <c r="E378" s="27">
        <f>'1 Data'!I367</f>
        <v/>
      </c>
      <c r="F378" s="29">
        <f>RANK(D378,$D$23:$D$1022)</f>
        <v/>
      </c>
      <c r="G378" s="30">
        <f>COUNTIF($D$23:$D$1022,"&lt;"&amp;D378)+(COUNTIF($D$23:$D$1022,"="&amp;D378)+1)/2</f>
        <v/>
      </c>
    </row>
    <row r="379">
      <c r="B379" s="27">
        <f>'1 Data'!B368</f>
        <v/>
      </c>
      <c r="C379" s="28">
        <f>$C$12 + '1 Data'!C368*$C$13 + '1 Data'!D368*$C$14 + '1 Data'!E368*$C$15 + '1 Data'!F368*$C$16 + '1 Data'!G368*$C$17 + '1 Data'!H368*$C$18</f>
        <v/>
      </c>
      <c r="D379" s="23">
        <f>1/(1+EXP(-C379))</f>
        <v/>
      </c>
      <c r="E379" s="27">
        <f>'1 Data'!I368</f>
        <v/>
      </c>
      <c r="F379" s="29">
        <f>RANK(D379,$D$23:$D$1022)</f>
        <v/>
      </c>
      <c r="G379" s="30">
        <f>COUNTIF($D$23:$D$1022,"&lt;"&amp;D379)+(COUNTIF($D$23:$D$1022,"="&amp;D379)+1)/2</f>
        <v/>
      </c>
    </row>
    <row r="380">
      <c r="B380" s="27">
        <f>'1 Data'!B369</f>
        <v/>
      </c>
      <c r="C380" s="28">
        <f>$C$12 + '1 Data'!C369*$C$13 + '1 Data'!D369*$C$14 + '1 Data'!E369*$C$15 + '1 Data'!F369*$C$16 + '1 Data'!G369*$C$17 + '1 Data'!H369*$C$18</f>
        <v/>
      </c>
      <c r="D380" s="23">
        <f>1/(1+EXP(-C380))</f>
        <v/>
      </c>
      <c r="E380" s="27">
        <f>'1 Data'!I369</f>
        <v/>
      </c>
      <c r="F380" s="29">
        <f>RANK(D380,$D$23:$D$1022)</f>
        <v/>
      </c>
      <c r="G380" s="30">
        <f>COUNTIF($D$23:$D$1022,"&lt;"&amp;D380)+(COUNTIF($D$23:$D$1022,"="&amp;D380)+1)/2</f>
        <v/>
      </c>
    </row>
    <row r="381">
      <c r="B381" s="27">
        <f>'1 Data'!B370</f>
        <v/>
      </c>
      <c r="C381" s="28">
        <f>$C$12 + '1 Data'!C370*$C$13 + '1 Data'!D370*$C$14 + '1 Data'!E370*$C$15 + '1 Data'!F370*$C$16 + '1 Data'!G370*$C$17 + '1 Data'!H370*$C$18</f>
        <v/>
      </c>
      <c r="D381" s="23">
        <f>1/(1+EXP(-C381))</f>
        <v/>
      </c>
      <c r="E381" s="27">
        <f>'1 Data'!I370</f>
        <v/>
      </c>
      <c r="F381" s="29">
        <f>RANK(D381,$D$23:$D$1022)</f>
        <v/>
      </c>
      <c r="G381" s="30">
        <f>COUNTIF($D$23:$D$1022,"&lt;"&amp;D381)+(COUNTIF($D$23:$D$1022,"="&amp;D381)+1)/2</f>
        <v/>
      </c>
    </row>
    <row r="382">
      <c r="B382" s="27">
        <f>'1 Data'!B371</f>
        <v/>
      </c>
      <c r="C382" s="28">
        <f>$C$12 + '1 Data'!C371*$C$13 + '1 Data'!D371*$C$14 + '1 Data'!E371*$C$15 + '1 Data'!F371*$C$16 + '1 Data'!G371*$C$17 + '1 Data'!H371*$C$18</f>
        <v/>
      </c>
      <c r="D382" s="23">
        <f>1/(1+EXP(-C382))</f>
        <v/>
      </c>
      <c r="E382" s="27">
        <f>'1 Data'!I371</f>
        <v/>
      </c>
      <c r="F382" s="29">
        <f>RANK(D382,$D$23:$D$1022)</f>
        <v/>
      </c>
      <c r="G382" s="30">
        <f>COUNTIF($D$23:$D$1022,"&lt;"&amp;D382)+(COUNTIF($D$23:$D$1022,"="&amp;D382)+1)/2</f>
        <v/>
      </c>
    </row>
    <row r="383">
      <c r="B383" s="27">
        <f>'1 Data'!B372</f>
        <v/>
      </c>
      <c r="C383" s="28">
        <f>$C$12 + '1 Data'!C372*$C$13 + '1 Data'!D372*$C$14 + '1 Data'!E372*$C$15 + '1 Data'!F372*$C$16 + '1 Data'!G372*$C$17 + '1 Data'!H372*$C$18</f>
        <v/>
      </c>
      <c r="D383" s="23">
        <f>1/(1+EXP(-C383))</f>
        <v/>
      </c>
      <c r="E383" s="27">
        <f>'1 Data'!I372</f>
        <v/>
      </c>
      <c r="F383" s="29">
        <f>RANK(D383,$D$23:$D$1022)</f>
        <v/>
      </c>
      <c r="G383" s="30">
        <f>COUNTIF($D$23:$D$1022,"&lt;"&amp;D383)+(COUNTIF($D$23:$D$1022,"="&amp;D383)+1)/2</f>
        <v/>
      </c>
    </row>
    <row r="384">
      <c r="B384" s="27">
        <f>'1 Data'!B373</f>
        <v/>
      </c>
      <c r="C384" s="28">
        <f>$C$12 + '1 Data'!C373*$C$13 + '1 Data'!D373*$C$14 + '1 Data'!E373*$C$15 + '1 Data'!F373*$C$16 + '1 Data'!G373*$C$17 + '1 Data'!H373*$C$18</f>
        <v/>
      </c>
      <c r="D384" s="23">
        <f>1/(1+EXP(-C384))</f>
        <v/>
      </c>
      <c r="E384" s="27">
        <f>'1 Data'!I373</f>
        <v/>
      </c>
      <c r="F384" s="29">
        <f>RANK(D384,$D$23:$D$1022)</f>
        <v/>
      </c>
      <c r="G384" s="30">
        <f>COUNTIF($D$23:$D$1022,"&lt;"&amp;D384)+(COUNTIF($D$23:$D$1022,"="&amp;D384)+1)/2</f>
        <v/>
      </c>
    </row>
    <row r="385">
      <c r="B385" s="27">
        <f>'1 Data'!B374</f>
        <v/>
      </c>
      <c r="C385" s="28">
        <f>$C$12 + '1 Data'!C374*$C$13 + '1 Data'!D374*$C$14 + '1 Data'!E374*$C$15 + '1 Data'!F374*$C$16 + '1 Data'!G374*$C$17 + '1 Data'!H374*$C$18</f>
        <v/>
      </c>
      <c r="D385" s="23">
        <f>1/(1+EXP(-C385))</f>
        <v/>
      </c>
      <c r="E385" s="27">
        <f>'1 Data'!I374</f>
        <v/>
      </c>
      <c r="F385" s="29">
        <f>RANK(D385,$D$23:$D$1022)</f>
        <v/>
      </c>
      <c r="G385" s="30">
        <f>COUNTIF($D$23:$D$1022,"&lt;"&amp;D385)+(COUNTIF($D$23:$D$1022,"="&amp;D385)+1)/2</f>
        <v/>
      </c>
    </row>
    <row r="386">
      <c r="B386" s="27">
        <f>'1 Data'!B375</f>
        <v/>
      </c>
      <c r="C386" s="28">
        <f>$C$12 + '1 Data'!C375*$C$13 + '1 Data'!D375*$C$14 + '1 Data'!E375*$C$15 + '1 Data'!F375*$C$16 + '1 Data'!G375*$C$17 + '1 Data'!H375*$C$18</f>
        <v/>
      </c>
      <c r="D386" s="23">
        <f>1/(1+EXP(-C386))</f>
        <v/>
      </c>
      <c r="E386" s="27">
        <f>'1 Data'!I375</f>
        <v/>
      </c>
      <c r="F386" s="29">
        <f>RANK(D386,$D$23:$D$1022)</f>
        <v/>
      </c>
      <c r="G386" s="30">
        <f>COUNTIF($D$23:$D$1022,"&lt;"&amp;D386)+(COUNTIF($D$23:$D$1022,"="&amp;D386)+1)/2</f>
        <v/>
      </c>
    </row>
    <row r="387">
      <c r="B387" s="27">
        <f>'1 Data'!B376</f>
        <v/>
      </c>
      <c r="C387" s="28">
        <f>$C$12 + '1 Data'!C376*$C$13 + '1 Data'!D376*$C$14 + '1 Data'!E376*$C$15 + '1 Data'!F376*$C$16 + '1 Data'!G376*$C$17 + '1 Data'!H376*$C$18</f>
        <v/>
      </c>
      <c r="D387" s="23">
        <f>1/(1+EXP(-C387))</f>
        <v/>
      </c>
      <c r="E387" s="27">
        <f>'1 Data'!I376</f>
        <v/>
      </c>
      <c r="F387" s="29">
        <f>RANK(D387,$D$23:$D$1022)</f>
        <v/>
      </c>
      <c r="G387" s="30">
        <f>COUNTIF($D$23:$D$1022,"&lt;"&amp;D387)+(COUNTIF($D$23:$D$1022,"="&amp;D387)+1)/2</f>
        <v/>
      </c>
    </row>
    <row r="388">
      <c r="B388" s="27">
        <f>'1 Data'!B377</f>
        <v/>
      </c>
      <c r="C388" s="28">
        <f>$C$12 + '1 Data'!C377*$C$13 + '1 Data'!D377*$C$14 + '1 Data'!E377*$C$15 + '1 Data'!F377*$C$16 + '1 Data'!G377*$C$17 + '1 Data'!H377*$C$18</f>
        <v/>
      </c>
      <c r="D388" s="23">
        <f>1/(1+EXP(-C388))</f>
        <v/>
      </c>
      <c r="E388" s="27">
        <f>'1 Data'!I377</f>
        <v/>
      </c>
      <c r="F388" s="29">
        <f>RANK(D388,$D$23:$D$1022)</f>
        <v/>
      </c>
      <c r="G388" s="30">
        <f>COUNTIF($D$23:$D$1022,"&lt;"&amp;D388)+(COUNTIF($D$23:$D$1022,"="&amp;D388)+1)/2</f>
        <v/>
      </c>
    </row>
    <row r="389">
      <c r="B389" s="27">
        <f>'1 Data'!B378</f>
        <v/>
      </c>
      <c r="C389" s="28">
        <f>$C$12 + '1 Data'!C378*$C$13 + '1 Data'!D378*$C$14 + '1 Data'!E378*$C$15 + '1 Data'!F378*$C$16 + '1 Data'!G378*$C$17 + '1 Data'!H378*$C$18</f>
        <v/>
      </c>
      <c r="D389" s="23">
        <f>1/(1+EXP(-C389))</f>
        <v/>
      </c>
      <c r="E389" s="27">
        <f>'1 Data'!I378</f>
        <v/>
      </c>
      <c r="F389" s="29">
        <f>RANK(D389,$D$23:$D$1022)</f>
        <v/>
      </c>
      <c r="G389" s="30">
        <f>COUNTIF($D$23:$D$1022,"&lt;"&amp;D389)+(COUNTIF($D$23:$D$1022,"="&amp;D389)+1)/2</f>
        <v/>
      </c>
    </row>
    <row r="390">
      <c r="B390" s="27">
        <f>'1 Data'!B379</f>
        <v/>
      </c>
      <c r="C390" s="28">
        <f>$C$12 + '1 Data'!C379*$C$13 + '1 Data'!D379*$C$14 + '1 Data'!E379*$C$15 + '1 Data'!F379*$C$16 + '1 Data'!G379*$C$17 + '1 Data'!H379*$C$18</f>
        <v/>
      </c>
      <c r="D390" s="23">
        <f>1/(1+EXP(-C390))</f>
        <v/>
      </c>
      <c r="E390" s="27">
        <f>'1 Data'!I379</f>
        <v/>
      </c>
      <c r="F390" s="29">
        <f>RANK(D390,$D$23:$D$1022)</f>
        <v/>
      </c>
      <c r="G390" s="30">
        <f>COUNTIF($D$23:$D$1022,"&lt;"&amp;D390)+(COUNTIF($D$23:$D$1022,"="&amp;D390)+1)/2</f>
        <v/>
      </c>
    </row>
    <row r="391">
      <c r="B391" s="27">
        <f>'1 Data'!B380</f>
        <v/>
      </c>
      <c r="C391" s="28">
        <f>$C$12 + '1 Data'!C380*$C$13 + '1 Data'!D380*$C$14 + '1 Data'!E380*$C$15 + '1 Data'!F380*$C$16 + '1 Data'!G380*$C$17 + '1 Data'!H380*$C$18</f>
        <v/>
      </c>
      <c r="D391" s="23">
        <f>1/(1+EXP(-C391))</f>
        <v/>
      </c>
      <c r="E391" s="27">
        <f>'1 Data'!I380</f>
        <v/>
      </c>
      <c r="F391" s="29">
        <f>RANK(D391,$D$23:$D$1022)</f>
        <v/>
      </c>
      <c r="G391" s="30">
        <f>COUNTIF($D$23:$D$1022,"&lt;"&amp;D391)+(COUNTIF($D$23:$D$1022,"="&amp;D391)+1)/2</f>
        <v/>
      </c>
    </row>
    <row r="392">
      <c r="B392" s="27">
        <f>'1 Data'!B381</f>
        <v/>
      </c>
      <c r="C392" s="28">
        <f>$C$12 + '1 Data'!C381*$C$13 + '1 Data'!D381*$C$14 + '1 Data'!E381*$C$15 + '1 Data'!F381*$C$16 + '1 Data'!G381*$C$17 + '1 Data'!H381*$C$18</f>
        <v/>
      </c>
      <c r="D392" s="23">
        <f>1/(1+EXP(-C392))</f>
        <v/>
      </c>
      <c r="E392" s="27">
        <f>'1 Data'!I381</f>
        <v/>
      </c>
      <c r="F392" s="29">
        <f>RANK(D392,$D$23:$D$1022)</f>
        <v/>
      </c>
      <c r="G392" s="30">
        <f>COUNTIF($D$23:$D$1022,"&lt;"&amp;D392)+(COUNTIF($D$23:$D$1022,"="&amp;D392)+1)/2</f>
        <v/>
      </c>
    </row>
    <row r="393">
      <c r="B393" s="27">
        <f>'1 Data'!B382</f>
        <v/>
      </c>
      <c r="C393" s="28">
        <f>$C$12 + '1 Data'!C382*$C$13 + '1 Data'!D382*$C$14 + '1 Data'!E382*$C$15 + '1 Data'!F382*$C$16 + '1 Data'!G382*$C$17 + '1 Data'!H382*$C$18</f>
        <v/>
      </c>
      <c r="D393" s="23">
        <f>1/(1+EXP(-C393))</f>
        <v/>
      </c>
      <c r="E393" s="27">
        <f>'1 Data'!I382</f>
        <v/>
      </c>
      <c r="F393" s="29">
        <f>RANK(D393,$D$23:$D$1022)</f>
        <v/>
      </c>
      <c r="G393" s="30">
        <f>COUNTIF($D$23:$D$1022,"&lt;"&amp;D393)+(COUNTIF($D$23:$D$1022,"="&amp;D393)+1)/2</f>
        <v/>
      </c>
    </row>
    <row r="394">
      <c r="B394" s="27">
        <f>'1 Data'!B383</f>
        <v/>
      </c>
      <c r="C394" s="28">
        <f>$C$12 + '1 Data'!C383*$C$13 + '1 Data'!D383*$C$14 + '1 Data'!E383*$C$15 + '1 Data'!F383*$C$16 + '1 Data'!G383*$C$17 + '1 Data'!H383*$C$18</f>
        <v/>
      </c>
      <c r="D394" s="23">
        <f>1/(1+EXP(-C394))</f>
        <v/>
      </c>
      <c r="E394" s="27">
        <f>'1 Data'!I383</f>
        <v/>
      </c>
      <c r="F394" s="29">
        <f>RANK(D394,$D$23:$D$1022)</f>
        <v/>
      </c>
      <c r="G394" s="30">
        <f>COUNTIF($D$23:$D$1022,"&lt;"&amp;D394)+(COUNTIF($D$23:$D$1022,"="&amp;D394)+1)/2</f>
        <v/>
      </c>
    </row>
    <row r="395">
      <c r="B395" s="27">
        <f>'1 Data'!B384</f>
        <v/>
      </c>
      <c r="C395" s="28">
        <f>$C$12 + '1 Data'!C384*$C$13 + '1 Data'!D384*$C$14 + '1 Data'!E384*$C$15 + '1 Data'!F384*$C$16 + '1 Data'!G384*$C$17 + '1 Data'!H384*$C$18</f>
        <v/>
      </c>
      <c r="D395" s="23">
        <f>1/(1+EXP(-C395))</f>
        <v/>
      </c>
      <c r="E395" s="27">
        <f>'1 Data'!I384</f>
        <v/>
      </c>
      <c r="F395" s="29">
        <f>RANK(D395,$D$23:$D$1022)</f>
        <v/>
      </c>
      <c r="G395" s="30">
        <f>COUNTIF($D$23:$D$1022,"&lt;"&amp;D395)+(COUNTIF($D$23:$D$1022,"="&amp;D395)+1)/2</f>
        <v/>
      </c>
    </row>
    <row r="396">
      <c r="B396" s="27">
        <f>'1 Data'!B385</f>
        <v/>
      </c>
      <c r="C396" s="28">
        <f>$C$12 + '1 Data'!C385*$C$13 + '1 Data'!D385*$C$14 + '1 Data'!E385*$C$15 + '1 Data'!F385*$C$16 + '1 Data'!G385*$C$17 + '1 Data'!H385*$C$18</f>
        <v/>
      </c>
      <c r="D396" s="23">
        <f>1/(1+EXP(-C396))</f>
        <v/>
      </c>
      <c r="E396" s="27">
        <f>'1 Data'!I385</f>
        <v/>
      </c>
      <c r="F396" s="29">
        <f>RANK(D396,$D$23:$D$1022)</f>
        <v/>
      </c>
      <c r="G396" s="30">
        <f>COUNTIF($D$23:$D$1022,"&lt;"&amp;D396)+(COUNTIF($D$23:$D$1022,"="&amp;D396)+1)/2</f>
        <v/>
      </c>
    </row>
    <row r="397">
      <c r="B397" s="27">
        <f>'1 Data'!B386</f>
        <v/>
      </c>
      <c r="C397" s="28">
        <f>$C$12 + '1 Data'!C386*$C$13 + '1 Data'!D386*$C$14 + '1 Data'!E386*$C$15 + '1 Data'!F386*$C$16 + '1 Data'!G386*$C$17 + '1 Data'!H386*$C$18</f>
        <v/>
      </c>
      <c r="D397" s="23">
        <f>1/(1+EXP(-C397))</f>
        <v/>
      </c>
      <c r="E397" s="27">
        <f>'1 Data'!I386</f>
        <v/>
      </c>
      <c r="F397" s="29">
        <f>RANK(D397,$D$23:$D$1022)</f>
        <v/>
      </c>
      <c r="G397" s="30">
        <f>COUNTIF($D$23:$D$1022,"&lt;"&amp;D397)+(COUNTIF($D$23:$D$1022,"="&amp;D397)+1)/2</f>
        <v/>
      </c>
    </row>
    <row r="398">
      <c r="B398" s="27">
        <f>'1 Data'!B387</f>
        <v/>
      </c>
      <c r="C398" s="28">
        <f>$C$12 + '1 Data'!C387*$C$13 + '1 Data'!D387*$C$14 + '1 Data'!E387*$C$15 + '1 Data'!F387*$C$16 + '1 Data'!G387*$C$17 + '1 Data'!H387*$C$18</f>
        <v/>
      </c>
      <c r="D398" s="23">
        <f>1/(1+EXP(-C398))</f>
        <v/>
      </c>
      <c r="E398" s="27">
        <f>'1 Data'!I387</f>
        <v/>
      </c>
      <c r="F398" s="29">
        <f>RANK(D398,$D$23:$D$1022)</f>
        <v/>
      </c>
      <c r="G398" s="30">
        <f>COUNTIF($D$23:$D$1022,"&lt;"&amp;D398)+(COUNTIF($D$23:$D$1022,"="&amp;D398)+1)/2</f>
        <v/>
      </c>
    </row>
    <row r="399">
      <c r="B399" s="27">
        <f>'1 Data'!B388</f>
        <v/>
      </c>
      <c r="C399" s="28">
        <f>$C$12 + '1 Data'!C388*$C$13 + '1 Data'!D388*$C$14 + '1 Data'!E388*$C$15 + '1 Data'!F388*$C$16 + '1 Data'!G388*$C$17 + '1 Data'!H388*$C$18</f>
        <v/>
      </c>
      <c r="D399" s="23">
        <f>1/(1+EXP(-C399))</f>
        <v/>
      </c>
      <c r="E399" s="27">
        <f>'1 Data'!I388</f>
        <v/>
      </c>
      <c r="F399" s="29">
        <f>RANK(D399,$D$23:$D$1022)</f>
        <v/>
      </c>
      <c r="G399" s="30">
        <f>COUNTIF($D$23:$D$1022,"&lt;"&amp;D399)+(COUNTIF($D$23:$D$1022,"="&amp;D399)+1)/2</f>
        <v/>
      </c>
    </row>
    <row r="400">
      <c r="B400" s="27">
        <f>'1 Data'!B389</f>
        <v/>
      </c>
      <c r="C400" s="28">
        <f>$C$12 + '1 Data'!C389*$C$13 + '1 Data'!D389*$C$14 + '1 Data'!E389*$C$15 + '1 Data'!F389*$C$16 + '1 Data'!G389*$C$17 + '1 Data'!H389*$C$18</f>
        <v/>
      </c>
      <c r="D400" s="23">
        <f>1/(1+EXP(-C400))</f>
        <v/>
      </c>
      <c r="E400" s="27">
        <f>'1 Data'!I389</f>
        <v/>
      </c>
      <c r="F400" s="29">
        <f>RANK(D400,$D$23:$D$1022)</f>
        <v/>
      </c>
      <c r="G400" s="30">
        <f>COUNTIF($D$23:$D$1022,"&lt;"&amp;D400)+(COUNTIF($D$23:$D$1022,"="&amp;D400)+1)/2</f>
        <v/>
      </c>
    </row>
    <row r="401">
      <c r="B401" s="27">
        <f>'1 Data'!B390</f>
        <v/>
      </c>
      <c r="C401" s="28">
        <f>$C$12 + '1 Data'!C390*$C$13 + '1 Data'!D390*$C$14 + '1 Data'!E390*$C$15 + '1 Data'!F390*$C$16 + '1 Data'!G390*$C$17 + '1 Data'!H390*$C$18</f>
        <v/>
      </c>
      <c r="D401" s="23">
        <f>1/(1+EXP(-C401))</f>
        <v/>
      </c>
      <c r="E401" s="27">
        <f>'1 Data'!I390</f>
        <v/>
      </c>
      <c r="F401" s="29">
        <f>RANK(D401,$D$23:$D$1022)</f>
        <v/>
      </c>
      <c r="G401" s="30">
        <f>COUNTIF($D$23:$D$1022,"&lt;"&amp;D401)+(COUNTIF($D$23:$D$1022,"="&amp;D401)+1)/2</f>
        <v/>
      </c>
    </row>
    <row r="402">
      <c r="B402" s="27">
        <f>'1 Data'!B391</f>
        <v/>
      </c>
      <c r="C402" s="28">
        <f>$C$12 + '1 Data'!C391*$C$13 + '1 Data'!D391*$C$14 + '1 Data'!E391*$C$15 + '1 Data'!F391*$C$16 + '1 Data'!G391*$C$17 + '1 Data'!H391*$C$18</f>
        <v/>
      </c>
      <c r="D402" s="23">
        <f>1/(1+EXP(-C402))</f>
        <v/>
      </c>
      <c r="E402" s="27">
        <f>'1 Data'!I391</f>
        <v/>
      </c>
      <c r="F402" s="29">
        <f>RANK(D402,$D$23:$D$1022)</f>
        <v/>
      </c>
      <c r="G402" s="30">
        <f>COUNTIF($D$23:$D$1022,"&lt;"&amp;D402)+(COUNTIF($D$23:$D$1022,"="&amp;D402)+1)/2</f>
        <v/>
      </c>
    </row>
    <row r="403">
      <c r="B403" s="27">
        <f>'1 Data'!B392</f>
        <v/>
      </c>
      <c r="C403" s="28">
        <f>$C$12 + '1 Data'!C392*$C$13 + '1 Data'!D392*$C$14 + '1 Data'!E392*$C$15 + '1 Data'!F392*$C$16 + '1 Data'!G392*$C$17 + '1 Data'!H392*$C$18</f>
        <v/>
      </c>
      <c r="D403" s="23">
        <f>1/(1+EXP(-C403))</f>
        <v/>
      </c>
      <c r="E403" s="27">
        <f>'1 Data'!I392</f>
        <v/>
      </c>
      <c r="F403" s="29">
        <f>RANK(D403,$D$23:$D$1022)</f>
        <v/>
      </c>
      <c r="G403" s="30">
        <f>COUNTIF($D$23:$D$1022,"&lt;"&amp;D403)+(COUNTIF($D$23:$D$1022,"="&amp;D403)+1)/2</f>
        <v/>
      </c>
    </row>
    <row r="404">
      <c r="B404" s="27">
        <f>'1 Data'!B393</f>
        <v/>
      </c>
      <c r="C404" s="28">
        <f>$C$12 + '1 Data'!C393*$C$13 + '1 Data'!D393*$C$14 + '1 Data'!E393*$C$15 + '1 Data'!F393*$C$16 + '1 Data'!G393*$C$17 + '1 Data'!H393*$C$18</f>
        <v/>
      </c>
      <c r="D404" s="23">
        <f>1/(1+EXP(-C404))</f>
        <v/>
      </c>
      <c r="E404" s="27">
        <f>'1 Data'!I393</f>
        <v/>
      </c>
      <c r="F404" s="29">
        <f>RANK(D404,$D$23:$D$1022)</f>
        <v/>
      </c>
      <c r="G404" s="30">
        <f>COUNTIF($D$23:$D$1022,"&lt;"&amp;D404)+(COUNTIF($D$23:$D$1022,"="&amp;D404)+1)/2</f>
        <v/>
      </c>
    </row>
    <row r="405">
      <c r="B405" s="27">
        <f>'1 Data'!B394</f>
        <v/>
      </c>
      <c r="C405" s="28">
        <f>$C$12 + '1 Data'!C394*$C$13 + '1 Data'!D394*$C$14 + '1 Data'!E394*$C$15 + '1 Data'!F394*$C$16 + '1 Data'!G394*$C$17 + '1 Data'!H394*$C$18</f>
        <v/>
      </c>
      <c r="D405" s="23">
        <f>1/(1+EXP(-C405))</f>
        <v/>
      </c>
      <c r="E405" s="27">
        <f>'1 Data'!I394</f>
        <v/>
      </c>
      <c r="F405" s="29">
        <f>RANK(D405,$D$23:$D$1022)</f>
        <v/>
      </c>
      <c r="G405" s="30">
        <f>COUNTIF($D$23:$D$1022,"&lt;"&amp;D405)+(COUNTIF($D$23:$D$1022,"="&amp;D405)+1)/2</f>
        <v/>
      </c>
    </row>
    <row r="406">
      <c r="B406" s="27">
        <f>'1 Data'!B395</f>
        <v/>
      </c>
      <c r="C406" s="28">
        <f>$C$12 + '1 Data'!C395*$C$13 + '1 Data'!D395*$C$14 + '1 Data'!E395*$C$15 + '1 Data'!F395*$C$16 + '1 Data'!G395*$C$17 + '1 Data'!H395*$C$18</f>
        <v/>
      </c>
      <c r="D406" s="23">
        <f>1/(1+EXP(-C406))</f>
        <v/>
      </c>
      <c r="E406" s="27">
        <f>'1 Data'!I395</f>
        <v/>
      </c>
      <c r="F406" s="29">
        <f>RANK(D406,$D$23:$D$1022)</f>
        <v/>
      </c>
      <c r="G406" s="30">
        <f>COUNTIF($D$23:$D$1022,"&lt;"&amp;D406)+(COUNTIF($D$23:$D$1022,"="&amp;D406)+1)/2</f>
        <v/>
      </c>
    </row>
    <row r="407">
      <c r="B407" s="27">
        <f>'1 Data'!B396</f>
        <v/>
      </c>
      <c r="C407" s="28">
        <f>$C$12 + '1 Data'!C396*$C$13 + '1 Data'!D396*$C$14 + '1 Data'!E396*$C$15 + '1 Data'!F396*$C$16 + '1 Data'!G396*$C$17 + '1 Data'!H396*$C$18</f>
        <v/>
      </c>
      <c r="D407" s="23">
        <f>1/(1+EXP(-C407))</f>
        <v/>
      </c>
      <c r="E407" s="27">
        <f>'1 Data'!I396</f>
        <v/>
      </c>
      <c r="F407" s="29">
        <f>RANK(D407,$D$23:$D$1022)</f>
        <v/>
      </c>
      <c r="G407" s="30">
        <f>COUNTIF($D$23:$D$1022,"&lt;"&amp;D407)+(COUNTIF($D$23:$D$1022,"="&amp;D407)+1)/2</f>
        <v/>
      </c>
    </row>
    <row r="408">
      <c r="B408" s="27">
        <f>'1 Data'!B397</f>
        <v/>
      </c>
      <c r="C408" s="28">
        <f>$C$12 + '1 Data'!C397*$C$13 + '1 Data'!D397*$C$14 + '1 Data'!E397*$C$15 + '1 Data'!F397*$C$16 + '1 Data'!G397*$C$17 + '1 Data'!H397*$C$18</f>
        <v/>
      </c>
      <c r="D408" s="23">
        <f>1/(1+EXP(-C408))</f>
        <v/>
      </c>
      <c r="E408" s="27">
        <f>'1 Data'!I397</f>
        <v/>
      </c>
      <c r="F408" s="29">
        <f>RANK(D408,$D$23:$D$1022)</f>
        <v/>
      </c>
      <c r="G408" s="30">
        <f>COUNTIF($D$23:$D$1022,"&lt;"&amp;D408)+(COUNTIF($D$23:$D$1022,"="&amp;D408)+1)/2</f>
        <v/>
      </c>
    </row>
    <row r="409">
      <c r="B409" s="27">
        <f>'1 Data'!B398</f>
        <v/>
      </c>
      <c r="C409" s="28">
        <f>$C$12 + '1 Data'!C398*$C$13 + '1 Data'!D398*$C$14 + '1 Data'!E398*$C$15 + '1 Data'!F398*$C$16 + '1 Data'!G398*$C$17 + '1 Data'!H398*$C$18</f>
        <v/>
      </c>
      <c r="D409" s="23">
        <f>1/(1+EXP(-C409))</f>
        <v/>
      </c>
      <c r="E409" s="27">
        <f>'1 Data'!I398</f>
        <v/>
      </c>
      <c r="F409" s="29">
        <f>RANK(D409,$D$23:$D$1022)</f>
        <v/>
      </c>
      <c r="G409" s="30">
        <f>COUNTIF($D$23:$D$1022,"&lt;"&amp;D409)+(COUNTIF($D$23:$D$1022,"="&amp;D409)+1)/2</f>
        <v/>
      </c>
    </row>
    <row r="410">
      <c r="B410" s="27">
        <f>'1 Data'!B399</f>
        <v/>
      </c>
      <c r="C410" s="28">
        <f>$C$12 + '1 Data'!C399*$C$13 + '1 Data'!D399*$C$14 + '1 Data'!E399*$C$15 + '1 Data'!F399*$C$16 + '1 Data'!G399*$C$17 + '1 Data'!H399*$C$18</f>
        <v/>
      </c>
      <c r="D410" s="23">
        <f>1/(1+EXP(-C410))</f>
        <v/>
      </c>
      <c r="E410" s="27">
        <f>'1 Data'!I399</f>
        <v/>
      </c>
      <c r="F410" s="29">
        <f>RANK(D410,$D$23:$D$1022)</f>
        <v/>
      </c>
      <c r="G410" s="30">
        <f>COUNTIF($D$23:$D$1022,"&lt;"&amp;D410)+(COUNTIF($D$23:$D$1022,"="&amp;D410)+1)/2</f>
        <v/>
      </c>
    </row>
    <row r="411">
      <c r="B411" s="27">
        <f>'1 Data'!B400</f>
        <v/>
      </c>
      <c r="C411" s="28">
        <f>$C$12 + '1 Data'!C400*$C$13 + '1 Data'!D400*$C$14 + '1 Data'!E400*$C$15 + '1 Data'!F400*$C$16 + '1 Data'!G400*$C$17 + '1 Data'!H400*$C$18</f>
        <v/>
      </c>
      <c r="D411" s="23">
        <f>1/(1+EXP(-C411))</f>
        <v/>
      </c>
      <c r="E411" s="27">
        <f>'1 Data'!I400</f>
        <v/>
      </c>
      <c r="F411" s="29">
        <f>RANK(D411,$D$23:$D$1022)</f>
        <v/>
      </c>
      <c r="G411" s="30">
        <f>COUNTIF($D$23:$D$1022,"&lt;"&amp;D411)+(COUNTIF($D$23:$D$1022,"="&amp;D411)+1)/2</f>
        <v/>
      </c>
    </row>
    <row r="412">
      <c r="B412" s="27">
        <f>'1 Data'!B401</f>
        <v/>
      </c>
      <c r="C412" s="28">
        <f>$C$12 + '1 Data'!C401*$C$13 + '1 Data'!D401*$C$14 + '1 Data'!E401*$C$15 + '1 Data'!F401*$C$16 + '1 Data'!G401*$C$17 + '1 Data'!H401*$C$18</f>
        <v/>
      </c>
      <c r="D412" s="23">
        <f>1/(1+EXP(-C412))</f>
        <v/>
      </c>
      <c r="E412" s="27">
        <f>'1 Data'!I401</f>
        <v/>
      </c>
      <c r="F412" s="29">
        <f>RANK(D412,$D$23:$D$1022)</f>
        <v/>
      </c>
      <c r="G412" s="30">
        <f>COUNTIF($D$23:$D$1022,"&lt;"&amp;D412)+(COUNTIF($D$23:$D$1022,"="&amp;D412)+1)/2</f>
        <v/>
      </c>
    </row>
    <row r="413">
      <c r="B413" s="27">
        <f>'1 Data'!B402</f>
        <v/>
      </c>
      <c r="C413" s="28">
        <f>$C$12 + '1 Data'!C402*$C$13 + '1 Data'!D402*$C$14 + '1 Data'!E402*$C$15 + '1 Data'!F402*$C$16 + '1 Data'!G402*$C$17 + '1 Data'!H402*$C$18</f>
        <v/>
      </c>
      <c r="D413" s="23">
        <f>1/(1+EXP(-C413))</f>
        <v/>
      </c>
      <c r="E413" s="27">
        <f>'1 Data'!I402</f>
        <v/>
      </c>
      <c r="F413" s="29">
        <f>RANK(D413,$D$23:$D$1022)</f>
        <v/>
      </c>
      <c r="G413" s="30">
        <f>COUNTIF($D$23:$D$1022,"&lt;"&amp;D413)+(COUNTIF($D$23:$D$1022,"="&amp;D413)+1)/2</f>
        <v/>
      </c>
    </row>
    <row r="414">
      <c r="B414" s="27">
        <f>'1 Data'!B403</f>
        <v/>
      </c>
      <c r="C414" s="28">
        <f>$C$12 + '1 Data'!C403*$C$13 + '1 Data'!D403*$C$14 + '1 Data'!E403*$C$15 + '1 Data'!F403*$C$16 + '1 Data'!G403*$C$17 + '1 Data'!H403*$C$18</f>
        <v/>
      </c>
      <c r="D414" s="23">
        <f>1/(1+EXP(-C414))</f>
        <v/>
      </c>
      <c r="E414" s="27">
        <f>'1 Data'!I403</f>
        <v/>
      </c>
      <c r="F414" s="29">
        <f>RANK(D414,$D$23:$D$1022)</f>
        <v/>
      </c>
      <c r="G414" s="30">
        <f>COUNTIF($D$23:$D$1022,"&lt;"&amp;D414)+(COUNTIF($D$23:$D$1022,"="&amp;D414)+1)/2</f>
        <v/>
      </c>
    </row>
    <row r="415">
      <c r="B415" s="27">
        <f>'1 Data'!B404</f>
        <v/>
      </c>
      <c r="C415" s="28">
        <f>$C$12 + '1 Data'!C404*$C$13 + '1 Data'!D404*$C$14 + '1 Data'!E404*$C$15 + '1 Data'!F404*$C$16 + '1 Data'!G404*$C$17 + '1 Data'!H404*$C$18</f>
        <v/>
      </c>
      <c r="D415" s="23">
        <f>1/(1+EXP(-C415))</f>
        <v/>
      </c>
      <c r="E415" s="27">
        <f>'1 Data'!I404</f>
        <v/>
      </c>
      <c r="F415" s="29">
        <f>RANK(D415,$D$23:$D$1022)</f>
        <v/>
      </c>
      <c r="G415" s="30">
        <f>COUNTIF($D$23:$D$1022,"&lt;"&amp;D415)+(COUNTIF($D$23:$D$1022,"="&amp;D415)+1)/2</f>
        <v/>
      </c>
    </row>
    <row r="416">
      <c r="B416" s="27">
        <f>'1 Data'!B405</f>
        <v/>
      </c>
      <c r="C416" s="28">
        <f>$C$12 + '1 Data'!C405*$C$13 + '1 Data'!D405*$C$14 + '1 Data'!E405*$C$15 + '1 Data'!F405*$C$16 + '1 Data'!G405*$C$17 + '1 Data'!H405*$C$18</f>
        <v/>
      </c>
      <c r="D416" s="23">
        <f>1/(1+EXP(-C416))</f>
        <v/>
      </c>
      <c r="E416" s="27">
        <f>'1 Data'!I405</f>
        <v/>
      </c>
      <c r="F416" s="29">
        <f>RANK(D416,$D$23:$D$1022)</f>
        <v/>
      </c>
      <c r="G416" s="30">
        <f>COUNTIF($D$23:$D$1022,"&lt;"&amp;D416)+(COUNTIF($D$23:$D$1022,"="&amp;D416)+1)/2</f>
        <v/>
      </c>
    </row>
    <row r="417">
      <c r="B417" s="27">
        <f>'1 Data'!B406</f>
        <v/>
      </c>
      <c r="C417" s="28">
        <f>$C$12 + '1 Data'!C406*$C$13 + '1 Data'!D406*$C$14 + '1 Data'!E406*$C$15 + '1 Data'!F406*$C$16 + '1 Data'!G406*$C$17 + '1 Data'!H406*$C$18</f>
        <v/>
      </c>
      <c r="D417" s="23">
        <f>1/(1+EXP(-C417))</f>
        <v/>
      </c>
      <c r="E417" s="27">
        <f>'1 Data'!I406</f>
        <v/>
      </c>
      <c r="F417" s="29">
        <f>RANK(D417,$D$23:$D$1022)</f>
        <v/>
      </c>
      <c r="G417" s="30">
        <f>COUNTIF($D$23:$D$1022,"&lt;"&amp;D417)+(COUNTIF($D$23:$D$1022,"="&amp;D417)+1)/2</f>
        <v/>
      </c>
    </row>
    <row r="418">
      <c r="B418" s="27">
        <f>'1 Data'!B407</f>
        <v/>
      </c>
      <c r="C418" s="28">
        <f>$C$12 + '1 Data'!C407*$C$13 + '1 Data'!D407*$C$14 + '1 Data'!E407*$C$15 + '1 Data'!F407*$C$16 + '1 Data'!G407*$C$17 + '1 Data'!H407*$C$18</f>
        <v/>
      </c>
      <c r="D418" s="23">
        <f>1/(1+EXP(-C418))</f>
        <v/>
      </c>
      <c r="E418" s="27">
        <f>'1 Data'!I407</f>
        <v/>
      </c>
      <c r="F418" s="29">
        <f>RANK(D418,$D$23:$D$1022)</f>
        <v/>
      </c>
      <c r="G418" s="30">
        <f>COUNTIF($D$23:$D$1022,"&lt;"&amp;D418)+(COUNTIF($D$23:$D$1022,"="&amp;D418)+1)/2</f>
        <v/>
      </c>
    </row>
    <row r="419">
      <c r="B419" s="27">
        <f>'1 Data'!B408</f>
        <v/>
      </c>
      <c r="C419" s="28">
        <f>$C$12 + '1 Data'!C408*$C$13 + '1 Data'!D408*$C$14 + '1 Data'!E408*$C$15 + '1 Data'!F408*$C$16 + '1 Data'!G408*$C$17 + '1 Data'!H408*$C$18</f>
        <v/>
      </c>
      <c r="D419" s="23">
        <f>1/(1+EXP(-C419))</f>
        <v/>
      </c>
      <c r="E419" s="27">
        <f>'1 Data'!I408</f>
        <v/>
      </c>
      <c r="F419" s="29">
        <f>RANK(D419,$D$23:$D$1022)</f>
        <v/>
      </c>
      <c r="G419" s="30">
        <f>COUNTIF($D$23:$D$1022,"&lt;"&amp;D419)+(COUNTIF($D$23:$D$1022,"="&amp;D419)+1)/2</f>
        <v/>
      </c>
    </row>
    <row r="420">
      <c r="B420" s="27">
        <f>'1 Data'!B409</f>
        <v/>
      </c>
      <c r="C420" s="28">
        <f>$C$12 + '1 Data'!C409*$C$13 + '1 Data'!D409*$C$14 + '1 Data'!E409*$C$15 + '1 Data'!F409*$C$16 + '1 Data'!G409*$C$17 + '1 Data'!H409*$C$18</f>
        <v/>
      </c>
      <c r="D420" s="23">
        <f>1/(1+EXP(-C420))</f>
        <v/>
      </c>
      <c r="E420" s="27">
        <f>'1 Data'!I409</f>
        <v/>
      </c>
      <c r="F420" s="29">
        <f>RANK(D420,$D$23:$D$1022)</f>
        <v/>
      </c>
      <c r="G420" s="30">
        <f>COUNTIF($D$23:$D$1022,"&lt;"&amp;D420)+(COUNTIF($D$23:$D$1022,"="&amp;D420)+1)/2</f>
        <v/>
      </c>
    </row>
    <row r="421">
      <c r="B421" s="27">
        <f>'1 Data'!B410</f>
        <v/>
      </c>
      <c r="C421" s="28">
        <f>$C$12 + '1 Data'!C410*$C$13 + '1 Data'!D410*$C$14 + '1 Data'!E410*$C$15 + '1 Data'!F410*$C$16 + '1 Data'!G410*$C$17 + '1 Data'!H410*$C$18</f>
        <v/>
      </c>
      <c r="D421" s="23">
        <f>1/(1+EXP(-C421))</f>
        <v/>
      </c>
      <c r="E421" s="27">
        <f>'1 Data'!I410</f>
        <v/>
      </c>
      <c r="F421" s="29">
        <f>RANK(D421,$D$23:$D$1022)</f>
        <v/>
      </c>
      <c r="G421" s="30">
        <f>COUNTIF($D$23:$D$1022,"&lt;"&amp;D421)+(COUNTIF($D$23:$D$1022,"="&amp;D421)+1)/2</f>
        <v/>
      </c>
    </row>
    <row r="422">
      <c r="B422" s="27">
        <f>'1 Data'!B411</f>
        <v/>
      </c>
      <c r="C422" s="28">
        <f>$C$12 + '1 Data'!C411*$C$13 + '1 Data'!D411*$C$14 + '1 Data'!E411*$C$15 + '1 Data'!F411*$C$16 + '1 Data'!G411*$C$17 + '1 Data'!H411*$C$18</f>
        <v/>
      </c>
      <c r="D422" s="23">
        <f>1/(1+EXP(-C422))</f>
        <v/>
      </c>
      <c r="E422" s="27">
        <f>'1 Data'!I411</f>
        <v/>
      </c>
      <c r="F422" s="29">
        <f>RANK(D422,$D$23:$D$1022)</f>
        <v/>
      </c>
      <c r="G422" s="30">
        <f>COUNTIF($D$23:$D$1022,"&lt;"&amp;D422)+(COUNTIF($D$23:$D$1022,"="&amp;D422)+1)/2</f>
        <v/>
      </c>
    </row>
    <row r="423">
      <c r="B423" s="27">
        <f>'1 Data'!B412</f>
        <v/>
      </c>
      <c r="C423" s="28">
        <f>$C$12 + '1 Data'!C412*$C$13 + '1 Data'!D412*$C$14 + '1 Data'!E412*$C$15 + '1 Data'!F412*$C$16 + '1 Data'!G412*$C$17 + '1 Data'!H412*$C$18</f>
        <v/>
      </c>
      <c r="D423" s="23">
        <f>1/(1+EXP(-C423))</f>
        <v/>
      </c>
      <c r="E423" s="27">
        <f>'1 Data'!I412</f>
        <v/>
      </c>
      <c r="F423" s="29">
        <f>RANK(D423,$D$23:$D$1022)</f>
        <v/>
      </c>
      <c r="G423" s="30">
        <f>COUNTIF($D$23:$D$1022,"&lt;"&amp;D423)+(COUNTIF($D$23:$D$1022,"="&amp;D423)+1)/2</f>
        <v/>
      </c>
    </row>
    <row r="424">
      <c r="B424" s="27">
        <f>'1 Data'!B413</f>
        <v/>
      </c>
      <c r="C424" s="28">
        <f>$C$12 + '1 Data'!C413*$C$13 + '1 Data'!D413*$C$14 + '1 Data'!E413*$C$15 + '1 Data'!F413*$C$16 + '1 Data'!G413*$C$17 + '1 Data'!H413*$C$18</f>
        <v/>
      </c>
      <c r="D424" s="23">
        <f>1/(1+EXP(-C424))</f>
        <v/>
      </c>
      <c r="E424" s="27">
        <f>'1 Data'!I413</f>
        <v/>
      </c>
      <c r="F424" s="29">
        <f>RANK(D424,$D$23:$D$1022)</f>
        <v/>
      </c>
      <c r="G424" s="30">
        <f>COUNTIF($D$23:$D$1022,"&lt;"&amp;D424)+(COUNTIF($D$23:$D$1022,"="&amp;D424)+1)/2</f>
        <v/>
      </c>
    </row>
    <row r="425">
      <c r="B425" s="27">
        <f>'1 Data'!B414</f>
        <v/>
      </c>
      <c r="C425" s="28">
        <f>$C$12 + '1 Data'!C414*$C$13 + '1 Data'!D414*$C$14 + '1 Data'!E414*$C$15 + '1 Data'!F414*$C$16 + '1 Data'!G414*$C$17 + '1 Data'!H414*$C$18</f>
        <v/>
      </c>
      <c r="D425" s="23">
        <f>1/(1+EXP(-C425))</f>
        <v/>
      </c>
      <c r="E425" s="27">
        <f>'1 Data'!I414</f>
        <v/>
      </c>
      <c r="F425" s="29">
        <f>RANK(D425,$D$23:$D$1022)</f>
        <v/>
      </c>
      <c r="G425" s="30">
        <f>COUNTIF($D$23:$D$1022,"&lt;"&amp;D425)+(COUNTIF($D$23:$D$1022,"="&amp;D425)+1)/2</f>
        <v/>
      </c>
    </row>
    <row r="426">
      <c r="B426" s="27">
        <f>'1 Data'!B415</f>
        <v/>
      </c>
      <c r="C426" s="28">
        <f>$C$12 + '1 Data'!C415*$C$13 + '1 Data'!D415*$C$14 + '1 Data'!E415*$C$15 + '1 Data'!F415*$C$16 + '1 Data'!G415*$C$17 + '1 Data'!H415*$C$18</f>
        <v/>
      </c>
      <c r="D426" s="23">
        <f>1/(1+EXP(-C426))</f>
        <v/>
      </c>
      <c r="E426" s="27">
        <f>'1 Data'!I415</f>
        <v/>
      </c>
      <c r="F426" s="29">
        <f>RANK(D426,$D$23:$D$1022)</f>
        <v/>
      </c>
      <c r="G426" s="30">
        <f>COUNTIF($D$23:$D$1022,"&lt;"&amp;D426)+(COUNTIF($D$23:$D$1022,"="&amp;D426)+1)/2</f>
        <v/>
      </c>
    </row>
    <row r="427">
      <c r="B427" s="27">
        <f>'1 Data'!B416</f>
        <v/>
      </c>
      <c r="C427" s="28">
        <f>$C$12 + '1 Data'!C416*$C$13 + '1 Data'!D416*$C$14 + '1 Data'!E416*$C$15 + '1 Data'!F416*$C$16 + '1 Data'!G416*$C$17 + '1 Data'!H416*$C$18</f>
        <v/>
      </c>
      <c r="D427" s="23">
        <f>1/(1+EXP(-C427))</f>
        <v/>
      </c>
      <c r="E427" s="27">
        <f>'1 Data'!I416</f>
        <v/>
      </c>
      <c r="F427" s="29">
        <f>RANK(D427,$D$23:$D$1022)</f>
        <v/>
      </c>
      <c r="G427" s="30">
        <f>COUNTIF($D$23:$D$1022,"&lt;"&amp;D427)+(COUNTIF($D$23:$D$1022,"="&amp;D427)+1)/2</f>
        <v/>
      </c>
    </row>
    <row r="428">
      <c r="B428" s="27">
        <f>'1 Data'!B417</f>
        <v/>
      </c>
      <c r="C428" s="28">
        <f>$C$12 + '1 Data'!C417*$C$13 + '1 Data'!D417*$C$14 + '1 Data'!E417*$C$15 + '1 Data'!F417*$C$16 + '1 Data'!G417*$C$17 + '1 Data'!H417*$C$18</f>
        <v/>
      </c>
      <c r="D428" s="23">
        <f>1/(1+EXP(-C428))</f>
        <v/>
      </c>
      <c r="E428" s="27">
        <f>'1 Data'!I417</f>
        <v/>
      </c>
      <c r="F428" s="29">
        <f>RANK(D428,$D$23:$D$1022)</f>
        <v/>
      </c>
      <c r="G428" s="30">
        <f>COUNTIF($D$23:$D$1022,"&lt;"&amp;D428)+(COUNTIF($D$23:$D$1022,"="&amp;D428)+1)/2</f>
        <v/>
      </c>
    </row>
    <row r="429">
      <c r="B429" s="27">
        <f>'1 Data'!B418</f>
        <v/>
      </c>
      <c r="C429" s="28">
        <f>$C$12 + '1 Data'!C418*$C$13 + '1 Data'!D418*$C$14 + '1 Data'!E418*$C$15 + '1 Data'!F418*$C$16 + '1 Data'!G418*$C$17 + '1 Data'!H418*$C$18</f>
        <v/>
      </c>
      <c r="D429" s="23">
        <f>1/(1+EXP(-C429))</f>
        <v/>
      </c>
      <c r="E429" s="27">
        <f>'1 Data'!I418</f>
        <v/>
      </c>
      <c r="F429" s="29">
        <f>RANK(D429,$D$23:$D$1022)</f>
        <v/>
      </c>
      <c r="G429" s="30">
        <f>COUNTIF($D$23:$D$1022,"&lt;"&amp;D429)+(COUNTIF($D$23:$D$1022,"="&amp;D429)+1)/2</f>
        <v/>
      </c>
    </row>
    <row r="430">
      <c r="B430" s="27">
        <f>'1 Data'!B419</f>
        <v/>
      </c>
      <c r="C430" s="28">
        <f>$C$12 + '1 Data'!C419*$C$13 + '1 Data'!D419*$C$14 + '1 Data'!E419*$C$15 + '1 Data'!F419*$C$16 + '1 Data'!G419*$C$17 + '1 Data'!H419*$C$18</f>
        <v/>
      </c>
      <c r="D430" s="23">
        <f>1/(1+EXP(-C430))</f>
        <v/>
      </c>
      <c r="E430" s="27">
        <f>'1 Data'!I419</f>
        <v/>
      </c>
      <c r="F430" s="29">
        <f>RANK(D430,$D$23:$D$1022)</f>
        <v/>
      </c>
      <c r="G430" s="30">
        <f>COUNTIF($D$23:$D$1022,"&lt;"&amp;D430)+(COUNTIF($D$23:$D$1022,"="&amp;D430)+1)/2</f>
        <v/>
      </c>
    </row>
    <row r="431">
      <c r="B431" s="27">
        <f>'1 Data'!B420</f>
        <v/>
      </c>
      <c r="C431" s="28">
        <f>$C$12 + '1 Data'!C420*$C$13 + '1 Data'!D420*$C$14 + '1 Data'!E420*$C$15 + '1 Data'!F420*$C$16 + '1 Data'!G420*$C$17 + '1 Data'!H420*$C$18</f>
        <v/>
      </c>
      <c r="D431" s="23">
        <f>1/(1+EXP(-C431))</f>
        <v/>
      </c>
      <c r="E431" s="27">
        <f>'1 Data'!I420</f>
        <v/>
      </c>
      <c r="F431" s="29">
        <f>RANK(D431,$D$23:$D$1022)</f>
        <v/>
      </c>
      <c r="G431" s="30">
        <f>COUNTIF($D$23:$D$1022,"&lt;"&amp;D431)+(COUNTIF($D$23:$D$1022,"="&amp;D431)+1)/2</f>
        <v/>
      </c>
    </row>
    <row r="432">
      <c r="B432" s="27">
        <f>'1 Data'!B421</f>
        <v/>
      </c>
      <c r="C432" s="28">
        <f>$C$12 + '1 Data'!C421*$C$13 + '1 Data'!D421*$C$14 + '1 Data'!E421*$C$15 + '1 Data'!F421*$C$16 + '1 Data'!G421*$C$17 + '1 Data'!H421*$C$18</f>
        <v/>
      </c>
      <c r="D432" s="23">
        <f>1/(1+EXP(-C432))</f>
        <v/>
      </c>
      <c r="E432" s="27">
        <f>'1 Data'!I421</f>
        <v/>
      </c>
      <c r="F432" s="29">
        <f>RANK(D432,$D$23:$D$1022)</f>
        <v/>
      </c>
      <c r="G432" s="30">
        <f>COUNTIF($D$23:$D$1022,"&lt;"&amp;D432)+(COUNTIF($D$23:$D$1022,"="&amp;D432)+1)/2</f>
        <v/>
      </c>
    </row>
    <row r="433">
      <c r="B433" s="27">
        <f>'1 Data'!B422</f>
        <v/>
      </c>
      <c r="C433" s="28">
        <f>$C$12 + '1 Data'!C422*$C$13 + '1 Data'!D422*$C$14 + '1 Data'!E422*$C$15 + '1 Data'!F422*$C$16 + '1 Data'!G422*$C$17 + '1 Data'!H422*$C$18</f>
        <v/>
      </c>
      <c r="D433" s="23">
        <f>1/(1+EXP(-C433))</f>
        <v/>
      </c>
      <c r="E433" s="27">
        <f>'1 Data'!I422</f>
        <v/>
      </c>
      <c r="F433" s="29">
        <f>RANK(D433,$D$23:$D$1022)</f>
        <v/>
      </c>
      <c r="G433" s="30">
        <f>COUNTIF($D$23:$D$1022,"&lt;"&amp;D433)+(COUNTIF($D$23:$D$1022,"="&amp;D433)+1)/2</f>
        <v/>
      </c>
    </row>
    <row r="434">
      <c r="B434" s="27">
        <f>'1 Data'!B423</f>
        <v/>
      </c>
      <c r="C434" s="28">
        <f>$C$12 + '1 Data'!C423*$C$13 + '1 Data'!D423*$C$14 + '1 Data'!E423*$C$15 + '1 Data'!F423*$C$16 + '1 Data'!G423*$C$17 + '1 Data'!H423*$C$18</f>
        <v/>
      </c>
      <c r="D434" s="23">
        <f>1/(1+EXP(-C434))</f>
        <v/>
      </c>
      <c r="E434" s="27">
        <f>'1 Data'!I423</f>
        <v/>
      </c>
      <c r="F434" s="29">
        <f>RANK(D434,$D$23:$D$1022)</f>
        <v/>
      </c>
      <c r="G434" s="30">
        <f>COUNTIF($D$23:$D$1022,"&lt;"&amp;D434)+(COUNTIF($D$23:$D$1022,"="&amp;D434)+1)/2</f>
        <v/>
      </c>
    </row>
    <row r="435">
      <c r="B435" s="27">
        <f>'1 Data'!B424</f>
        <v/>
      </c>
      <c r="C435" s="28">
        <f>$C$12 + '1 Data'!C424*$C$13 + '1 Data'!D424*$C$14 + '1 Data'!E424*$C$15 + '1 Data'!F424*$C$16 + '1 Data'!G424*$C$17 + '1 Data'!H424*$C$18</f>
        <v/>
      </c>
      <c r="D435" s="23">
        <f>1/(1+EXP(-C435))</f>
        <v/>
      </c>
      <c r="E435" s="27">
        <f>'1 Data'!I424</f>
        <v/>
      </c>
      <c r="F435" s="29">
        <f>RANK(D435,$D$23:$D$1022)</f>
        <v/>
      </c>
      <c r="G435" s="30">
        <f>COUNTIF($D$23:$D$1022,"&lt;"&amp;D435)+(COUNTIF($D$23:$D$1022,"="&amp;D435)+1)/2</f>
        <v/>
      </c>
    </row>
    <row r="436">
      <c r="B436" s="27">
        <f>'1 Data'!B425</f>
        <v/>
      </c>
      <c r="C436" s="28">
        <f>$C$12 + '1 Data'!C425*$C$13 + '1 Data'!D425*$C$14 + '1 Data'!E425*$C$15 + '1 Data'!F425*$C$16 + '1 Data'!G425*$C$17 + '1 Data'!H425*$C$18</f>
        <v/>
      </c>
      <c r="D436" s="23">
        <f>1/(1+EXP(-C436))</f>
        <v/>
      </c>
      <c r="E436" s="27">
        <f>'1 Data'!I425</f>
        <v/>
      </c>
      <c r="F436" s="29">
        <f>RANK(D436,$D$23:$D$1022)</f>
        <v/>
      </c>
      <c r="G436" s="30">
        <f>COUNTIF($D$23:$D$1022,"&lt;"&amp;D436)+(COUNTIF($D$23:$D$1022,"="&amp;D436)+1)/2</f>
        <v/>
      </c>
    </row>
    <row r="437">
      <c r="B437" s="27">
        <f>'1 Data'!B426</f>
        <v/>
      </c>
      <c r="C437" s="28">
        <f>$C$12 + '1 Data'!C426*$C$13 + '1 Data'!D426*$C$14 + '1 Data'!E426*$C$15 + '1 Data'!F426*$C$16 + '1 Data'!G426*$C$17 + '1 Data'!H426*$C$18</f>
        <v/>
      </c>
      <c r="D437" s="23">
        <f>1/(1+EXP(-C437))</f>
        <v/>
      </c>
      <c r="E437" s="27">
        <f>'1 Data'!I426</f>
        <v/>
      </c>
      <c r="F437" s="29">
        <f>RANK(D437,$D$23:$D$1022)</f>
        <v/>
      </c>
      <c r="G437" s="30">
        <f>COUNTIF($D$23:$D$1022,"&lt;"&amp;D437)+(COUNTIF($D$23:$D$1022,"="&amp;D437)+1)/2</f>
        <v/>
      </c>
    </row>
    <row r="438">
      <c r="B438" s="27">
        <f>'1 Data'!B427</f>
        <v/>
      </c>
      <c r="C438" s="28">
        <f>$C$12 + '1 Data'!C427*$C$13 + '1 Data'!D427*$C$14 + '1 Data'!E427*$C$15 + '1 Data'!F427*$C$16 + '1 Data'!G427*$C$17 + '1 Data'!H427*$C$18</f>
        <v/>
      </c>
      <c r="D438" s="23">
        <f>1/(1+EXP(-C438))</f>
        <v/>
      </c>
      <c r="E438" s="27">
        <f>'1 Data'!I427</f>
        <v/>
      </c>
      <c r="F438" s="29">
        <f>RANK(D438,$D$23:$D$1022)</f>
        <v/>
      </c>
      <c r="G438" s="30">
        <f>COUNTIF($D$23:$D$1022,"&lt;"&amp;D438)+(COUNTIF($D$23:$D$1022,"="&amp;D438)+1)/2</f>
        <v/>
      </c>
    </row>
    <row r="439">
      <c r="B439" s="27">
        <f>'1 Data'!B428</f>
        <v/>
      </c>
      <c r="C439" s="28">
        <f>$C$12 + '1 Data'!C428*$C$13 + '1 Data'!D428*$C$14 + '1 Data'!E428*$C$15 + '1 Data'!F428*$C$16 + '1 Data'!G428*$C$17 + '1 Data'!H428*$C$18</f>
        <v/>
      </c>
      <c r="D439" s="23">
        <f>1/(1+EXP(-C439))</f>
        <v/>
      </c>
      <c r="E439" s="27">
        <f>'1 Data'!I428</f>
        <v/>
      </c>
      <c r="F439" s="29">
        <f>RANK(D439,$D$23:$D$1022)</f>
        <v/>
      </c>
      <c r="G439" s="30">
        <f>COUNTIF($D$23:$D$1022,"&lt;"&amp;D439)+(COUNTIF($D$23:$D$1022,"="&amp;D439)+1)/2</f>
        <v/>
      </c>
    </row>
    <row r="440">
      <c r="B440" s="27">
        <f>'1 Data'!B429</f>
        <v/>
      </c>
      <c r="C440" s="28">
        <f>$C$12 + '1 Data'!C429*$C$13 + '1 Data'!D429*$C$14 + '1 Data'!E429*$C$15 + '1 Data'!F429*$C$16 + '1 Data'!G429*$C$17 + '1 Data'!H429*$C$18</f>
        <v/>
      </c>
      <c r="D440" s="23">
        <f>1/(1+EXP(-C440))</f>
        <v/>
      </c>
      <c r="E440" s="27">
        <f>'1 Data'!I429</f>
        <v/>
      </c>
      <c r="F440" s="29">
        <f>RANK(D440,$D$23:$D$1022)</f>
        <v/>
      </c>
      <c r="G440" s="30">
        <f>COUNTIF($D$23:$D$1022,"&lt;"&amp;D440)+(COUNTIF($D$23:$D$1022,"="&amp;D440)+1)/2</f>
        <v/>
      </c>
    </row>
    <row r="441">
      <c r="B441" s="27">
        <f>'1 Data'!B430</f>
        <v/>
      </c>
      <c r="C441" s="28">
        <f>$C$12 + '1 Data'!C430*$C$13 + '1 Data'!D430*$C$14 + '1 Data'!E430*$C$15 + '1 Data'!F430*$C$16 + '1 Data'!G430*$C$17 + '1 Data'!H430*$C$18</f>
        <v/>
      </c>
      <c r="D441" s="23">
        <f>1/(1+EXP(-C441))</f>
        <v/>
      </c>
      <c r="E441" s="27">
        <f>'1 Data'!I430</f>
        <v/>
      </c>
      <c r="F441" s="29">
        <f>RANK(D441,$D$23:$D$1022)</f>
        <v/>
      </c>
      <c r="G441" s="30">
        <f>COUNTIF($D$23:$D$1022,"&lt;"&amp;D441)+(COUNTIF($D$23:$D$1022,"="&amp;D441)+1)/2</f>
        <v/>
      </c>
    </row>
    <row r="442">
      <c r="B442" s="27">
        <f>'1 Data'!B431</f>
        <v/>
      </c>
      <c r="C442" s="28">
        <f>$C$12 + '1 Data'!C431*$C$13 + '1 Data'!D431*$C$14 + '1 Data'!E431*$C$15 + '1 Data'!F431*$C$16 + '1 Data'!G431*$C$17 + '1 Data'!H431*$C$18</f>
        <v/>
      </c>
      <c r="D442" s="23">
        <f>1/(1+EXP(-C442))</f>
        <v/>
      </c>
      <c r="E442" s="27">
        <f>'1 Data'!I431</f>
        <v/>
      </c>
      <c r="F442" s="29">
        <f>RANK(D442,$D$23:$D$1022)</f>
        <v/>
      </c>
      <c r="G442" s="30">
        <f>COUNTIF($D$23:$D$1022,"&lt;"&amp;D442)+(COUNTIF($D$23:$D$1022,"="&amp;D442)+1)/2</f>
        <v/>
      </c>
    </row>
    <row r="443">
      <c r="B443" s="27">
        <f>'1 Data'!B432</f>
        <v/>
      </c>
      <c r="C443" s="28">
        <f>$C$12 + '1 Data'!C432*$C$13 + '1 Data'!D432*$C$14 + '1 Data'!E432*$C$15 + '1 Data'!F432*$C$16 + '1 Data'!G432*$C$17 + '1 Data'!H432*$C$18</f>
        <v/>
      </c>
      <c r="D443" s="23">
        <f>1/(1+EXP(-C443))</f>
        <v/>
      </c>
      <c r="E443" s="27">
        <f>'1 Data'!I432</f>
        <v/>
      </c>
      <c r="F443" s="29">
        <f>RANK(D443,$D$23:$D$1022)</f>
        <v/>
      </c>
      <c r="G443" s="30">
        <f>COUNTIF($D$23:$D$1022,"&lt;"&amp;D443)+(COUNTIF($D$23:$D$1022,"="&amp;D443)+1)/2</f>
        <v/>
      </c>
    </row>
    <row r="444">
      <c r="B444" s="27">
        <f>'1 Data'!B433</f>
        <v/>
      </c>
      <c r="C444" s="28">
        <f>$C$12 + '1 Data'!C433*$C$13 + '1 Data'!D433*$C$14 + '1 Data'!E433*$C$15 + '1 Data'!F433*$C$16 + '1 Data'!G433*$C$17 + '1 Data'!H433*$C$18</f>
        <v/>
      </c>
      <c r="D444" s="23">
        <f>1/(1+EXP(-C444))</f>
        <v/>
      </c>
      <c r="E444" s="27">
        <f>'1 Data'!I433</f>
        <v/>
      </c>
      <c r="F444" s="29">
        <f>RANK(D444,$D$23:$D$1022)</f>
        <v/>
      </c>
      <c r="G444" s="30">
        <f>COUNTIF($D$23:$D$1022,"&lt;"&amp;D444)+(COUNTIF($D$23:$D$1022,"="&amp;D444)+1)/2</f>
        <v/>
      </c>
    </row>
    <row r="445">
      <c r="B445" s="27">
        <f>'1 Data'!B434</f>
        <v/>
      </c>
      <c r="C445" s="28">
        <f>$C$12 + '1 Data'!C434*$C$13 + '1 Data'!D434*$C$14 + '1 Data'!E434*$C$15 + '1 Data'!F434*$C$16 + '1 Data'!G434*$C$17 + '1 Data'!H434*$C$18</f>
        <v/>
      </c>
      <c r="D445" s="23">
        <f>1/(1+EXP(-C445))</f>
        <v/>
      </c>
      <c r="E445" s="27">
        <f>'1 Data'!I434</f>
        <v/>
      </c>
      <c r="F445" s="29">
        <f>RANK(D445,$D$23:$D$1022)</f>
        <v/>
      </c>
      <c r="G445" s="30">
        <f>COUNTIF($D$23:$D$1022,"&lt;"&amp;D445)+(COUNTIF($D$23:$D$1022,"="&amp;D445)+1)/2</f>
        <v/>
      </c>
    </row>
    <row r="446">
      <c r="B446" s="27">
        <f>'1 Data'!B435</f>
        <v/>
      </c>
      <c r="C446" s="28">
        <f>$C$12 + '1 Data'!C435*$C$13 + '1 Data'!D435*$C$14 + '1 Data'!E435*$C$15 + '1 Data'!F435*$C$16 + '1 Data'!G435*$C$17 + '1 Data'!H435*$C$18</f>
        <v/>
      </c>
      <c r="D446" s="23">
        <f>1/(1+EXP(-C446))</f>
        <v/>
      </c>
      <c r="E446" s="27">
        <f>'1 Data'!I435</f>
        <v/>
      </c>
      <c r="F446" s="29">
        <f>RANK(D446,$D$23:$D$1022)</f>
        <v/>
      </c>
      <c r="G446" s="30">
        <f>COUNTIF($D$23:$D$1022,"&lt;"&amp;D446)+(COUNTIF($D$23:$D$1022,"="&amp;D446)+1)/2</f>
        <v/>
      </c>
    </row>
    <row r="447">
      <c r="B447" s="27">
        <f>'1 Data'!B436</f>
        <v/>
      </c>
      <c r="C447" s="28">
        <f>$C$12 + '1 Data'!C436*$C$13 + '1 Data'!D436*$C$14 + '1 Data'!E436*$C$15 + '1 Data'!F436*$C$16 + '1 Data'!G436*$C$17 + '1 Data'!H436*$C$18</f>
        <v/>
      </c>
      <c r="D447" s="23">
        <f>1/(1+EXP(-C447))</f>
        <v/>
      </c>
      <c r="E447" s="27">
        <f>'1 Data'!I436</f>
        <v/>
      </c>
      <c r="F447" s="29">
        <f>RANK(D447,$D$23:$D$1022)</f>
        <v/>
      </c>
      <c r="G447" s="30">
        <f>COUNTIF($D$23:$D$1022,"&lt;"&amp;D447)+(COUNTIF($D$23:$D$1022,"="&amp;D447)+1)/2</f>
        <v/>
      </c>
    </row>
    <row r="448">
      <c r="B448" s="27">
        <f>'1 Data'!B437</f>
        <v/>
      </c>
      <c r="C448" s="28">
        <f>$C$12 + '1 Data'!C437*$C$13 + '1 Data'!D437*$C$14 + '1 Data'!E437*$C$15 + '1 Data'!F437*$C$16 + '1 Data'!G437*$C$17 + '1 Data'!H437*$C$18</f>
        <v/>
      </c>
      <c r="D448" s="23">
        <f>1/(1+EXP(-C448))</f>
        <v/>
      </c>
      <c r="E448" s="27">
        <f>'1 Data'!I437</f>
        <v/>
      </c>
      <c r="F448" s="29">
        <f>RANK(D448,$D$23:$D$1022)</f>
        <v/>
      </c>
      <c r="G448" s="30">
        <f>COUNTIF($D$23:$D$1022,"&lt;"&amp;D448)+(COUNTIF($D$23:$D$1022,"="&amp;D448)+1)/2</f>
        <v/>
      </c>
    </row>
    <row r="449">
      <c r="B449" s="27">
        <f>'1 Data'!B438</f>
        <v/>
      </c>
      <c r="C449" s="28">
        <f>$C$12 + '1 Data'!C438*$C$13 + '1 Data'!D438*$C$14 + '1 Data'!E438*$C$15 + '1 Data'!F438*$C$16 + '1 Data'!G438*$C$17 + '1 Data'!H438*$C$18</f>
        <v/>
      </c>
      <c r="D449" s="23">
        <f>1/(1+EXP(-C449))</f>
        <v/>
      </c>
      <c r="E449" s="27">
        <f>'1 Data'!I438</f>
        <v/>
      </c>
      <c r="F449" s="29">
        <f>RANK(D449,$D$23:$D$1022)</f>
        <v/>
      </c>
      <c r="G449" s="30">
        <f>COUNTIF($D$23:$D$1022,"&lt;"&amp;D449)+(COUNTIF($D$23:$D$1022,"="&amp;D449)+1)/2</f>
        <v/>
      </c>
    </row>
    <row r="450">
      <c r="B450" s="27">
        <f>'1 Data'!B439</f>
        <v/>
      </c>
      <c r="C450" s="28">
        <f>$C$12 + '1 Data'!C439*$C$13 + '1 Data'!D439*$C$14 + '1 Data'!E439*$C$15 + '1 Data'!F439*$C$16 + '1 Data'!G439*$C$17 + '1 Data'!H439*$C$18</f>
        <v/>
      </c>
      <c r="D450" s="23">
        <f>1/(1+EXP(-C450))</f>
        <v/>
      </c>
      <c r="E450" s="27">
        <f>'1 Data'!I439</f>
        <v/>
      </c>
      <c r="F450" s="29">
        <f>RANK(D450,$D$23:$D$1022)</f>
        <v/>
      </c>
      <c r="G450" s="30">
        <f>COUNTIF($D$23:$D$1022,"&lt;"&amp;D450)+(COUNTIF($D$23:$D$1022,"="&amp;D450)+1)/2</f>
        <v/>
      </c>
    </row>
    <row r="451">
      <c r="B451" s="27">
        <f>'1 Data'!B440</f>
        <v/>
      </c>
      <c r="C451" s="28">
        <f>$C$12 + '1 Data'!C440*$C$13 + '1 Data'!D440*$C$14 + '1 Data'!E440*$C$15 + '1 Data'!F440*$C$16 + '1 Data'!G440*$C$17 + '1 Data'!H440*$C$18</f>
        <v/>
      </c>
      <c r="D451" s="23">
        <f>1/(1+EXP(-C451))</f>
        <v/>
      </c>
      <c r="E451" s="27">
        <f>'1 Data'!I440</f>
        <v/>
      </c>
      <c r="F451" s="29">
        <f>RANK(D451,$D$23:$D$1022)</f>
        <v/>
      </c>
      <c r="G451" s="30">
        <f>COUNTIF($D$23:$D$1022,"&lt;"&amp;D451)+(COUNTIF($D$23:$D$1022,"="&amp;D451)+1)/2</f>
        <v/>
      </c>
    </row>
    <row r="452">
      <c r="B452" s="27">
        <f>'1 Data'!B441</f>
        <v/>
      </c>
      <c r="C452" s="28">
        <f>$C$12 + '1 Data'!C441*$C$13 + '1 Data'!D441*$C$14 + '1 Data'!E441*$C$15 + '1 Data'!F441*$C$16 + '1 Data'!G441*$C$17 + '1 Data'!H441*$C$18</f>
        <v/>
      </c>
      <c r="D452" s="23">
        <f>1/(1+EXP(-C452))</f>
        <v/>
      </c>
      <c r="E452" s="27">
        <f>'1 Data'!I441</f>
        <v/>
      </c>
      <c r="F452" s="29">
        <f>RANK(D452,$D$23:$D$1022)</f>
        <v/>
      </c>
      <c r="G452" s="30">
        <f>COUNTIF($D$23:$D$1022,"&lt;"&amp;D452)+(COUNTIF($D$23:$D$1022,"="&amp;D452)+1)/2</f>
        <v/>
      </c>
    </row>
    <row r="453">
      <c r="B453" s="27">
        <f>'1 Data'!B442</f>
        <v/>
      </c>
      <c r="C453" s="28">
        <f>$C$12 + '1 Data'!C442*$C$13 + '1 Data'!D442*$C$14 + '1 Data'!E442*$C$15 + '1 Data'!F442*$C$16 + '1 Data'!G442*$C$17 + '1 Data'!H442*$C$18</f>
        <v/>
      </c>
      <c r="D453" s="23">
        <f>1/(1+EXP(-C453))</f>
        <v/>
      </c>
      <c r="E453" s="27">
        <f>'1 Data'!I442</f>
        <v/>
      </c>
      <c r="F453" s="29">
        <f>RANK(D453,$D$23:$D$1022)</f>
        <v/>
      </c>
      <c r="G453" s="30">
        <f>COUNTIF($D$23:$D$1022,"&lt;"&amp;D453)+(COUNTIF($D$23:$D$1022,"="&amp;D453)+1)/2</f>
        <v/>
      </c>
    </row>
    <row r="454">
      <c r="B454" s="27">
        <f>'1 Data'!B443</f>
        <v/>
      </c>
      <c r="C454" s="28">
        <f>$C$12 + '1 Data'!C443*$C$13 + '1 Data'!D443*$C$14 + '1 Data'!E443*$C$15 + '1 Data'!F443*$C$16 + '1 Data'!G443*$C$17 + '1 Data'!H443*$C$18</f>
        <v/>
      </c>
      <c r="D454" s="23">
        <f>1/(1+EXP(-C454))</f>
        <v/>
      </c>
      <c r="E454" s="27">
        <f>'1 Data'!I443</f>
        <v/>
      </c>
      <c r="F454" s="29">
        <f>RANK(D454,$D$23:$D$1022)</f>
        <v/>
      </c>
      <c r="G454" s="30">
        <f>COUNTIF($D$23:$D$1022,"&lt;"&amp;D454)+(COUNTIF($D$23:$D$1022,"="&amp;D454)+1)/2</f>
        <v/>
      </c>
    </row>
    <row r="455">
      <c r="B455" s="27">
        <f>'1 Data'!B444</f>
        <v/>
      </c>
      <c r="C455" s="28">
        <f>$C$12 + '1 Data'!C444*$C$13 + '1 Data'!D444*$C$14 + '1 Data'!E444*$C$15 + '1 Data'!F444*$C$16 + '1 Data'!G444*$C$17 + '1 Data'!H444*$C$18</f>
        <v/>
      </c>
      <c r="D455" s="23">
        <f>1/(1+EXP(-C455))</f>
        <v/>
      </c>
      <c r="E455" s="27">
        <f>'1 Data'!I444</f>
        <v/>
      </c>
      <c r="F455" s="29">
        <f>RANK(D455,$D$23:$D$1022)</f>
        <v/>
      </c>
      <c r="G455" s="30">
        <f>COUNTIF($D$23:$D$1022,"&lt;"&amp;D455)+(COUNTIF($D$23:$D$1022,"="&amp;D455)+1)/2</f>
        <v/>
      </c>
    </row>
    <row r="456">
      <c r="B456" s="27">
        <f>'1 Data'!B445</f>
        <v/>
      </c>
      <c r="C456" s="28">
        <f>$C$12 + '1 Data'!C445*$C$13 + '1 Data'!D445*$C$14 + '1 Data'!E445*$C$15 + '1 Data'!F445*$C$16 + '1 Data'!G445*$C$17 + '1 Data'!H445*$C$18</f>
        <v/>
      </c>
      <c r="D456" s="23">
        <f>1/(1+EXP(-C456))</f>
        <v/>
      </c>
      <c r="E456" s="27">
        <f>'1 Data'!I445</f>
        <v/>
      </c>
      <c r="F456" s="29">
        <f>RANK(D456,$D$23:$D$1022)</f>
        <v/>
      </c>
      <c r="G456" s="30">
        <f>COUNTIF($D$23:$D$1022,"&lt;"&amp;D456)+(COUNTIF($D$23:$D$1022,"="&amp;D456)+1)/2</f>
        <v/>
      </c>
    </row>
    <row r="457">
      <c r="B457" s="27">
        <f>'1 Data'!B446</f>
        <v/>
      </c>
      <c r="C457" s="28">
        <f>$C$12 + '1 Data'!C446*$C$13 + '1 Data'!D446*$C$14 + '1 Data'!E446*$C$15 + '1 Data'!F446*$C$16 + '1 Data'!G446*$C$17 + '1 Data'!H446*$C$18</f>
        <v/>
      </c>
      <c r="D457" s="23">
        <f>1/(1+EXP(-C457))</f>
        <v/>
      </c>
      <c r="E457" s="27">
        <f>'1 Data'!I446</f>
        <v/>
      </c>
      <c r="F457" s="29">
        <f>RANK(D457,$D$23:$D$1022)</f>
        <v/>
      </c>
      <c r="G457" s="30">
        <f>COUNTIF($D$23:$D$1022,"&lt;"&amp;D457)+(COUNTIF($D$23:$D$1022,"="&amp;D457)+1)/2</f>
        <v/>
      </c>
    </row>
    <row r="458">
      <c r="B458" s="27">
        <f>'1 Data'!B447</f>
        <v/>
      </c>
      <c r="C458" s="28">
        <f>$C$12 + '1 Data'!C447*$C$13 + '1 Data'!D447*$C$14 + '1 Data'!E447*$C$15 + '1 Data'!F447*$C$16 + '1 Data'!G447*$C$17 + '1 Data'!H447*$C$18</f>
        <v/>
      </c>
      <c r="D458" s="23">
        <f>1/(1+EXP(-C458))</f>
        <v/>
      </c>
      <c r="E458" s="27">
        <f>'1 Data'!I447</f>
        <v/>
      </c>
      <c r="F458" s="29">
        <f>RANK(D458,$D$23:$D$1022)</f>
        <v/>
      </c>
      <c r="G458" s="30">
        <f>COUNTIF($D$23:$D$1022,"&lt;"&amp;D458)+(COUNTIF($D$23:$D$1022,"="&amp;D458)+1)/2</f>
        <v/>
      </c>
    </row>
    <row r="459">
      <c r="B459" s="27">
        <f>'1 Data'!B448</f>
        <v/>
      </c>
      <c r="C459" s="28">
        <f>$C$12 + '1 Data'!C448*$C$13 + '1 Data'!D448*$C$14 + '1 Data'!E448*$C$15 + '1 Data'!F448*$C$16 + '1 Data'!G448*$C$17 + '1 Data'!H448*$C$18</f>
        <v/>
      </c>
      <c r="D459" s="23">
        <f>1/(1+EXP(-C459))</f>
        <v/>
      </c>
      <c r="E459" s="27">
        <f>'1 Data'!I448</f>
        <v/>
      </c>
      <c r="F459" s="29">
        <f>RANK(D459,$D$23:$D$1022)</f>
        <v/>
      </c>
      <c r="G459" s="30">
        <f>COUNTIF($D$23:$D$1022,"&lt;"&amp;D459)+(COUNTIF($D$23:$D$1022,"="&amp;D459)+1)/2</f>
        <v/>
      </c>
    </row>
    <row r="460">
      <c r="B460" s="27">
        <f>'1 Data'!B449</f>
        <v/>
      </c>
      <c r="C460" s="28">
        <f>$C$12 + '1 Data'!C449*$C$13 + '1 Data'!D449*$C$14 + '1 Data'!E449*$C$15 + '1 Data'!F449*$C$16 + '1 Data'!G449*$C$17 + '1 Data'!H449*$C$18</f>
        <v/>
      </c>
      <c r="D460" s="23">
        <f>1/(1+EXP(-C460))</f>
        <v/>
      </c>
      <c r="E460" s="27">
        <f>'1 Data'!I449</f>
        <v/>
      </c>
      <c r="F460" s="29">
        <f>RANK(D460,$D$23:$D$1022)</f>
        <v/>
      </c>
      <c r="G460" s="30">
        <f>COUNTIF($D$23:$D$1022,"&lt;"&amp;D460)+(COUNTIF($D$23:$D$1022,"="&amp;D460)+1)/2</f>
        <v/>
      </c>
    </row>
    <row r="461">
      <c r="B461" s="27">
        <f>'1 Data'!B450</f>
        <v/>
      </c>
      <c r="C461" s="28">
        <f>$C$12 + '1 Data'!C450*$C$13 + '1 Data'!D450*$C$14 + '1 Data'!E450*$C$15 + '1 Data'!F450*$C$16 + '1 Data'!G450*$C$17 + '1 Data'!H450*$C$18</f>
        <v/>
      </c>
      <c r="D461" s="23">
        <f>1/(1+EXP(-C461))</f>
        <v/>
      </c>
      <c r="E461" s="27">
        <f>'1 Data'!I450</f>
        <v/>
      </c>
      <c r="F461" s="29">
        <f>RANK(D461,$D$23:$D$1022)</f>
        <v/>
      </c>
      <c r="G461" s="30">
        <f>COUNTIF($D$23:$D$1022,"&lt;"&amp;D461)+(COUNTIF($D$23:$D$1022,"="&amp;D461)+1)/2</f>
        <v/>
      </c>
    </row>
    <row r="462">
      <c r="B462" s="27">
        <f>'1 Data'!B451</f>
        <v/>
      </c>
      <c r="C462" s="28">
        <f>$C$12 + '1 Data'!C451*$C$13 + '1 Data'!D451*$C$14 + '1 Data'!E451*$C$15 + '1 Data'!F451*$C$16 + '1 Data'!G451*$C$17 + '1 Data'!H451*$C$18</f>
        <v/>
      </c>
      <c r="D462" s="23">
        <f>1/(1+EXP(-C462))</f>
        <v/>
      </c>
      <c r="E462" s="27">
        <f>'1 Data'!I451</f>
        <v/>
      </c>
      <c r="F462" s="29">
        <f>RANK(D462,$D$23:$D$1022)</f>
        <v/>
      </c>
      <c r="G462" s="30">
        <f>COUNTIF($D$23:$D$1022,"&lt;"&amp;D462)+(COUNTIF($D$23:$D$1022,"="&amp;D462)+1)/2</f>
        <v/>
      </c>
    </row>
    <row r="463">
      <c r="B463" s="27">
        <f>'1 Data'!B452</f>
        <v/>
      </c>
      <c r="C463" s="28">
        <f>$C$12 + '1 Data'!C452*$C$13 + '1 Data'!D452*$C$14 + '1 Data'!E452*$C$15 + '1 Data'!F452*$C$16 + '1 Data'!G452*$C$17 + '1 Data'!H452*$C$18</f>
        <v/>
      </c>
      <c r="D463" s="23">
        <f>1/(1+EXP(-C463))</f>
        <v/>
      </c>
      <c r="E463" s="27">
        <f>'1 Data'!I452</f>
        <v/>
      </c>
      <c r="F463" s="29">
        <f>RANK(D463,$D$23:$D$1022)</f>
        <v/>
      </c>
      <c r="G463" s="30">
        <f>COUNTIF($D$23:$D$1022,"&lt;"&amp;D463)+(COUNTIF($D$23:$D$1022,"="&amp;D463)+1)/2</f>
        <v/>
      </c>
    </row>
    <row r="464">
      <c r="B464" s="27">
        <f>'1 Data'!B453</f>
        <v/>
      </c>
      <c r="C464" s="28">
        <f>$C$12 + '1 Data'!C453*$C$13 + '1 Data'!D453*$C$14 + '1 Data'!E453*$C$15 + '1 Data'!F453*$C$16 + '1 Data'!G453*$C$17 + '1 Data'!H453*$C$18</f>
        <v/>
      </c>
      <c r="D464" s="23">
        <f>1/(1+EXP(-C464))</f>
        <v/>
      </c>
      <c r="E464" s="27">
        <f>'1 Data'!I453</f>
        <v/>
      </c>
      <c r="F464" s="29">
        <f>RANK(D464,$D$23:$D$1022)</f>
        <v/>
      </c>
      <c r="G464" s="30">
        <f>COUNTIF($D$23:$D$1022,"&lt;"&amp;D464)+(COUNTIF($D$23:$D$1022,"="&amp;D464)+1)/2</f>
        <v/>
      </c>
    </row>
    <row r="465">
      <c r="B465" s="27">
        <f>'1 Data'!B454</f>
        <v/>
      </c>
      <c r="C465" s="28">
        <f>$C$12 + '1 Data'!C454*$C$13 + '1 Data'!D454*$C$14 + '1 Data'!E454*$C$15 + '1 Data'!F454*$C$16 + '1 Data'!G454*$C$17 + '1 Data'!H454*$C$18</f>
        <v/>
      </c>
      <c r="D465" s="23">
        <f>1/(1+EXP(-C465))</f>
        <v/>
      </c>
      <c r="E465" s="27">
        <f>'1 Data'!I454</f>
        <v/>
      </c>
      <c r="F465" s="29">
        <f>RANK(D465,$D$23:$D$1022)</f>
        <v/>
      </c>
      <c r="G465" s="30">
        <f>COUNTIF($D$23:$D$1022,"&lt;"&amp;D465)+(COUNTIF($D$23:$D$1022,"="&amp;D465)+1)/2</f>
        <v/>
      </c>
    </row>
    <row r="466">
      <c r="B466" s="27">
        <f>'1 Data'!B455</f>
        <v/>
      </c>
      <c r="C466" s="28">
        <f>$C$12 + '1 Data'!C455*$C$13 + '1 Data'!D455*$C$14 + '1 Data'!E455*$C$15 + '1 Data'!F455*$C$16 + '1 Data'!G455*$C$17 + '1 Data'!H455*$C$18</f>
        <v/>
      </c>
      <c r="D466" s="23">
        <f>1/(1+EXP(-C466))</f>
        <v/>
      </c>
      <c r="E466" s="27">
        <f>'1 Data'!I455</f>
        <v/>
      </c>
      <c r="F466" s="29">
        <f>RANK(D466,$D$23:$D$1022)</f>
        <v/>
      </c>
      <c r="G466" s="30">
        <f>COUNTIF($D$23:$D$1022,"&lt;"&amp;D466)+(COUNTIF($D$23:$D$1022,"="&amp;D466)+1)/2</f>
        <v/>
      </c>
    </row>
    <row r="467">
      <c r="B467" s="27">
        <f>'1 Data'!B456</f>
        <v/>
      </c>
      <c r="C467" s="28">
        <f>$C$12 + '1 Data'!C456*$C$13 + '1 Data'!D456*$C$14 + '1 Data'!E456*$C$15 + '1 Data'!F456*$C$16 + '1 Data'!G456*$C$17 + '1 Data'!H456*$C$18</f>
        <v/>
      </c>
      <c r="D467" s="23">
        <f>1/(1+EXP(-C467))</f>
        <v/>
      </c>
      <c r="E467" s="27">
        <f>'1 Data'!I456</f>
        <v/>
      </c>
      <c r="F467" s="29">
        <f>RANK(D467,$D$23:$D$1022)</f>
        <v/>
      </c>
      <c r="G467" s="30">
        <f>COUNTIF($D$23:$D$1022,"&lt;"&amp;D467)+(COUNTIF($D$23:$D$1022,"="&amp;D467)+1)/2</f>
        <v/>
      </c>
    </row>
    <row r="468">
      <c r="B468" s="27">
        <f>'1 Data'!B457</f>
        <v/>
      </c>
      <c r="C468" s="28">
        <f>$C$12 + '1 Data'!C457*$C$13 + '1 Data'!D457*$C$14 + '1 Data'!E457*$C$15 + '1 Data'!F457*$C$16 + '1 Data'!G457*$C$17 + '1 Data'!H457*$C$18</f>
        <v/>
      </c>
      <c r="D468" s="23">
        <f>1/(1+EXP(-C468))</f>
        <v/>
      </c>
      <c r="E468" s="27">
        <f>'1 Data'!I457</f>
        <v/>
      </c>
      <c r="F468" s="29">
        <f>RANK(D468,$D$23:$D$1022)</f>
        <v/>
      </c>
      <c r="G468" s="30">
        <f>COUNTIF($D$23:$D$1022,"&lt;"&amp;D468)+(COUNTIF($D$23:$D$1022,"="&amp;D468)+1)/2</f>
        <v/>
      </c>
    </row>
    <row r="469">
      <c r="B469" s="27">
        <f>'1 Data'!B458</f>
        <v/>
      </c>
      <c r="C469" s="28">
        <f>$C$12 + '1 Data'!C458*$C$13 + '1 Data'!D458*$C$14 + '1 Data'!E458*$C$15 + '1 Data'!F458*$C$16 + '1 Data'!G458*$C$17 + '1 Data'!H458*$C$18</f>
        <v/>
      </c>
      <c r="D469" s="23">
        <f>1/(1+EXP(-C469))</f>
        <v/>
      </c>
      <c r="E469" s="27">
        <f>'1 Data'!I458</f>
        <v/>
      </c>
      <c r="F469" s="29">
        <f>RANK(D469,$D$23:$D$1022)</f>
        <v/>
      </c>
      <c r="G469" s="30">
        <f>COUNTIF($D$23:$D$1022,"&lt;"&amp;D469)+(COUNTIF($D$23:$D$1022,"="&amp;D469)+1)/2</f>
        <v/>
      </c>
    </row>
    <row r="470">
      <c r="B470" s="27">
        <f>'1 Data'!B459</f>
        <v/>
      </c>
      <c r="C470" s="28">
        <f>$C$12 + '1 Data'!C459*$C$13 + '1 Data'!D459*$C$14 + '1 Data'!E459*$C$15 + '1 Data'!F459*$C$16 + '1 Data'!G459*$C$17 + '1 Data'!H459*$C$18</f>
        <v/>
      </c>
      <c r="D470" s="23">
        <f>1/(1+EXP(-C470))</f>
        <v/>
      </c>
      <c r="E470" s="27">
        <f>'1 Data'!I459</f>
        <v/>
      </c>
      <c r="F470" s="29">
        <f>RANK(D470,$D$23:$D$1022)</f>
        <v/>
      </c>
      <c r="G470" s="30">
        <f>COUNTIF($D$23:$D$1022,"&lt;"&amp;D470)+(COUNTIF($D$23:$D$1022,"="&amp;D470)+1)/2</f>
        <v/>
      </c>
    </row>
    <row r="471">
      <c r="B471" s="27">
        <f>'1 Data'!B460</f>
        <v/>
      </c>
      <c r="C471" s="28">
        <f>$C$12 + '1 Data'!C460*$C$13 + '1 Data'!D460*$C$14 + '1 Data'!E460*$C$15 + '1 Data'!F460*$C$16 + '1 Data'!G460*$C$17 + '1 Data'!H460*$C$18</f>
        <v/>
      </c>
      <c r="D471" s="23">
        <f>1/(1+EXP(-C471))</f>
        <v/>
      </c>
      <c r="E471" s="27">
        <f>'1 Data'!I460</f>
        <v/>
      </c>
      <c r="F471" s="29">
        <f>RANK(D471,$D$23:$D$1022)</f>
        <v/>
      </c>
      <c r="G471" s="30">
        <f>COUNTIF($D$23:$D$1022,"&lt;"&amp;D471)+(COUNTIF($D$23:$D$1022,"="&amp;D471)+1)/2</f>
        <v/>
      </c>
    </row>
    <row r="472">
      <c r="B472" s="27">
        <f>'1 Data'!B461</f>
        <v/>
      </c>
      <c r="C472" s="28">
        <f>$C$12 + '1 Data'!C461*$C$13 + '1 Data'!D461*$C$14 + '1 Data'!E461*$C$15 + '1 Data'!F461*$C$16 + '1 Data'!G461*$C$17 + '1 Data'!H461*$C$18</f>
        <v/>
      </c>
      <c r="D472" s="23">
        <f>1/(1+EXP(-C472))</f>
        <v/>
      </c>
      <c r="E472" s="27">
        <f>'1 Data'!I461</f>
        <v/>
      </c>
      <c r="F472" s="29">
        <f>RANK(D472,$D$23:$D$1022)</f>
        <v/>
      </c>
      <c r="G472" s="30">
        <f>COUNTIF($D$23:$D$1022,"&lt;"&amp;D472)+(COUNTIF($D$23:$D$1022,"="&amp;D472)+1)/2</f>
        <v/>
      </c>
    </row>
    <row r="473">
      <c r="B473" s="27">
        <f>'1 Data'!B462</f>
        <v/>
      </c>
      <c r="C473" s="28">
        <f>$C$12 + '1 Data'!C462*$C$13 + '1 Data'!D462*$C$14 + '1 Data'!E462*$C$15 + '1 Data'!F462*$C$16 + '1 Data'!G462*$C$17 + '1 Data'!H462*$C$18</f>
        <v/>
      </c>
      <c r="D473" s="23">
        <f>1/(1+EXP(-C473))</f>
        <v/>
      </c>
      <c r="E473" s="27">
        <f>'1 Data'!I462</f>
        <v/>
      </c>
      <c r="F473" s="29">
        <f>RANK(D473,$D$23:$D$1022)</f>
        <v/>
      </c>
      <c r="G473" s="30">
        <f>COUNTIF($D$23:$D$1022,"&lt;"&amp;D473)+(COUNTIF($D$23:$D$1022,"="&amp;D473)+1)/2</f>
        <v/>
      </c>
    </row>
    <row r="474">
      <c r="B474" s="27">
        <f>'1 Data'!B463</f>
        <v/>
      </c>
      <c r="C474" s="28">
        <f>$C$12 + '1 Data'!C463*$C$13 + '1 Data'!D463*$C$14 + '1 Data'!E463*$C$15 + '1 Data'!F463*$C$16 + '1 Data'!G463*$C$17 + '1 Data'!H463*$C$18</f>
        <v/>
      </c>
      <c r="D474" s="23">
        <f>1/(1+EXP(-C474))</f>
        <v/>
      </c>
      <c r="E474" s="27">
        <f>'1 Data'!I463</f>
        <v/>
      </c>
      <c r="F474" s="29">
        <f>RANK(D474,$D$23:$D$1022)</f>
        <v/>
      </c>
      <c r="G474" s="30">
        <f>COUNTIF($D$23:$D$1022,"&lt;"&amp;D474)+(COUNTIF($D$23:$D$1022,"="&amp;D474)+1)/2</f>
        <v/>
      </c>
    </row>
    <row r="475">
      <c r="B475" s="27">
        <f>'1 Data'!B464</f>
        <v/>
      </c>
      <c r="C475" s="28">
        <f>$C$12 + '1 Data'!C464*$C$13 + '1 Data'!D464*$C$14 + '1 Data'!E464*$C$15 + '1 Data'!F464*$C$16 + '1 Data'!G464*$C$17 + '1 Data'!H464*$C$18</f>
        <v/>
      </c>
      <c r="D475" s="23">
        <f>1/(1+EXP(-C475))</f>
        <v/>
      </c>
      <c r="E475" s="27">
        <f>'1 Data'!I464</f>
        <v/>
      </c>
      <c r="F475" s="29">
        <f>RANK(D475,$D$23:$D$1022)</f>
        <v/>
      </c>
      <c r="G475" s="30">
        <f>COUNTIF($D$23:$D$1022,"&lt;"&amp;D475)+(COUNTIF($D$23:$D$1022,"="&amp;D475)+1)/2</f>
        <v/>
      </c>
    </row>
    <row r="476">
      <c r="B476" s="27">
        <f>'1 Data'!B465</f>
        <v/>
      </c>
      <c r="C476" s="28">
        <f>$C$12 + '1 Data'!C465*$C$13 + '1 Data'!D465*$C$14 + '1 Data'!E465*$C$15 + '1 Data'!F465*$C$16 + '1 Data'!G465*$C$17 + '1 Data'!H465*$C$18</f>
        <v/>
      </c>
      <c r="D476" s="23">
        <f>1/(1+EXP(-C476))</f>
        <v/>
      </c>
      <c r="E476" s="27">
        <f>'1 Data'!I465</f>
        <v/>
      </c>
      <c r="F476" s="29">
        <f>RANK(D476,$D$23:$D$1022)</f>
        <v/>
      </c>
      <c r="G476" s="30">
        <f>COUNTIF($D$23:$D$1022,"&lt;"&amp;D476)+(COUNTIF($D$23:$D$1022,"="&amp;D476)+1)/2</f>
        <v/>
      </c>
    </row>
    <row r="477">
      <c r="B477" s="27">
        <f>'1 Data'!B466</f>
        <v/>
      </c>
      <c r="C477" s="28">
        <f>$C$12 + '1 Data'!C466*$C$13 + '1 Data'!D466*$C$14 + '1 Data'!E466*$C$15 + '1 Data'!F466*$C$16 + '1 Data'!G466*$C$17 + '1 Data'!H466*$C$18</f>
        <v/>
      </c>
      <c r="D477" s="23">
        <f>1/(1+EXP(-C477))</f>
        <v/>
      </c>
      <c r="E477" s="27">
        <f>'1 Data'!I466</f>
        <v/>
      </c>
      <c r="F477" s="29">
        <f>RANK(D477,$D$23:$D$1022)</f>
        <v/>
      </c>
      <c r="G477" s="30">
        <f>COUNTIF($D$23:$D$1022,"&lt;"&amp;D477)+(COUNTIF($D$23:$D$1022,"="&amp;D477)+1)/2</f>
        <v/>
      </c>
    </row>
    <row r="478">
      <c r="B478" s="27">
        <f>'1 Data'!B467</f>
        <v/>
      </c>
      <c r="C478" s="28">
        <f>$C$12 + '1 Data'!C467*$C$13 + '1 Data'!D467*$C$14 + '1 Data'!E467*$C$15 + '1 Data'!F467*$C$16 + '1 Data'!G467*$C$17 + '1 Data'!H467*$C$18</f>
        <v/>
      </c>
      <c r="D478" s="23">
        <f>1/(1+EXP(-C478))</f>
        <v/>
      </c>
      <c r="E478" s="27">
        <f>'1 Data'!I467</f>
        <v/>
      </c>
      <c r="F478" s="29">
        <f>RANK(D478,$D$23:$D$1022)</f>
        <v/>
      </c>
      <c r="G478" s="30">
        <f>COUNTIF($D$23:$D$1022,"&lt;"&amp;D478)+(COUNTIF($D$23:$D$1022,"="&amp;D478)+1)/2</f>
        <v/>
      </c>
    </row>
    <row r="479">
      <c r="B479" s="27">
        <f>'1 Data'!B468</f>
        <v/>
      </c>
      <c r="C479" s="28">
        <f>$C$12 + '1 Data'!C468*$C$13 + '1 Data'!D468*$C$14 + '1 Data'!E468*$C$15 + '1 Data'!F468*$C$16 + '1 Data'!G468*$C$17 + '1 Data'!H468*$C$18</f>
        <v/>
      </c>
      <c r="D479" s="23">
        <f>1/(1+EXP(-C479))</f>
        <v/>
      </c>
      <c r="E479" s="27">
        <f>'1 Data'!I468</f>
        <v/>
      </c>
      <c r="F479" s="29">
        <f>RANK(D479,$D$23:$D$1022)</f>
        <v/>
      </c>
      <c r="G479" s="30">
        <f>COUNTIF($D$23:$D$1022,"&lt;"&amp;D479)+(COUNTIF($D$23:$D$1022,"="&amp;D479)+1)/2</f>
        <v/>
      </c>
    </row>
    <row r="480">
      <c r="B480" s="27">
        <f>'1 Data'!B469</f>
        <v/>
      </c>
      <c r="C480" s="28">
        <f>$C$12 + '1 Data'!C469*$C$13 + '1 Data'!D469*$C$14 + '1 Data'!E469*$C$15 + '1 Data'!F469*$C$16 + '1 Data'!G469*$C$17 + '1 Data'!H469*$C$18</f>
        <v/>
      </c>
      <c r="D480" s="23">
        <f>1/(1+EXP(-C480))</f>
        <v/>
      </c>
      <c r="E480" s="27">
        <f>'1 Data'!I469</f>
        <v/>
      </c>
      <c r="F480" s="29">
        <f>RANK(D480,$D$23:$D$1022)</f>
        <v/>
      </c>
      <c r="G480" s="30">
        <f>COUNTIF($D$23:$D$1022,"&lt;"&amp;D480)+(COUNTIF($D$23:$D$1022,"="&amp;D480)+1)/2</f>
        <v/>
      </c>
    </row>
    <row r="481">
      <c r="B481" s="27">
        <f>'1 Data'!B470</f>
        <v/>
      </c>
      <c r="C481" s="28">
        <f>$C$12 + '1 Data'!C470*$C$13 + '1 Data'!D470*$C$14 + '1 Data'!E470*$C$15 + '1 Data'!F470*$C$16 + '1 Data'!G470*$C$17 + '1 Data'!H470*$C$18</f>
        <v/>
      </c>
      <c r="D481" s="23">
        <f>1/(1+EXP(-C481))</f>
        <v/>
      </c>
      <c r="E481" s="27">
        <f>'1 Data'!I470</f>
        <v/>
      </c>
      <c r="F481" s="29">
        <f>RANK(D481,$D$23:$D$1022)</f>
        <v/>
      </c>
      <c r="G481" s="30">
        <f>COUNTIF($D$23:$D$1022,"&lt;"&amp;D481)+(COUNTIF($D$23:$D$1022,"="&amp;D481)+1)/2</f>
        <v/>
      </c>
    </row>
    <row r="482">
      <c r="B482" s="27">
        <f>'1 Data'!B471</f>
        <v/>
      </c>
      <c r="C482" s="28">
        <f>$C$12 + '1 Data'!C471*$C$13 + '1 Data'!D471*$C$14 + '1 Data'!E471*$C$15 + '1 Data'!F471*$C$16 + '1 Data'!G471*$C$17 + '1 Data'!H471*$C$18</f>
        <v/>
      </c>
      <c r="D482" s="23">
        <f>1/(1+EXP(-C482))</f>
        <v/>
      </c>
      <c r="E482" s="27">
        <f>'1 Data'!I471</f>
        <v/>
      </c>
      <c r="F482" s="29">
        <f>RANK(D482,$D$23:$D$1022)</f>
        <v/>
      </c>
      <c r="G482" s="30">
        <f>COUNTIF($D$23:$D$1022,"&lt;"&amp;D482)+(COUNTIF($D$23:$D$1022,"="&amp;D482)+1)/2</f>
        <v/>
      </c>
    </row>
    <row r="483">
      <c r="B483" s="27">
        <f>'1 Data'!B472</f>
        <v/>
      </c>
      <c r="C483" s="28">
        <f>$C$12 + '1 Data'!C472*$C$13 + '1 Data'!D472*$C$14 + '1 Data'!E472*$C$15 + '1 Data'!F472*$C$16 + '1 Data'!G472*$C$17 + '1 Data'!H472*$C$18</f>
        <v/>
      </c>
      <c r="D483" s="23">
        <f>1/(1+EXP(-C483))</f>
        <v/>
      </c>
      <c r="E483" s="27">
        <f>'1 Data'!I472</f>
        <v/>
      </c>
      <c r="F483" s="29">
        <f>RANK(D483,$D$23:$D$1022)</f>
        <v/>
      </c>
      <c r="G483" s="30">
        <f>COUNTIF($D$23:$D$1022,"&lt;"&amp;D483)+(COUNTIF($D$23:$D$1022,"="&amp;D483)+1)/2</f>
        <v/>
      </c>
    </row>
    <row r="484">
      <c r="B484" s="27">
        <f>'1 Data'!B473</f>
        <v/>
      </c>
      <c r="C484" s="28">
        <f>$C$12 + '1 Data'!C473*$C$13 + '1 Data'!D473*$C$14 + '1 Data'!E473*$C$15 + '1 Data'!F473*$C$16 + '1 Data'!G473*$C$17 + '1 Data'!H473*$C$18</f>
        <v/>
      </c>
      <c r="D484" s="23">
        <f>1/(1+EXP(-C484))</f>
        <v/>
      </c>
      <c r="E484" s="27">
        <f>'1 Data'!I473</f>
        <v/>
      </c>
      <c r="F484" s="29">
        <f>RANK(D484,$D$23:$D$1022)</f>
        <v/>
      </c>
      <c r="G484" s="30">
        <f>COUNTIF($D$23:$D$1022,"&lt;"&amp;D484)+(COUNTIF($D$23:$D$1022,"="&amp;D484)+1)/2</f>
        <v/>
      </c>
    </row>
    <row r="485">
      <c r="B485" s="27">
        <f>'1 Data'!B474</f>
        <v/>
      </c>
      <c r="C485" s="28">
        <f>$C$12 + '1 Data'!C474*$C$13 + '1 Data'!D474*$C$14 + '1 Data'!E474*$C$15 + '1 Data'!F474*$C$16 + '1 Data'!G474*$C$17 + '1 Data'!H474*$C$18</f>
        <v/>
      </c>
      <c r="D485" s="23">
        <f>1/(1+EXP(-C485))</f>
        <v/>
      </c>
      <c r="E485" s="27">
        <f>'1 Data'!I474</f>
        <v/>
      </c>
      <c r="F485" s="29">
        <f>RANK(D485,$D$23:$D$1022)</f>
        <v/>
      </c>
      <c r="G485" s="30">
        <f>COUNTIF($D$23:$D$1022,"&lt;"&amp;D485)+(COUNTIF($D$23:$D$1022,"="&amp;D485)+1)/2</f>
        <v/>
      </c>
    </row>
    <row r="486">
      <c r="B486" s="27">
        <f>'1 Data'!B475</f>
        <v/>
      </c>
      <c r="C486" s="28">
        <f>$C$12 + '1 Data'!C475*$C$13 + '1 Data'!D475*$C$14 + '1 Data'!E475*$C$15 + '1 Data'!F475*$C$16 + '1 Data'!G475*$C$17 + '1 Data'!H475*$C$18</f>
        <v/>
      </c>
      <c r="D486" s="23">
        <f>1/(1+EXP(-C486))</f>
        <v/>
      </c>
      <c r="E486" s="27">
        <f>'1 Data'!I475</f>
        <v/>
      </c>
      <c r="F486" s="29">
        <f>RANK(D486,$D$23:$D$1022)</f>
        <v/>
      </c>
      <c r="G486" s="30">
        <f>COUNTIF($D$23:$D$1022,"&lt;"&amp;D486)+(COUNTIF($D$23:$D$1022,"="&amp;D486)+1)/2</f>
        <v/>
      </c>
    </row>
    <row r="487">
      <c r="B487" s="27">
        <f>'1 Data'!B476</f>
        <v/>
      </c>
      <c r="C487" s="28">
        <f>$C$12 + '1 Data'!C476*$C$13 + '1 Data'!D476*$C$14 + '1 Data'!E476*$C$15 + '1 Data'!F476*$C$16 + '1 Data'!G476*$C$17 + '1 Data'!H476*$C$18</f>
        <v/>
      </c>
      <c r="D487" s="23">
        <f>1/(1+EXP(-C487))</f>
        <v/>
      </c>
      <c r="E487" s="27">
        <f>'1 Data'!I476</f>
        <v/>
      </c>
      <c r="F487" s="29">
        <f>RANK(D487,$D$23:$D$1022)</f>
        <v/>
      </c>
      <c r="G487" s="30">
        <f>COUNTIF($D$23:$D$1022,"&lt;"&amp;D487)+(COUNTIF($D$23:$D$1022,"="&amp;D487)+1)/2</f>
        <v/>
      </c>
    </row>
    <row r="488">
      <c r="B488" s="27">
        <f>'1 Data'!B477</f>
        <v/>
      </c>
      <c r="C488" s="28">
        <f>$C$12 + '1 Data'!C477*$C$13 + '1 Data'!D477*$C$14 + '1 Data'!E477*$C$15 + '1 Data'!F477*$C$16 + '1 Data'!G477*$C$17 + '1 Data'!H477*$C$18</f>
        <v/>
      </c>
      <c r="D488" s="23">
        <f>1/(1+EXP(-C488))</f>
        <v/>
      </c>
      <c r="E488" s="27">
        <f>'1 Data'!I477</f>
        <v/>
      </c>
      <c r="F488" s="29">
        <f>RANK(D488,$D$23:$D$1022)</f>
        <v/>
      </c>
      <c r="G488" s="30">
        <f>COUNTIF($D$23:$D$1022,"&lt;"&amp;D488)+(COUNTIF($D$23:$D$1022,"="&amp;D488)+1)/2</f>
        <v/>
      </c>
    </row>
    <row r="489">
      <c r="B489" s="27">
        <f>'1 Data'!B478</f>
        <v/>
      </c>
      <c r="C489" s="28">
        <f>$C$12 + '1 Data'!C478*$C$13 + '1 Data'!D478*$C$14 + '1 Data'!E478*$C$15 + '1 Data'!F478*$C$16 + '1 Data'!G478*$C$17 + '1 Data'!H478*$C$18</f>
        <v/>
      </c>
      <c r="D489" s="23">
        <f>1/(1+EXP(-C489))</f>
        <v/>
      </c>
      <c r="E489" s="27">
        <f>'1 Data'!I478</f>
        <v/>
      </c>
      <c r="F489" s="29">
        <f>RANK(D489,$D$23:$D$1022)</f>
        <v/>
      </c>
      <c r="G489" s="30">
        <f>COUNTIF($D$23:$D$1022,"&lt;"&amp;D489)+(COUNTIF($D$23:$D$1022,"="&amp;D489)+1)/2</f>
        <v/>
      </c>
    </row>
    <row r="490">
      <c r="B490" s="27">
        <f>'1 Data'!B479</f>
        <v/>
      </c>
      <c r="C490" s="28">
        <f>$C$12 + '1 Data'!C479*$C$13 + '1 Data'!D479*$C$14 + '1 Data'!E479*$C$15 + '1 Data'!F479*$C$16 + '1 Data'!G479*$C$17 + '1 Data'!H479*$C$18</f>
        <v/>
      </c>
      <c r="D490" s="23">
        <f>1/(1+EXP(-C490))</f>
        <v/>
      </c>
      <c r="E490" s="27">
        <f>'1 Data'!I479</f>
        <v/>
      </c>
      <c r="F490" s="29">
        <f>RANK(D490,$D$23:$D$1022)</f>
        <v/>
      </c>
      <c r="G490" s="30">
        <f>COUNTIF($D$23:$D$1022,"&lt;"&amp;D490)+(COUNTIF($D$23:$D$1022,"="&amp;D490)+1)/2</f>
        <v/>
      </c>
    </row>
    <row r="491">
      <c r="B491" s="27">
        <f>'1 Data'!B480</f>
        <v/>
      </c>
      <c r="C491" s="28">
        <f>$C$12 + '1 Data'!C480*$C$13 + '1 Data'!D480*$C$14 + '1 Data'!E480*$C$15 + '1 Data'!F480*$C$16 + '1 Data'!G480*$C$17 + '1 Data'!H480*$C$18</f>
        <v/>
      </c>
      <c r="D491" s="23">
        <f>1/(1+EXP(-C491))</f>
        <v/>
      </c>
      <c r="E491" s="27">
        <f>'1 Data'!I480</f>
        <v/>
      </c>
      <c r="F491" s="29">
        <f>RANK(D491,$D$23:$D$1022)</f>
        <v/>
      </c>
      <c r="G491" s="30">
        <f>COUNTIF($D$23:$D$1022,"&lt;"&amp;D491)+(COUNTIF($D$23:$D$1022,"="&amp;D491)+1)/2</f>
        <v/>
      </c>
    </row>
    <row r="492">
      <c r="B492" s="27">
        <f>'1 Data'!B481</f>
        <v/>
      </c>
      <c r="C492" s="28">
        <f>$C$12 + '1 Data'!C481*$C$13 + '1 Data'!D481*$C$14 + '1 Data'!E481*$C$15 + '1 Data'!F481*$C$16 + '1 Data'!G481*$C$17 + '1 Data'!H481*$C$18</f>
        <v/>
      </c>
      <c r="D492" s="23">
        <f>1/(1+EXP(-C492))</f>
        <v/>
      </c>
      <c r="E492" s="27">
        <f>'1 Data'!I481</f>
        <v/>
      </c>
      <c r="F492" s="29">
        <f>RANK(D492,$D$23:$D$1022)</f>
        <v/>
      </c>
      <c r="G492" s="30">
        <f>COUNTIF($D$23:$D$1022,"&lt;"&amp;D492)+(COUNTIF($D$23:$D$1022,"="&amp;D492)+1)/2</f>
        <v/>
      </c>
    </row>
    <row r="493">
      <c r="B493" s="27">
        <f>'1 Data'!B482</f>
        <v/>
      </c>
      <c r="C493" s="28">
        <f>$C$12 + '1 Data'!C482*$C$13 + '1 Data'!D482*$C$14 + '1 Data'!E482*$C$15 + '1 Data'!F482*$C$16 + '1 Data'!G482*$C$17 + '1 Data'!H482*$C$18</f>
        <v/>
      </c>
      <c r="D493" s="23">
        <f>1/(1+EXP(-C493))</f>
        <v/>
      </c>
      <c r="E493" s="27">
        <f>'1 Data'!I482</f>
        <v/>
      </c>
      <c r="F493" s="29">
        <f>RANK(D493,$D$23:$D$1022)</f>
        <v/>
      </c>
      <c r="G493" s="30">
        <f>COUNTIF($D$23:$D$1022,"&lt;"&amp;D493)+(COUNTIF($D$23:$D$1022,"="&amp;D493)+1)/2</f>
        <v/>
      </c>
    </row>
    <row r="494">
      <c r="B494" s="27">
        <f>'1 Data'!B483</f>
        <v/>
      </c>
      <c r="C494" s="28">
        <f>$C$12 + '1 Data'!C483*$C$13 + '1 Data'!D483*$C$14 + '1 Data'!E483*$C$15 + '1 Data'!F483*$C$16 + '1 Data'!G483*$C$17 + '1 Data'!H483*$C$18</f>
        <v/>
      </c>
      <c r="D494" s="23">
        <f>1/(1+EXP(-C494))</f>
        <v/>
      </c>
      <c r="E494" s="27">
        <f>'1 Data'!I483</f>
        <v/>
      </c>
      <c r="F494" s="29">
        <f>RANK(D494,$D$23:$D$1022)</f>
        <v/>
      </c>
      <c r="G494" s="30">
        <f>COUNTIF($D$23:$D$1022,"&lt;"&amp;D494)+(COUNTIF($D$23:$D$1022,"="&amp;D494)+1)/2</f>
        <v/>
      </c>
    </row>
    <row r="495">
      <c r="B495" s="27">
        <f>'1 Data'!B484</f>
        <v/>
      </c>
      <c r="C495" s="28">
        <f>$C$12 + '1 Data'!C484*$C$13 + '1 Data'!D484*$C$14 + '1 Data'!E484*$C$15 + '1 Data'!F484*$C$16 + '1 Data'!G484*$C$17 + '1 Data'!H484*$C$18</f>
        <v/>
      </c>
      <c r="D495" s="23">
        <f>1/(1+EXP(-C495))</f>
        <v/>
      </c>
      <c r="E495" s="27">
        <f>'1 Data'!I484</f>
        <v/>
      </c>
      <c r="F495" s="29">
        <f>RANK(D495,$D$23:$D$1022)</f>
        <v/>
      </c>
      <c r="G495" s="30">
        <f>COUNTIF($D$23:$D$1022,"&lt;"&amp;D495)+(COUNTIF($D$23:$D$1022,"="&amp;D495)+1)/2</f>
        <v/>
      </c>
    </row>
    <row r="496">
      <c r="B496" s="27">
        <f>'1 Data'!B485</f>
        <v/>
      </c>
      <c r="C496" s="28">
        <f>$C$12 + '1 Data'!C485*$C$13 + '1 Data'!D485*$C$14 + '1 Data'!E485*$C$15 + '1 Data'!F485*$C$16 + '1 Data'!G485*$C$17 + '1 Data'!H485*$C$18</f>
        <v/>
      </c>
      <c r="D496" s="23">
        <f>1/(1+EXP(-C496))</f>
        <v/>
      </c>
      <c r="E496" s="27">
        <f>'1 Data'!I485</f>
        <v/>
      </c>
      <c r="F496" s="29">
        <f>RANK(D496,$D$23:$D$1022)</f>
        <v/>
      </c>
      <c r="G496" s="30">
        <f>COUNTIF($D$23:$D$1022,"&lt;"&amp;D496)+(COUNTIF($D$23:$D$1022,"="&amp;D496)+1)/2</f>
        <v/>
      </c>
    </row>
    <row r="497">
      <c r="B497" s="27">
        <f>'1 Data'!B486</f>
        <v/>
      </c>
      <c r="C497" s="28">
        <f>$C$12 + '1 Data'!C486*$C$13 + '1 Data'!D486*$C$14 + '1 Data'!E486*$C$15 + '1 Data'!F486*$C$16 + '1 Data'!G486*$C$17 + '1 Data'!H486*$C$18</f>
        <v/>
      </c>
      <c r="D497" s="23">
        <f>1/(1+EXP(-C497))</f>
        <v/>
      </c>
      <c r="E497" s="27">
        <f>'1 Data'!I486</f>
        <v/>
      </c>
      <c r="F497" s="29">
        <f>RANK(D497,$D$23:$D$1022)</f>
        <v/>
      </c>
      <c r="G497" s="30">
        <f>COUNTIF($D$23:$D$1022,"&lt;"&amp;D497)+(COUNTIF($D$23:$D$1022,"="&amp;D497)+1)/2</f>
        <v/>
      </c>
    </row>
    <row r="498">
      <c r="B498" s="27">
        <f>'1 Data'!B487</f>
        <v/>
      </c>
      <c r="C498" s="28">
        <f>$C$12 + '1 Data'!C487*$C$13 + '1 Data'!D487*$C$14 + '1 Data'!E487*$C$15 + '1 Data'!F487*$C$16 + '1 Data'!G487*$C$17 + '1 Data'!H487*$C$18</f>
        <v/>
      </c>
      <c r="D498" s="23">
        <f>1/(1+EXP(-C498))</f>
        <v/>
      </c>
      <c r="E498" s="27">
        <f>'1 Data'!I487</f>
        <v/>
      </c>
      <c r="F498" s="29">
        <f>RANK(D498,$D$23:$D$1022)</f>
        <v/>
      </c>
      <c r="G498" s="30">
        <f>COUNTIF($D$23:$D$1022,"&lt;"&amp;D498)+(COUNTIF($D$23:$D$1022,"="&amp;D498)+1)/2</f>
        <v/>
      </c>
    </row>
    <row r="499">
      <c r="B499" s="27">
        <f>'1 Data'!B488</f>
        <v/>
      </c>
      <c r="C499" s="28">
        <f>$C$12 + '1 Data'!C488*$C$13 + '1 Data'!D488*$C$14 + '1 Data'!E488*$C$15 + '1 Data'!F488*$C$16 + '1 Data'!G488*$C$17 + '1 Data'!H488*$C$18</f>
        <v/>
      </c>
      <c r="D499" s="23">
        <f>1/(1+EXP(-C499))</f>
        <v/>
      </c>
      <c r="E499" s="27">
        <f>'1 Data'!I488</f>
        <v/>
      </c>
      <c r="F499" s="29">
        <f>RANK(D499,$D$23:$D$1022)</f>
        <v/>
      </c>
      <c r="G499" s="30">
        <f>COUNTIF($D$23:$D$1022,"&lt;"&amp;D499)+(COUNTIF($D$23:$D$1022,"="&amp;D499)+1)/2</f>
        <v/>
      </c>
    </row>
    <row r="500">
      <c r="B500" s="27">
        <f>'1 Data'!B489</f>
        <v/>
      </c>
      <c r="C500" s="28">
        <f>$C$12 + '1 Data'!C489*$C$13 + '1 Data'!D489*$C$14 + '1 Data'!E489*$C$15 + '1 Data'!F489*$C$16 + '1 Data'!G489*$C$17 + '1 Data'!H489*$C$18</f>
        <v/>
      </c>
      <c r="D500" s="23">
        <f>1/(1+EXP(-C500))</f>
        <v/>
      </c>
      <c r="E500" s="27">
        <f>'1 Data'!I489</f>
        <v/>
      </c>
      <c r="F500" s="29">
        <f>RANK(D500,$D$23:$D$1022)</f>
        <v/>
      </c>
      <c r="G500" s="30">
        <f>COUNTIF($D$23:$D$1022,"&lt;"&amp;D500)+(COUNTIF($D$23:$D$1022,"="&amp;D500)+1)/2</f>
        <v/>
      </c>
    </row>
    <row r="501">
      <c r="B501" s="27">
        <f>'1 Data'!B490</f>
        <v/>
      </c>
      <c r="C501" s="28">
        <f>$C$12 + '1 Data'!C490*$C$13 + '1 Data'!D490*$C$14 + '1 Data'!E490*$C$15 + '1 Data'!F490*$C$16 + '1 Data'!G490*$C$17 + '1 Data'!H490*$C$18</f>
        <v/>
      </c>
      <c r="D501" s="23">
        <f>1/(1+EXP(-C501))</f>
        <v/>
      </c>
      <c r="E501" s="27">
        <f>'1 Data'!I490</f>
        <v/>
      </c>
      <c r="F501" s="29">
        <f>RANK(D501,$D$23:$D$1022)</f>
        <v/>
      </c>
      <c r="G501" s="30">
        <f>COUNTIF($D$23:$D$1022,"&lt;"&amp;D501)+(COUNTIF($D$23:$D$1022,"="&amp;D501)+1)/2</f>
        <v/>
      </c>
    </row>
    <row r="502">
      <c r="B502" s="27">
        <f>'1 Data'!B491</f>
        <v/>
      </c>
      <c r="C502" s="28">
        <f>$C$12 + '1 Data'!C491*$C$13 + '1 Data'!D491*$C$14 + '1 Data'!E491*$C$15 + '1 Data'!F491*$C$16 + '1 Data'!G491*$C$17 + '1 Data'!H491*$C$18</f>
        <v/>
      </c>
      <c r="D502" s="23">
        <f>1/(1+EXP(-C502))</f>
        <v/>
      </c>
      <c r="E502" s="27">
        <f>'1 Data'!I491</f>
        <v/>
      </c>
      <c r="F502" s="29">
        <f>RANK(D502,$D$23:$D$1022)</f>
        <v/>
      </c>
      <c r="G502" s="30">
        <f>COUNTIF($D$23:$D$1022,"&lt;"&amp;D502)+(COUNTIF($D$23:$D$1022,"="&amp;D502)+1)/2</f>
        <v/>
      </c>
    </row>
    <row r="503">
      <c r="B503" s="27">
        <f>'1 Data'!B492</f>
        <v/>
      </c>
      <c r="C503" s="28">
        <f>$C$12 + '1 Data'!C492*$C$13 + '1 Data'!D492*$C$14 + '1 Data'!E492*$C$15 + '1 Data'!F492*$C$16 + '1 Data'!G492*$C$17 + '1 Data'!H492*$C$18</f>
        <v/>
      </c>
      <c r="D503" s="23">
        <f>1/(1+EXP(-C503))</f>
        <v/>
      </c>
      <c r="E503" s="27">
        <f>'1 Data'!I492</f>
        <v/>
      </c>
      <c r="F503" s="29">
        <f>RANK(D503,$D$23:$D$1022)</f>
        <v/>
      </c>
      <c r="G503" s="30">
        <f>COUNTIF($D$23:$D$1022,"&lt;"&amp;D503)+(COUNTIF($D$23:$D$1022,"="&amp;D503)+1)/2</f>
        <v/>
      </c>
    </row>
    <row r="504">
      <c r="B504" s="27">
        <f>'1 Data'!B493</f>
        <v/>
      </c>
      <c r="C504" s="28">
        <f>$C$12 + '1 Data'!C493*$C$13 + '1 Data'!D493*$C$14 + '1 Data'!E493*$C$15 + '1 Data'!F493*$C$16 + '1 Data'!G493*$C$17 + '1 Data'!H493*$C$18</f>
        <v/>
      </c>
      <c r="D504" s="23">
        <f>1/(1+EXP(-C504))</f>
        <v/>
      </c>
      <c r="E504" s="27">
        <f>'1 Data'!I493</f>
        <v/>
      </c>
      <c r="F504" s="29">
        <f>RANK(D504,$D$23:$D$1022)</f>
        <v/>
      </c>
      <c r="G504" s="30">
        <f>COUNTIF($D$23:$D$1022,"&lt;"&amp;D504)+(COUNTIF($D$23:$D$1022,"="&amp;D504)+1)/2</f>
        <v/>
      </c>
    </row>
    <row r="505">
      <c r="B505" s="27">
        <f>'1 Data'!B494</f>
        <v/>
      </c>
      <c r="C505" s="28">
        <f>$C$12 + '1 Data'!C494*$C$13 + '1 Data'!D494*$C$14 + '1 Data'!E494*$C$15 + '1 Data'!F494*$C$16 + '1 Data'!G494*$C$17 + '1 Data'!H494*$C$18</f>
        <v/>
      </c>
      <c r="D505" s="23">
        <f>1/(1+EXP(-C505))</f>
        <v/>
      </c>
      <c r="E505" s="27">
        <f>'1 Data'!I494</f>
        <v/>
      </c>
      <c r="F505" s="29">
        <f>RANK(D505,$D$23:$D$1022)</f>
        <v/>
      </c>
      <c r="G505" s="30">
        <f>COUNTIF($D$23:$D$1022,"&lt;"&amp;D505)+(COUNTIF($D$23:$D$1022,"="&amp;D505)+1)/2</f>
        <v/>
      </c>
    </row>
    <row r="506">
      <c r="B506" s="27">
        <f>'1 Data'!B495</f>
        <v/>
      </c>
      <c r="C506" s="28">
        <f>$C$12 + '1 Data'!C495*$C$13 + '1 Data'!D495*$C$14 + '1 Data'!E495*$C$15 + '1 Data'!F495*$C$16 + '1 Data'!G495*$C$17 + '1 Data'!H495*$C$18</f>
        <v/>
      </c>
      <c r="D506" s="23">
        <f>1/(1+EXP(-C506))</f>
        <v/>
      </c>
      <c r="E506" s="27">
        <f>'1 Data'!I495</f>
        <v/>
      </c>
      <c r="F506" s="29">
        <f>RANK(D506,$D$23:$D$1022)</f>
        <v/>
      </c>
      <c r="G506" s="30">
        <f>COUNTIF($D$23:$D$1022,"&lt;"&amp;D506)+(COUNTIF($D$23:$D$1022,"="&amp;D506)+1)/2</f>
        <v/>
      </c>
    </row>
    <row r="507">
      <c r="B507" s="27">
        <f>'1 Data'!B496</f>
        <v/>
      </c>
      <c r="C507" s="28">
        <f>$C$12 + '1 Data'!C496*$C$13 + '1 Data'!D496*$C$14 + '1 Data'!E496*$C$15 + '1 Data'!F496*$C$16 + '1 Data'!G496*$C$17 + '1 Data'!H496*$C$18</f>
        <v/>
      </c>
      <c r="D507" s="23">
        <f>1/(1+EXP(-C507))</f>
        <v/>
      </c>
      <c r="E507" s="27">
        <f>'1 Data'!I496</f>
        <v/>
      </c>
      <c r="F507" s="29">
        <f>RANK(D507,$D$23:$D$1022)</f>
        <v/>
      </c>
      <c r="G507" s="30">
        <f>COUNTIF($D$23:$D$1022,"&lt;"&amp;D507)+(COUNTIF($D$23:$D$1022,"="&amp;D507)+1)/2</f>
        <v/>
      </c>
    </row>
    <row r="508">
      <c r="B508" s="27">
        <f>'1 Data'!B497</f>
        <v/>
      </c>
      <c r="C508" s="28">
        <f>$C$12 + '1 Data'!C497*$C$13 + '1 Data'!D497*$C$14 + '1 Data'!E497*$C$15 + '1 Data'!F497*$C$16 + '1 Data'!G497*$C$17 + '1 Data'!H497*$C$18</f>
        <v/>
      </c>
      <c r="D508" s="23">
        <f>1/(1+EXP(-C508))</f>
        <v/>
      </c>
      <c r="E508" s="27">
        <f>'1 Data'!I497</f>
        <v/>
      </c>
      <c r="F508" s="29">
        <f>RANK(D508,$D$23:$D$1022)</f>
        <v/>
      </c>
      <c r="G508" s="30">
        <f>COUNTIF($D$23:$D$1022,"&lt;"&amp;D508)+(COUNTIF($D$23:$D$1022,"="&amp;D508)+1)/2</f>
        <v/>
      </c>
    </row>
    <row r="509">
      <c r="B509" s="27">
        <f>'1 Data'!B498</f>
        <v/>
      </c>
      <c r="C509" s="28">
        <f>$C$12 + '1 Data'!C498*$C$13 + '1 Data'!D498*$C$14 + '1 Data'!E498*$C$15 + '1 Data'!F498*$C$16 + '1 Data'!G498*$C$17 + '1 Data'!H498*$C$18</f>
        <v/>
      </c>
      <c r="D509" s="23">
        <f>1/(1+EXP(-C509))</f>
        <v/>
      </c>
      <c r="E509" s="27">
        <f>'1 Data'!I498</f>
        <v/>
      </c>
      <c r="F509" s="29">
        <f>RANK(D509,$D$23:$D$1022)</f>
        <v/>
      </c>
      <c r="G509" s="30">
        <f>COUNTIF($D$23:$D$1022,"&lt;"&amp;D509)+(COUNTIF($D$23:$D$1022,"="&amp;D509)+1)/2</f>
        <v/>
      </c>
    </row>
    <row r="510">
      <c r="B510" s="27">
        <f>'1 Data'!B499</f>
        <v/>
      </c>
      <c r="C510" s="28">
        <f>$C$12 + '1 Data'!C499*$C$13 + '1 Data'!D499*$C$14 + '1 Data'!E499*$C$15 + '1 Data'!F499*$C$16 + '1 Data'!G499*$C$17 + '1 Data'!H499*$C$18</f>
        <v/>
      </c>
      <c r="D510" s="23">
        <f>1/(1+EXP(-C510))</f>
        <v/>
      </c>
      <c r="E510" s="27">
        <f>'1 Data'!I499</f>
        <v/>
      </c>
      <c r="F510" s="29">
        <f>RANK(D510,$D$23:$D$1022)</f>
        <v/>
      </c>
      <c r="G510" s="30">
        <f>COUNTIF($D$23:$D$1022,"&lt;"&amp;D510)+(COUNTIF($D$23:$D$1022,"="&amp;D510)+1)/2</f>
        <v/>
      </c>
    </row>
    <row r="511">
      <c r="B511" s="27">
        <f>'1 Data'!B500</f>
        <v/>
      </c>
      <c r="C511" s="28">
        <f>$C$12 + '1 Data'!C500*$C$13 + '1 Data'!D500*$C$14 + '1 Data'!E500*$C$15 + '1 Data'!F500*$C$16 + '1 Data'!G500*$C$17 + '1 Data'!H500*$C$18</f>
        <v/>
      </c>
      <c r="D511" s="23">
        <f>1/(1+EXP(-C511))</f>
        <v/>
      </c>
      <c r="E511" s="27">
        <f>'1 Data'!I500</f>
        <v/>
      </c>
      <c r="F511" s="29">
        <f>RANK(D511,$D$23:$D$1022)</f>
        <v/>
      </c>
      <c r="G511" s="30">
        <f>COUNTIF($D$23:$D$1022,"&lt;"&amp;D511)+(COUNTIF($D$23:$D$1022,"="&amp;D511)+1)/2</f>
        <v/>
      </c>
    </row>
    <row r="512">
      <c r="B512" s="27">
        <f>'1 Data'!B501</f>
        <v/>
      </c>
      <c r="C512" s="28">
        <f>$C$12 + '1 Data'!C501*$C$13 + '1 Data'!D501*$C$14 + '1 Data'!E501*$C$15 + '1 Data'!F501*$C$16 + '1 Data'!G501*$C$17 + '1 Data'!H501*$C$18</f>
        <v/>
      </c>
      <c r="D512" s="23">
        <f>1/(1+EXP(-C512))</f>
        <v/>
      </c>
      <c r="E512" s="27">
        <f>'1 Data'!I501</f>
        <v/>
      </c>
      <c r="F512" s="29">
        <f>RANK(D512,$D$23:$D$1022)</f>
        <v/>
      </c>
      <c r="G512" s="30">
        <f>COUNTIF($D$23:$D$1022,"&lt;"&amp;D512)+(COUNTIF($D$23:$D$1022,"="&amp;D512)+1)/2</f>
        <v/>
      </c>
    </row>
    <row r="513">
      <c r="B513" s="27">
        <f>'1 Data'!B502</f>
        <v/>
      </c>
      <c r="C513" s="28">
        <f>$C$12 + '1 Data'!C502*$C$13 + '1 Data'!D502*$C$14 + '1 Data'!E502*$C$15 + '1 Data'!F502*$C$16 + '1 Data'!G502*$C$17 + '1 Data'!H502*$C$18</f>
        <v/>
      </c>
      <c r="D513" s="23">
        <f>1/(1+EXP(-C513))</f>
        <v/>
      </c>
      <c r="E513" s="27">
        <f>'1 Data'!I502</f>
        <v/>
      </c>
      <c r="F513" s="29">
        <f>RANK(D513,$D$23:$D$1022)</f>
        <v/>
      </c>
      <c r="G513" s="30">
        <f>COUNTIF($D$23:$D$1022,"&lt;"&amp;D513)+(COUNTIF($D$23:$D$1022,"="&amp;D513)+1)/2</f>
        <v/>
      </c>
    </row>
    <row r="514">
      <c r="B514" s="27">
        <f>'1 Data'!B503</f>
        <v/>
      </c>
      <c r="C514" s="28">
        <f>$C$12 + '1 Data'!C503*$C$13 + '1 Data'!D503*$C$14 + '1 Data'!E503*$C$15 + '1 Data'!F503*$C$16 + '1 Data'!G503*$C$17 + '1 Data'!H503*$C$18</f>
        <v/>
      </c>
      <c r="D514" s="23">
        <f>1/(1+EXP(-C514))</f>
        <v/>
      </c>
      <c r="E514" s="27">
        <f>'1 Data'!I503</f>
        <v/>
      </c>
      <c r="F514" s="29">
        <f>RANK(D514,$D$23:$D$1022)</f>
        <v/>
      </c>
      <c r="G514" s="30">
        <f>COUNTIF($D$23:$D$1022,"&lt;"&amp;D514)+(COUNTIF($D$23:$D$1022,"="&amp;D514)+1)/2</f>
        <v/>
      </c>
    </row>
    <row r="515">
      <c r="B515" s="27">
        <f>'1 Data'!B504</f>
        <v/>
      </c>
      <c r="C515" s="28">
        <f>$C$12 + '1 Data'!C504*$C$13 + '1 Data'!D504*$C$14 + '1 Data'!E504*$C$15 + '1 Data'!F504*$C$16 + '1 Data'!G504*$C$17 + '1 Data'!H504*$C$18</f>
        <v/>
      </c>
      <c r="D515" s="23">
        <f>1/(1+EXP(-C515))</f>
        <v/>
      </c>
      <c r="E515" s="27">
        <f>'1 Data'!I504</f>
        <v/>
      </c>
      <c r="F515" s="29">
        <f>RANK(D515,$D$23:$D$1022)</f>
        <v/>
      </c>
      <c r="G515" s="30">
        <f>COUNTIF($D$23:$D$1022,"&lt;"&amp;D515)+(COUNTIF($D$23:$D$1022,"="&amp;D515)+1)/2</f>
        <v/>
      </c>
    </row>
    <row r="516">
      <c r="B516" s="27">
        <f>'1 Data'!B505</f>
        <v/>
      </c>
      <c r="C516" s="28">
        <f>$C$12 + '1 Data'!C505*$C$13 + '1 Data'!D505*$C$14 + '1 Data'!E505*$C$15 + '1 Data'!F505*$C$16 + '1 Data'!G505*$C$17 + '1 Data'!H505*$C$18</f>
        <v/>
      </c>
      <c r="D516" s="23">
        <f>1/(1+EXP(-C516))</f>
        <v/>
      </c>
      <c r="E516" s="27">
        <f>'1 Data'!I505</f>
        <v/>
      </c>
      <c r="F516" s="29">
        <f>RANK(D516,$D$23:$D$1022)</f>
        <v/>
      </c>
      <c r="G516" s="30">
        <f>COUNTIF($D$23:$D$1022,"&lt;"&amp;D516)+(COUNTIF($D$23:$D$1022,"="&amp;D516)+1)/2</f>
        <v/>
      </c>
    </row>
    <row r="517">
      <c r="B517" s="27">
        <f>'1 Data'!B506</f>
        <v/>
      </c>
      <c r="C517" s="28">
        <f>$C$12 + '1 Data'!C506*$C$13 + '1 Data'!D506*$C$14 + '1 Data'!E506*$C$15 + '1 Data'!F506*$C$16 + '1 Data'!G506*$C$17 + '1 Data'!H506*$C$18</f>
        <v/>
      </c>
      <c r="D517" s="23">
        <f>1/(1+EXP(-C517))</f>
        <v/>
      </c>
      <c r="E517" s="27">
        <f>'1 Data'!I506</f>
        <v/>
      </c>
      <c r="F517" s="29">
        <f>RANK(D517,$D$23:$D$1022)</f>
        <v/>
      </c>
      <c r="G517" s="30">
        <f>COUNTIF($D$23:$D$1022,"&lt;"&amp;D517)+(COUNTIF($D$23:$D$1022,"="&amp;D517)+1)/2</f>
        <v/>
      </c>
    </row>
    <row r="518">
      <c r="B518" s="27">
        <f>'1 Data'!B507</f>
        <v/>
      </c>
      <c r="C518" s="28">
        <f>$C$12 + '1 Data'!C507*$C$13 + '1 Data'!D507*$C$14 + '1 Data'!E507*$C$15 + '1 Data'!F507*$C$16 + '1 Data'!G507*$C$17 + '1 Data'!H507*$C$18</f>
        <v/>
      </c>
      <c r="D518" s="23">
        <f>1/(1+EXP(-C518))</f>
        <v/>
      </c>
      <c r="E518" s="27">
        <f>'1 Data'!I507</f>
        <v/>
      </c>
      <c r="F518" s="29">
        <f>RANK(D518,$D$23:$D$1022)</f>
        <v/>
      </c>
      <c r="G518" s="30">
        <f>COUNTIF($D$23:$D$1022,"&lt;"&amp;D518)+(COUNTIF($D$23:$D$1022,"="&amp;D518)+1)/2</f>
        <v/>
      </c>
    </row>
    <row r="519">
      <c r="B519" s="27">
        <f>'1 Data'!B508</f>
        <v/>
      </c>
      <c r="C519" s="28">
        <f>$C$12 + '1 Data'!C508*$C$13 + '1 Data'!D508*$C$14 + '1 Data'!E508*$C$15 + '1 Data'!F508*$C$16 + '1 Data'!G508*$C$17 + '1 Data'!H508*$C$18</f>
        <v/>
      </c>
      <c r="D519" s="23">
        <f>1/(1+EXP(-C519))</f>
        <v/>
      </c>
      <c r="E519" s="27">
        <f>'1 Data'!I508</f>
        <v/>
      </c>
      <c r="F519" s="29">
        <f>RANK(D519,$D$23:$D$1022)</f>
        <v/>
      </c>
      <c r="G519" s="30">
        <f>COUNTIF($D$23:$D$1022,"&lt;"&amp;D519)+(COUNTIF($D$23:$D$1022,"="&amp;D519)+1)/2</f>
        <v/>
      </c>
    </row>
    <row r="520">
      <c r="B520" s="27">
        <f>'1 Data'!B509</f>
        <v/>
      </c>
      <c r="C520" s="28">
        <f>$C$12 + '1 Data'!C509*$C$13 + '1 Data'!D509*$C$14 + '1 Data'!E509*$C$15 + '1 Data'!F509*$C$16 + '1 Data'!G509*$C$17 + '1 Data'!H509*$C$18</f>
        <v/>
      </c>
      <c r="D520" s="23">
        <f>1/(1+EXP(-C520))</f>
        <v/>
      </c>
      <c r="E520" s="27">
        <f>'1 Data'!I509</f>
        <v/>
      </c>
      <c r="F520" s="29">
        <f>RANK(D520,$D$23:$D$1022)</f>
        <v/>
      </c>
      <c r="G520" s="30">
        <f>COUNTIF($D$23:$D$1022,"&lt;"&amp;D520)+(COUNTIF($D$23:$D$1022,"="&amp;D520)+1)/2</f>
        <v/>
      </c>
    </row>
    <row r="521">
      <c r="B521" s="27">
        <f>'1 Data'!B510</f>
        <v/>
      </c>
      <c r="C521" s="28">
        <f>$C$12 + '1 Data'!C510*$C$13 + '1 Data'!D510*$C$14 + '1 Data'!E510*$C$15 + '1 Data'!F510*$C$16 + '1 Data'!G510*$C$17 + '1 Data'!H510*$C$18</f>
        <v/>
      </c>
      <c r="D521" s="23">
        <f>1/(1+EXP(-C521))</f>
        <v/>
      </c>
      <c r="E521" s="27">
        <f>'1 Data'!I510</f>
        <v/>
      </c>
      <c r="F521" s="29">
        <f>RANK(D521,$D$23:$D$1022)</f>
        <v/>
      </c>
      <c r="G521" s="30">
        <f>COUNTIF($D$23:$D$1022,"&lt;"&amp;D521)+(COUNTIF($D$23:$D$1022,"="&amp;D521)+1)/2</f>
        <v/>
      </c>
    </row>
    <row r="522">
      <c r="B522" s="27">
        <f>'1 Data'!B511</f>
        <v/>
      </c>
      <c r="C522" s="28">
        <f>$C$12 + '1 Data'!C511*$C$13 + '1 Data'!D511*$C$14 + '1 Data'!E511*$C$15 + '1 Data'!F511*$C$16 + '1 Data'!G511*$C$17 + '1 Data'!H511*$C$18</f>
        <v/>
      </c>
      <c r="D522" s="23">
        <f>1/(1+EXP(-C522))</f>
        <v/>
      </c>
      <c r="E522" s="27">
        <f>'1 Data'!I511</f>
        <v/>
      </c>
      <c r="F522" s="29">
        <f>RANK(D522,$D$23:$D$1022)</f>
        <v/>
      </c>
      <c r="G522" s="30">
        <f>COUNTIF($D$23:$D$1022,"&lt;"&amp;D522)+(COUNTIF($D$23:$D$1022,"="&amp;D522)+1)/2</f>
        <v/>
      </c>
    </row>
    <row r="523">
      <c r="B523" s="27">
        <f>'1 Data'!B512</f>
        <v/>
      </c>
      <c r="C523" s="28">
        <f>$C$12 + '1 Data'!C512*$C$13 + '1 Data'!D512*$C$14 + '1 Data'!E512*$C$15 + '1 Data'!F512*$C$16 + '1 Data'!G512*$C$17 + '1 Data'!H512*$C$18</f>
        <v/>
      </c>
      <c r="D523" s="23">
        <f>1/(1+EXP(-C523))</f>
        <v/>
      </c>
      <c r="E523" s="27">
        <f>'1 Data'!I512</f>
        <v/>
      </c>
      <c r="F523" s="29">
        <f>RANK(D523,$D$23:$D$1022)</f>
        <v/>
      </c>
      <c r="G523" s="30">
        <f>COUNTIF($D$23:$D$1022,"&lt;"&amp;D523)+(COUNTIF($D$23:$D$1022,"="&amp;D523)+1)/2</f>
        <v/>
      </c>
    </row>
    <row r="524">
      <c r="B524" s="27">
        <f>'1 Data'!B513</f>
        <v/>
      </c>
      <c r="C524" s="28">
        <f>$C$12 + '1 Data'!C513*$C$13 + '1 Data'!D513*$C$14 + '1 Data'!E513*$C$15 + '1 Data'!F513*$C$16 + '1 Data'!G513*$C$17 + '1 Data'!H513*$C$18</f>
        <v/>
      </c>
      <c r="D524" s="23">
        <f>1/(1+EXP(-C524))</f>
        <v/>
      </c>
      <c r="E524" s="27">
        <f>'1 Data'!I513</f>
        <v/>
      </c>
      <c r="F524" s="29">
        <f>RANK(D524,$D$23:$D$1022)</f>
        <v/>
      </c>
      <c r="G524" s="30">
        <f>COUNTIF($D$23:$D$1022,"&lt;"&amp;D524)+(COUNTIF($D$23:$D$1022,"="&amp;D524)+1)/2</f>
        <v/>
      </c>
    </row>
    <row r="525">
      <c r="B525" s="27">
        <f>'1 Data'!B514</f>
        <v/>
      </c>
      <c r="C525" s="28">
        <f>$C$12 + '1 Data'!C514*$C$13 + '1 Data'!D514*$C$14 + '1 Data'!E514*$C$15 + '1 Data'!F514*$C$16 + '1 Data'!G514*$C$17 + '1 Data'!H514*$C$18</f>
        <v/>
      </c>
      <c r="D525" s="23">
        <f>1/(1+EXP(-C525))</f>
        <v/>
      </c>
      <c r="E525" s="27">
        <f>'1 Data'!I514</f>
        <v/>
      </c>
      <c r="F525" s="29">
        <f>RANK(D525,$D$23:$D$1022)</f>
        <v/>
      </c>
      <c r="G525" s="30">
        <f>COUNTIF($D$23:$D$1022,"&lt;"&amp;D525)+(COUNTIF($D$23:$D$1022,"="&amp;D525)+1)/2</f>
        <v/>
      </c>
    </row>
    <row r="526">
      <c r="B526" s="27">
        <f>'1 Data'!B515</f>
        <v/>
      </c>
      <c r="C526" s="28">
        <f>$C$12 + '1 Data'!C515*$C$13 + '1 Data'!D515*$C$14 + '1 Data'!E515*$C$15 + '1 Data'!F515*$C$16 + '1 Data'!G515*$C$17 + '1 Data'!H515*$C$18</f>
        <v/>
      </c>
      <c r="D526" s="23">
        <f>1/(1+EXP(-C526))</f>
        <v/>
      </c>
      <c r="E526" s="27">
        <f>'1 Data'!I515</f>
        <v/>
      </c>
      <c r="F526" s="29">
        <f>RANK(D526,$D$23:$D$1022)</f>
        <v/>
      </c>
      <c r="G526" s="30">
        <f>COUNTIF($D$23:$D$1022,"&lt;"&amp;D526)+(COUNTIF($D$23:$D$1022,"="&amp;D526)+1)/2</f>
        <v/>
      </c>
    </row>
    <row r="527">
      <c r="B527" s="27">
        <f>'1 Data'!B516</f>
        <v/>
      </c>
      <c r="C527" s="28">
        <f>$C$12 + '1 Data'!C516*$C$13 + '1 Data'!D516*$C$14 + '1 Data'!E516*$C$15 + '1 Data'!F516*$C$16 + '1 Data'!G516*$C$17 + '1 Data'!H516*$C$18</f>
        <v/>
      </c>
      <c r="D527" s="23">
        <f>1/(1+EXP(-C527))</f>
        <v/>
      </c>
      <c r="E527" s="27">
        <f>'1 Data'!I516</f>
        <v/>
      </c>
      <c r="F527" s="29">
        <f>RANK(D527,$D$23:$D$1022)</f>
        <v/>
      </c>
      <c r="G527" s="30">
        <f>COUNTIF($D$23:$D$1022,"&lt;"&amp;D527)+(COUNTIF($D$23:$D$1022,"="&amp;D527)+1)/2</f>
        <v/>
      </c>
    </row>
    <row r="528">
      <c r="B528" s="27">
        <f>'1 Data'!B517</f>
        <v/>
      </c>
      <c r="C528" s="28">
        <f>$C$12 + '1 Data'!C517*$C$13 + '1 Data'!D517*$C$14 + '1 Data'!E517*$C$15 + '1 Data'!F517*$C$16 + '1 Data'!G517*$C$17 + '1 Data'!H517*$C$18</f>
        <v/>
      </c>
      <c r="D528" s="23">
        <f>1/(1+EXP(-C528))</f>
        <v/>
      </c>
      <c r="E528" s="27">
        <f>'1 Data'!I517</f>
        <v/>
      </c>
      <c r="F528" s="29">
        <f>RANK(D528,$D$23:$D$1022)</f>
        <v/>
      </c>
      <c r="G528" s="30">
        <f>COUNTIF($D$23:$D$1022,"&lt;"&amp;D528)+(COUNTIF($D$23:$D$1022,"="&amp;D528)+1)/2</f>
        <v/>
      </c>
    </row>
    <row r="529">
      <c r="B529" s="27">
        <f>'1 Data'!B518</f>
        <v/>
      </c>
      <c r="C529" s="28">
        <f>$C$12 + '1 Data'!C518*$C$13 + '1 Data'!D518*$C$14 + '1 Data'!E518*$C$15 + '1 Data'!F518*$C$16 + '1 Data'!G518*$C$17 + '1 Data'!H518*$C$18</f>
        <v/>
      </c>
      <c r="D529" s="23">
        <f>1/(1+EXP(-C529))</f>
        <v/>
      </c>
      <c r="E529" s="27">
        <f>'1 Data'!I518</f>
        <v/>
      </c>
      <c r="F529" s="29">
        <f>RANK(D529,$D$23:$D$1022)</f>
        <v/>
      </c>
      <c r="G529" s="30">
        <f>COUNTIF($D$23:$D$1022,"&lt;"&amp;D529)+(COUNTIF($D$23:$D$1022,"="&amp;D529)+1)/2</f>
        <v/>
      </c>
    </row>
    <row r="530">
      <c r="B530" s="27">
        <f>'1 Data'!B519</f>
        <v/>
      </c>
      <c r="C530" s="28">
        <f>$C$12 + '1 Data'!C519*$C$13 + '1 Data'!D519*$C$14 + '1 Data'!E519*$C$15 + '1 Data'!F519*$C$16 + '1 Data'!G519*$C$17 + '1 Data'!H519*$C$18</f>
        <v/>
      </c>
      <c r="D530" s="23">
        <f>1/(1+EXP(-C530))</f>
        <v/>
      </c>
      <c r="E530" s="27">
        <f>'1 Data'!I519</f>
        <v/>
      </c>
      <c r="F530" s="29">
        <f>RANK(D530,$D$23:$D$1022)</f>
        <v/>
      </c>
      <c r="G530" s="30">
        <f>COUNTIF($D$23:$D$1022,"&lt;"&amp;D530)+(COUNTIF($D$23:$D$1022,"="&amp;D530)+1)/2</f>
        <v/>
      </c>
    </row>
    <row r="531">
      <c r="B531" s="27">
        <f>'1 Data'!B520</f>
        <v/>
      </c>
      <c r="C531" s="28">
        <f>$C$12 + '1 Data'!C520*$C$13 + '1 Data'!D520*$C$14 + '1 Data'!E520*$C$15 + '1 Data'!F520*$C$16 + '1 Data'!G520*$C$17 + '1 Data'!H520*$C$18</f>
        <v/>
      </c>
      <c r="D531" s="23">
        <f>1/(1+EXP(-C531))</f>
        <v/>
      </c>
      <c r="E531" s="27">
        <f>'1 Data'!I520</f>
        <v/>
      </c>
      <c r="F531" s="29">
        <f>RANK(D531,$D$23:$D$1022)</f>
        <v/>
      </c>
      <c r="G531" s="30">
        <f>COUNTIF($D$23:$D$1022,"&lt;"&amp;D531)+(COUNTIF($D$23:$D$1022,"="&amp;D531)+1)/2</f>
        <v/>
      </c>
    </row>
    <row r="532">
      <c r="B532" s="27">
        <f>'1 Data'!B521</f>
        <v/>
      </c>
      <c r="C532" s="28">
        <f>$C$12 + '1 Data'!C521*$C$13 + '1 Data'!D521*$C$14 + '1 Data'!E521*$C$15 + '1 Data'!F521*$C$16 + '1 Data'!G521*$C$17 + '1 Data'!H521*$C$18</f>
        <v/>
      </c>
      <c r="D532" s="23">
        <f>1/(1+EXP(-C532))</f>
        <v/>
      </c>
      <c r="E532" s="27">
        <f>'1 Data'!I521</f>
        <v/>
      </c>
      <c r="F532" s="29">
        <f>RANK(D532,$D$23:$D$1022)</f>
        <v/>
      </c>
      <c r="G532" s="30">
        <f>COUNTIF($D$23:$D$1022,"&lt;"&amp;D532)+(COUNTIF($D$23:$D$1022,"="&amp;D532)+1)/2</f>
        <v/>
      </c>
    </row>
    <row r="533">
      <c r="B533" s="27">
        <f>'1 Data'!B522</f>
        <v/>
      </c>
      <c r="C533" s="28">
        <f>$C$12 + '1 Data'!C522*$C$13 + '1 Data'!D522*$C$14 + '1 Data'!E522*$C$15 + '1 Data'!F522*$C$16 + '1 Data'!G522*$C$17 + '1 Data'!H522*$C$18</f>
        <v/>
      </c>
      <c r="D533" s="23">
        <f>1/(1+EXP(-C533))</f>
        <v/>
      </c>
      <c r="E533" s="27">
        <f>'1 Data'!I522</f>
        <v/>
      </c>
      <c r="F533" s="29">
        <f>RANK(D533,$D$23:$D$1022)</f>
        <v/>
      </c>
      <c r="G533" s="30">
        <f>COUNTIF($D$23:$D$1022,"&lt;"&amp;D533)+(COUNTIF($D$23:$D$1022,"="&amp;D533)+1)/2</f>
        <v/>
      </c>
    </row>
    <row r="534">
      <c r="B534" s="27">
        <f>'1 Data'!B523</f>
        <v/>
      </c>
      <c r="C534" s="28">
        <f>$C$12 + '1 Data'!C523*$C$13 + '1 Data'!D523*$C$14 + '1 Data'!E523*$C$15 + '1 Data'!F523*$C$16 + '1 Data'!G523*$C$17 + '1 Data'!H523*$C$18</f>
        <v/>
      </c>
      <c r="D534" s="23">
        <f>1/(1+EXP(-C534))</f>
        <v/>
      </c>
      <c r="E534" s="27">
        <f>'1 Data'!I523</f>
        <v/>
      </c>
      <c r="F534" s="29">
        <f>RANK(D534,$D$23:$D$1022)</f>
        <v/>
      </c>
      <c r="G534" s="30">
        <f>COUNTIF($D$23:$D$1022,"&lt;"&amp;D534)+(COUNTIF($D$23:$D$1022,"="&amp;D534)+1)/2</f>
        <v/>
      </c>
    </row>
    <row r="535">
      <c r="B535" s="27">
        <f>'1 Data'!B524</f>
        <v/>
      </c>
      <c r="C535" s="28">
        <f>$C$12 + '1 Data'!C524*$C$13 + '1 Data'!D524*$C$14 + '1 Data'!E524*$C$15 + '1 Data'!F524*$C$16 + '1 Data'!G524*$C$17 + '1 Data'!H524*$C$18</f>
        <v/>
      </c>
      <c r="D535" s="23">
        <f>1/(1+EXP(-C535))</f>
        <v/>
      </c>
      <c r="E535" s="27">
        <f>'1 Data'!I524</f>
        <v/>
      </c>
      <c r="F535" s="29">
        <f>RANK(D535,$D$23:$D$1022)</f>
        <v/>
      </c>
      <c r="G535" s="30">
        <f>COUNTIF($D$23:$D$1022,"&lt;"&amp;D535)+(COUNTIF($D$23:$D$1022,"="&amp;D535)+1)/2</f>
        <v/>
      </c>
    </row>
    <row r="536">
      <c r="B536" s="27">
        <f>'1 Data'!B525</f>
        <v/>
      </c>
      <c r="C536" s="28">
        <f>$C$12 + '1 Data'!C525*$C$13 + '1 Data'!D525*$C$14 + '1 Data'!E525*$C$15 + '1 Data'!F525*$C$16 + '1 Data'!G525*$C$17 + '1 Data'!H525*$C$18</f>
        <v/>
      </c>
      <c r="D536" s="23">
        <f>1/(1+EXP(-C536))</f>
        <v/>
      </c>
      <c r="E536" s="27">
        <f>'1 Data'!I525</f>
        <v/>
      </c>
      <c r="F536" s="29">
        <f>RANK(D536,$D$23:$D$1022)</f>
        <v/>
      </c>
      <c r="G536" s="30">
        <f>COUNTIF($D$23:$D$1022,"&lt;"&amp;D536)+(COUNTIF($D$23:$D$1022,"="&amp;D536)+1)/2</f>
        <v/>
      </c>
    </row>
    <row r="537">
      <c r="B537" s="27">
        <f>'1 Data'!B526</f>
        <v/>
      </c>
      <c r="C537" s="28">
        <f>$C$12 + '1 Data'!C526*$C$13 + '1 Data'!D526*$C$14 + '1 Data'!E526*$C$15 + '1 Data'!F526*$C$16 + '1 Data'!G526*$C$17 + '1 Data'!H526*$C$18</f>
        <v/>
      </c>
      <c r="D537" s="23">
        <f>1/(1+EXP(-C537))</f>
        <v/>
      </c>
      <c r="E537" s="27">
        <f>'1 Data'!I526</f>
        <v/>
      </c>
      <c r="F537" s="29">
        <f>RANK(D537,$D$23:$D$1022)</f>
        <v/>
      </c>
      <c r="G537" s="30">
        <f>COUNTIF($D$23:$D$1022,"&lt;"&amp;D537)+(COUNTIF($D$23:$D$1022,"="&amp;D537)+1)/2</f>
        <v/>
      </c>
    </row>
    <row r="538">
      <c r="B538" s="27">
        <f>'1 Data'!B527</f>
        <v/>
      </c>
      <c r="C538" s="28">
        <f>$C$12 + '1 Data'!C527*$C$13 + '1 Data'!D527*$C$14 + '1 Data'!E527*$C$15 + '1 Data'!F527*$C$16 + '1 Data'!G527*$C$17 + '1 Data'!H527*$C$18</f>
        <v/>
      </c>
      <c r="D538" s="23">
        <f>1/(1+EXP(-C538))</f>
        <v/>
      </c>
      <c r="E538" s="27">
        <f>'1 Data'!I527</f>
        <v/>
      </c>
      <c r="F538" s="29">
        <f>RANK(D538,$D$23:$D$1022)</f>
        <v/>
      </c>
      <c r="G538" s="30">
        <f>COUNTIF($D$23:$D$1022,"&lt;"&amp;D538)+(COUNTIF($D$23:$D$1022,"="&amp;D538)+1)/2</f>
        <v/>
      </c>
    </row>
    <row r="539">
      <c r="B539" s="27">
        <f>'1 Data'!B528</f>
        <v/>
      </c>
      <c r="C539" s="28">
        <f>$C$12 + '1 Data'!C528*$C$13 + '1 Data'!D528*$C$14 + '1 Data'!E528*$C$15 + '1 Data'!F528*$C$16 + '1 Data'!G528*$C$17 + '1 Data'!H528*$C$18</f>
        <v/>
      </c>
      <c r="D539" s="23">
        <f>1/(1+EXP(-C539))</f>
        <v/>
      </c>
      <c r="E539" s="27">
        <f>'1 Data'!I528</f>
        <v/>
      </c>
      <c r="F539" s="29">
        <f>RANK(D539,$D$23:$D$1022)</f>
        <v/>
      </c>
      <c r="G539" s="30">
        <f>COUNTIF($D$23:$D$1022,"&lt;"&amp;D539)+(COUNTIF($D$23:$D$1022,"="&amp;D539)+1)/2</f>
        <v/>
      </c>
    </row>
    <row r="540">
      <c r="B540" s="27">
        <f>'1 Data'!B529</f>
        <v/>
      </c>
      <c r="C540" s="28">
        <f>$C$12 + '1 Data'!C529*$C$13 + '1 Data'!D529*$C$14 + '1 Data'!E529*$C$15 + '1 Data'!F529*$C$16 + '1 Data'!G529*$C$17 + '1 Data'!H529*$C$18</f>
        <v/>
      </c>
      <c r="D540" s="23">
        <f>1/(1+EXP(-C540))</f>
        <v/>
      </c>
      <c r="E540" s="27">
        <f>'1 Data'!I529</f>
        <v/>
      </c>
      <c r="F540" s="29">
        <f>RANK(D540,$D$23:$D$1022)</f>
        <v/>
      </c>
      <c r="G540" s="30">
        <f>COUNTIF($D$23:$D$1022,"&lt;"&amp;D540)+(COUNTIF($D$23:$D$1022,"="&amp;D540)+1)/2</f>
        <v/>
      </c>
    </row>
    <row r="541">
      <c r="B541" s="27">
        <f>'1 Data'!B530</f>
        <v/>
      </c>
      <c r="C541" s="28">
        <f>$C$12 + '1 Data'!C530*$C$13 + '1 Data'!D530*$C$14 + '1 Data'!E530*$C$15 + '1 Data'!F530*$C$16 + '1 Data'!G530*$C$17 + '1 Data'!H530*$C$18</f>
        <v/>
      </c>
      <c r="D541" s="23">
        <f>1/(1+EXP(-C541))</f>
        <v/>
      </c>
      <c r="E541" s="27">
        <f>'1 Data'!I530</f>
        <v/>
      </c>
      <c r="F541" s="29">
        <f>RANK(D541,$D$23:$D$1022)</f>
        <v/>
      </c>
      <c r="G541" s="30">
        <f>COUNTIF($D$23:$D$1022,"&lt;"&amp;D541)+(COUNTIF($D$23:$D$1022,"="&amp;D541)+1)/2</f>
        <v/>
      </c>
    </row>
    <row r="542">
      <c r="B542" s="27">
        <f>'1 Data'!B531</f>
        <v/>
      </c>
      <c r="C542" s="28">
        <f>$C$12 + '1 Data'!C531*$C$13 + '1 Data'!D531*$C$14 + '1 Data'!E531*$C$15 + '1 Data'!F531*$C$16 + '1 Data'!G531*$C$17 + '1 Data'!H531*$C$18</f>
        <v/>
      </c>
      <c r="D542" s="23">
        <f>1/(1+EXP(-C542))</f>
        <v/>
      </c>
      <c r="E542" s="27">
        <f>'1 Data'!I531</f>
        <v/>
      </c>
      <c r="F542" s="29">
        <f>RANK(D542,$D$23:$D$1022)</f>
        <v/>
      </c>
      <c r="G542" s="30">
        <f>COUNTIF($D$23:$D$1022,"&lt;"&amp;D542)+(COUNTIF($D$23:$D$1022,"="&amp;D542)+1)/2</f>
        <v/>
      </c>
    </row>
    <row r="543">
      <c r="B543" s="27">
        <f>'1 Data'!B532</f>
        <v/>
      </c>
      <c r="C543" s="28">
        <f>$C$12 + '1 Data'!C532*$C$13 + '1 Data'!D532*$C$14 + '1 Data'!E532*$C$15 + '1 Data'!F532*$C$16 + '1 Data'!G532*$C$17 + '1 Data'!H532*$C$18</f>
        <v/>
      </c>
      <c r="D543" s="23">
        <f>1/(1+EXP(-C543))</f>
        <v/>
      </c>
      <c r="E543" s="27">
        <f>'1 Data'!I532</f>
        <v/>
      </c>
      <c r="F543" s="29">
        <f>RANK(D543,$D$23:$D$1022)</f>
        <v/>
      </c>
      <c r="G543" s="30">
        <f>COUNTIF($D$23:$D$1022,"&lt;"&amp;D543)+(COUNTIF($D$23:$D$1022,"="&amp;D543)+1)/2</f>
        <v/>
      </c>
    </row>
    <row r="544">
      <c r="B544" s="27">
        <f>'1 Data'!B533</f>
        <v/>
      </c>
      <c r="C544" s="28">
        <f>$C$12 + '1 Data'!C533*$C$13 + '1 Data'!D533*$C$14 + '1 Data'!E533*$C$15 + '1 Data'!F533*$C$16 + '1 Data'!G533*$C$17 + '1 Data'!H533*$C$18</f>
        <v/>
      </c>
      <c r="D544" s="23">
        <f>1/(1+EXP(-C544))</f>
        <v/>
      </c>
      <c r="E544" s="27">
        <f>'1 Data'!I533</f>
        <v/>
      </c>
      <c r="F544" s="29">
        <f>RANK(D544,$D$23:$D$1022)</f>
        <v/>
      </c>
      <c r="G544" s="30">
        <f>COUNTIF($D$23:$D$1022,"&lt;"&amp;D544)+(COUNTIF($D$23:$D$1022,"="&amp;D544)+1)/2</f>
        <v/>
      </c>
    </row>
    <row r="545">
      <c r="B545" s="27">
        <f>'1 Data'!B534</f>
        <v/>
      </c>
      <c r="C545" s="28">
        <f>$C$12 + '1 Data'!C534*$C$13 + '1 Data'!D534*$C$14 + '1 Data'!E534*$C$15 + '1 Data'!F534*$C$16 + '1 Data'!G534*$C$17 + '1 Data'!H534*$C$18</f>
        <v/>
      </c>
      <c r="D545" s="23">
        <f>1/(1+EXP(-C545))</f>
        <v/>
      </c>
      <c r="E545" s="27">
        <f>'1 Data'!I534</f>
        <v/>
      </c>
      <c r="F545" s="29">
        <f>RANK(D545,$D$23:$D$1022)</f>
        <v/>
      </c>
      <c r="G545" s="30">
        <f>COUNTIF($D$23:$D$1022,"&lt;"&amp;D545)+(COUNTIF($D$23:$D$1022,"="&amp;D545)+1)/2</f>
        <v/>
      </c>
    </row>
    <row r="546">
      <c r="B546" s="27">
        <f>'1 Data'!B535</f>
        <v/>
      </c>
      <c r="C546" s="28">
        <f>$C$12 + '1 Data'!C535*$C$13 + '1 Data'!D535*$C$14 + '1 Data'!E535*$C$15 + '1 Data'!F535*$C$16 + '1 Data'!G535*$C$17 + '1 Data'!H535*$C$18</f>
        <v/>
      </c>
      <c r="D546" s="23">
        <f>1/(1+EXP(-C546))</f>
        <v/>
      </c>
      <c r="E546" s="27">
        <f>'1 Data'!I535</f>
        <v/>
      </c>
      <c r="F546" s="29">
        <f>RANK(D546,$D$23:$D$1022)</f>
        <v/>
      </c>
      <c r="G546" s="30">
        <f>COUNTIF($D$23:$D$1022,"&lt;"&amp;D546)+(COUNTIF($D$23:$D$1022,"="&amp;D546)+1)/2</f>
        <v/>
      </c>
    </row>
    <row r="547">
      <c r="B547" s="27">
        <f>'1 Data'!B536</f>
        <v/>
      </c>
      <c r="C547" s="28">
        <f>$C$12 + '1 Data'!C536*$C$13 + '1 Data'!D536*$C$14 + '1 Data'!E536*$C$15 + '1 Data'!F536*$C$16 + '1 Data'!G536*$C$17 + '1 Data'!H536*$C$18</f>
        <v/>
      </c>
      <c r="D547" s="23">
        <f>1/(1+EXP(-C547))</f>
        <v/>
      </c>
      <c r="E547" s="27">
        <f>'1 Data'!I536</f>
        <v/>
      </c>
      <c r="F547" s="29">
        <f>RANK(D547,$D$23:$D$1022)</f>
        <v/>
      </c>
      <c r="G547" s="30">
        <f>COUNTIF($D$23:$D$1022,"&lt;"&amp;D547)+(COUNTIF($D$23:$D$1022,"="&amp;D547)+1)/2</f>
        <v/>
      </c>
    </row>
    <row r="548">
      <c r="B548" s="27">
        <f>'1 Data'!B537</f>
        <v/>
      </c>
      <c r="C548" s="28">
        <f>$C$12 + '1 Data'!C537*$C$13 + '1 Data'!D537*$C$14 + '1 Data'!E537*$C$15 + '1 Data'!F537*$C$16 + '1 Data'!G537*$C$17 + '1 Data'!H537*$C$18</f>
        <v/>
      </c>
      <c r="D548" s="23">
        <f>1/(1+EXP(-C548))</f>
        <v/>
      </c>
      <c r="E548" s="27">
        <f>'1 Data'!I537</f>
        <v/>
      </c>
      <c r="F548" s="29">
        <f>RANK(D548,$D$23:$D$1022)</f>
        <v/>
      </c>
      <c r="G548" s="30">
        <f>COUNTIF($D$23:$D$1022,"&lt;"&amp;D548)+(COUNTIF($D$23:$D$1022,"="&amp;D548)+1)/2</f>
        <v/>
      </c>
    </row>
    <row r="549">
      <c r="B549" s="27">
        <f>'1 Data'!B538</f>
        <v/>
      </c>
      <c r="C549" s="28">
        <f>$C$12 + '1 Data'!C538*$C$13 + '1 Data'!D538*$C$14 + '1 Data'!E538*$C$15 + '1 Data'!F538*$C$16 + '1 Data'!G538*$C$17 + '1 Data'!H538*$C$18</f>
        <v/>
      </c>
      <c r="D549" s="23">
        <f>1/(1+EXP(-C549))</f>
        <v/>
      </c>
      <c r="E549" s="27">
        <f>'1 Data'!I538</f>
        <v/>
      </c>
      <c r="F549" s="29">
        <f>RANK(D549,$D$23:$D$1022)</f>
        <v/>
      </c>
      <c r="G549" s="30">
        <f>COUNTIF($D$23:$D$1022,"&lt;"&amp;D549)+(COUNTIF($D$23:$D$1022,"="&amp;D549)+1)/2</f>
        <v/>
      </c>
    </row>
    <row r="550">
      <c r="B550" s="27">
        <f>'1 Data'!B539</f>
        <v/>
      </c>
      <c r="C550" s="28">
        <f>$C$12 + '1 Data'!C539*$C$13 + '1 Data'!D539*$C$14 + '1 Data'!E539*$C$15 + '1 Data'!F539*$C$16 + '1 Data'!G539*$C$17 + '1 Data'!H539*$C$18</f>
        <v/>
      </c>
      <c r="D550" s="23">
        <f>1/(1+EXP(-C550))</f>
        <v/>
      </c>
      <c r="E550" s="27">
        <f>'1 Data'!I539</f>
        <v/>
      </c>
      <c r="F550" s="29">
        <f>RANK(D550,$D$23:$D$1022)</f>
        <v/>
      </c>
      <c r="G550" s="30">
        <f>COUNTIF($D$23:$D$1022,"&lt;"&amp;D550)+(COUNTIF($D$23:$D$1022,"="&amp;D550)+1)/2</f>
        <v/>
      </c>
    </row>
    <row r="551">
      <c r="B551" s="27">
        <f>'1 Data'!B540</f>
        <v/>
      </c>
      <c r="C551" s="28">
        <f>$C$12 + '1 Data'!C540*$C$13 + '1 Data'!D540*$C$14 + '1 Data'!E540*$C$15 + '1 Data'!F540*$C$16 + '1 Data'!G540*$C$17 + '1 Data'!H540*$C$18</f>
        <v/>
      </c>
      <c r="D551" s="23">
        <f>1/(1+EXP(-C551))</f>
        <v/>
      </c>
      <c r="E551" s="27">
        <f>'1 Data'!I540</f>
        <v/>
      </c>
      <c r="F551" s="29">
        <f>RANK(D551,$D$23:$D$1022)</f>
        <v/>
      </c>
      <c r="G551" s="30">
        <f>COUNTIF($D$23:$D$1022,"&lt;"&amp;D551)+(COUNTIF($D$23:$D$1022,"="&amp;D551)+1)/2</f>
        <v/>
      </c>
    </row>
    <row r="552">
      <c r="B552" s="27">
        <f>'1 Data'!B541</f>
        <v/>
      </c>
      <c r="C552" s="28">
        <f>$C$12 + '1 Data'!C541*$C$13 + '1 Data'!D541*$C$14 + '1 Data'!E541*$C$15 + '1 Data'!F541*$C$16 + '1 Data'!G541*$C$17 + '1 Data'!H541*$C$18</f>
        <v/>
      </c>
      <c r="D552" s="23">
        <f>1/(1+EXP(-C552))</f>
        <v/>
      </c>
      <c r="E552" s="27">
        <f>'1 Data'!I541</f>
        <v/>
      </c>
      <c r="F552" s="29">
        <f>RANK(D552,$D$23:$D$1022)</f>
        <v/>
      </c>
      <c r="G552" s="30">
        <f>COUNTIF($D$23:$D$1022,"&lt;"&amp;D552)+(COUNTIF($D$23:$D$1022,"="&amp;D552)+1)/2</f>
        <v/>
      </c>
    </row>
    <row r="553">
      <c r="B553" s="27">
        <f>'1 Data'!B542</f>
        <v/>
      </c>
      <c r="C553" s="28">
        <f>$C$12 + '1 Data'!C542*$C$13 + '1 Data'!D542*$C$14 + '1 Data'!E542*$C$15 + '1 Data'!F542*$C$16 + '1 Data'!G542*$C$17 + '1 Data'!H542*$C$18</f>
        <v/>
      </c>
      <c r="D553" s="23">
        <f>1/(1+EXP(-C553))</f>
        <v/>
      </c>
      <c r="E553" s="27">
        <f>'1 Data'!I542</f>
        <v/>
      </c>
      <c r="F553" s="29">
        <f>RANK(D553,$D$23:$D$1022)</f>
        <v/>
      </c>
      <c r="G553" s="30">
        <f>COUNTIF($D$23:$D$1022,"&lt;"&amp;D553)+(COUNTIF($D$23:$D$1022,"="&amp;D553)+1)/2</f>
        <v/>
      </c>
    </row>
    <row r="554">
      <c r="B554" s="27">
        <f>'1 Data'!B543</f>
        <v/>
      </c>
      <c r="C554" s="28">
        <f>$C$12 + '1 Data'!C543*$C$13 + '1 Data'!D543*$C$14 + '1 Data'!E543*$C$15 + '1 Data'!F543*$C$16 + '1 Data'!G543*$C$17 + '1 Data'!H543*$C$18</f>
        <v/>
      </c>
      <c r="D554" s="23">
        <f>1/(1+EXP(-C554))</f>
        <v/>
      </c>
      <c r="E554" s="27">
        <f>'1 Data'!I543</f>
        <v/>
      </c>
      <c r="F554" s="29">
        <f>RANK(D554,$D$23:$D$1022)</f>
        <v/>
      </c>
      <c r="G554" s="30">
        <f>COUNTIF($D$23:$D$1022,"&lt;"&amp;D554)+(COUNTIF($D$23:$D$1022,"="&amp;D554)+1)/2</f>
        <v/>
      </c>
    </row>
    <row r="555">
      <c r="B555" s="27">
        <f>'1 Data'!B544</f>
        <v/>
      </c>
      <c r="C555" s="28">
        <f>$C$12 + '1 Data'!C544*$C$13 + '1 Data'!D544*$C$14 + '1 Data'!E544*$C$15 + '1 Data'!F544*$C$16 + '1 Data'!G544*$C$17 + '1 Data'!H544*$C$18</f>
        <v/>
      </c>
      <c r="D555" s="23">
        <f>1/(1+EXP(-C555))</f>
        <v/>
      </c>
      <c r="E555" s="27">
        <f>'1 Data'!I544</f>
        <v/>
      </c>
      <c r="F555" s="29">
        <f>RANK(D555,$D$23:$D$1022)</f>
        <v/>
      </c>
      <c r="G555" s="30">
        <f>COUNTIF($D$23:$D$1022,"&lt;"&amp;D555)+(COUNTIF($D$23:$D$1022,"="&amp;D555)+1)/2</f>
        <v/>
      </c>
    </row>
    <row r="556">
      <c r="B556" s="27">
        <f>'1 Data'!B545</f>
        <v/>
      </c>
      <c r="C556" s="28">
        <f>$C$12 + '1 Data'!C545*$C$13 + '1 Data'!D545*$C$14 + '1 Data'!E545*$C$15 + '1 Data'!F545*$C$16 + '1 Data'!G545*$C$17 + '1 Data'!H545*$C$18</f>
        <v/>
      </c>
      <c r="D556" s="23">
        <f>1/(1+EXP(-C556))</f>
        <v/>
      </c>
      <c r="E556" s="27">
        <f>'1 Data'!I545</f>
        <v/>
      </c>
      <c r="F556" s="29">
        <f>RANK(D556,$D$23:$D$1022)</f>
        <v/>
      </c>
      <c r="G556" s="30">
        <f>COUNTIF($D$23:$D$1022,"&lt;"&amp;D556)+(COUNTIF($D$23:$D$1022,"="&amp;D556)+1)/2</f>
        <v/>
      </c>
    </row>
    <row r="557">
      <c r="B557" s="27">
        <f>'1 Data'!B546</f>
        <v/>
      </c>
      <c r="C557" s="28">
        <f>$C$12 + '1 Data'!C546*$C$13 + '1 Data'!D546*$C$14 + '1 Data'!E546*$C$15 + '1 Data'!F546*$C$16 + '1 Data'!G546*$C$17 + '1 Data'!H546*$C$18</f>
        <v/>
      </c>
      <c r="D557" s="23">
        <f>1/(1+EXP(-C557))</f>
        <v/>
      </c>
      <c r="E557" s="27">
        <f>'1 Data'!I546</f>
        <v/>
      </c>
      <c r="F557" s="29">
        <f>RANK(D557,$D$23:$D$1022)</f>
        <v/>
      </c>
      <c r="G557" s="30">
        <f>COUNTIF($D$23:$D$1022,"&lt;"&amp;D557)+(COUNTIF($D$23:$D$1022,"="&amp;D557)+1)/2</f>
        <v/>
      </c>
    </row>
    <row r="558">
      <c r="B558" s="27">
        <f>'1 Data'!B547</f>
        <v/>
      </c>
      <c r="C558" s="28">
        <f>$C$12 + '1 Data'!C547*$C$13 + '1 Data'!D547*$C$14 + '1 Data'!E547*$C$15 + '1 Data'!F547*$C$16 + '1 Data'!G547*$C$17 + '1 Data'!H547*$C$18</f>
        <v/>
      </c>
      <c r="D558" s="23">
        <f>1/(1+EXP(-C558))</f>
        <v/>
      </c>
      <c r="E558" s="27">
        <f>'1 Data'!I547</f>
        <v/>
      </c>
      <c r="F558" s="29">
        <f>RANK(D558,$D$23:$D$1022)</f>
        <v/>
      </c>
      <c r="G558" s="30">
        <f>COUNTIF($D$23:$D$1022,"&lt;"&amp;D558)+(COUNTIF($D$23:$D$1022,"="&amp;D558)+1)/2</f>
        <v/>
      </c>
    </row>
    <row r="559">
      <c r="B559" s="27">
        <f>'1 Data'!B548</f>
        <v/>
      </c>
      <c r="C559" s="28">
        <f>$C$12 + '1 Data'!C548*$C$13 + '1 Data'!D548*$C$14 + '1 Data'!E548*$C$15 + '1 Data'!F548*$C$16 + '1 Data'!G548*$C$17 + '1 Data'!H548*$C$18</f>
        <v/>
      </c>
      <c r="D559" s="23">
        <f>1/(1+EXP(-C559))</f>
        <v/>
      </c>
      <c r="E559" s="27">
        <f>'1 Data'!I548</f>
        <v/>
      </c>
      <c r="F559" s="29">
        <f>RANK(D559,$D$23:$D$1022)</f>
        <v/>
      </c>
      <c r="G559" s="30">
        <f>COUNTIF($D$23:$D$1022,"&lt;"&amp;D559)+(COUNTIF($D$23:$D$1022,"="&amp;D559)+1)/2</f>
        <v/>
      </c>
    </row>
    <row r="560">
      <c r="B560" s="27">
        <f>'1 Data'!B549</f>
        <v/>
      </c>
      <c r="C560" s="28">
        <f>$C$12 + '1 Data'!C549*$C$13 + '1 Data'!D549*$C$14 + '1 Data'!E549*$C$15 + '1 Data'!F549*$C$16 + '1 Data'!G549*$C$17 + '1 Data'!H549*$C$18</f>
        <v/>
      </c>
      <c r="D560" s="23">
        <f>1/(1+EXP(-C560))</f>
        <v/>
      </c>
      <c r="E560" s="27">
        <f>'1 Data'!I549</f>
        <v/>
      </c>
      <c r="F560" s="29">
        <f>RANK(D560,$D$23:$D$1022)</f>
        <v/>
      </c>
      <c r="G560" s="30">
        <f>COUNTIF($D$23:$D$1022,"&lt;"&amp;D560)+(COUNTIF($D$23:$D$1022,"="&amp;D560)+1)/2</f>
        <v/>
      </c>
    </row>
    <row r="561">
      <c r="B561" s="27">
        <f>'1 Data'!B550</f>
        <v/>
      </c>
      <c r="C561" s="28">
        <f>$C$12 + '1 Data'!C550*$C$13 + '1 Data'!D550*$C$14 + '1 Data'!E550*$C$15 + '1 Data'!F550*$C$16 + '1 Data'!G550*$C$17 + '1 Data'!H550*$C$18</f>
        <v/>
      </c>
      <c r="D561" s="23">
        <f>1/(1+EXP(-C561))</f>
        <v/>
      </c>
      <c r="E561" s="27">
        <f>'1 Data'!I550</f>
        <v/>
      </c>
      <c r="F561" s="29">
        <f>RANK(D561,$D$23:$D$1022)</f>
        <v/>
      </c>
      <c r="G561" s="30">
        <f>COUNTIF($D$23:$D$1022,"&lt;"&amp;D561)+(COUNTIF($D$23:$D$1022,"="&amp;D561)+1)/2</f>
        <v/>
      </c>
    </row>
    <row r="562">
      <c r="B562" s="27">
        <f>'1 Data'!B551</f>
        <v/>
      </c>
      <c r="C562" s="28">
        <f>$C$12 + '1 Data'!C551*$C$13 + '1 Data'!D551*$C$14 + '1 Data'!E551*$C$15 + '1 Data'!F551*$C$16 + '1 Data'!G551*$C$17 + '1 Data'!H551*$C$18</f>
        <v/>
      </c>
      <c r="D562" s="23">
        <f>1/(1+EXP(-C562))</f>
        <v/>
      </c>
      <c r="E562" s="27">
        <f>'1 Data'!I551</f>
        <v/>
      </c>
      <c r="F562" s="29">
        <f>RANK(D562,$D$23:$D$1022)</f>
        <v/>
      </c>
      <c r="G562" s="30">
        <f>COUNTIF($D$23:$D$1022,"&lt;"&amp;D562)+(COUNTIF($D$23:$D$1022,"="&amp;D562)+1)/2</f>
        <v/>
      </c>
    </row>
    <row r="563">
      <c r="B563" s="27">
        <f>'1 Data'!B552</f>
        <v/>
      </c>
      <c r="C563" s="28">
        <f>$C$12 + '1 Data'!C552*$C$13 + '1 Data'!D552*$C$14 + '1 Data'!E552*$C$15 + '1 Data'!F552*$C$16 + '1 Data'!G552*$C$17 + '1 Data'!H552*$C$18</f>
        <v/>
      </c>
      <c r="D563" s="23">
        <f>1/(1+EXP(-C563))</f>
        <v/>
      </c>
      <c r="E563" s="27">
        <f>'1 Data'!I552</f>
        <v/>
      </c>
      <c r="F563" s="29">
        <f>RANK(D563,$D$23:$D$1022)</f>
        <v/>
      </c>
      <c r="G563" s="30">
        <f>COUNTIF($D$23:$D$1022,"&lt;"&amp;D563)+(COUNTIF($D$23:$D$1022,"="&amp;D563)+1)/2</f>
        <v/>
      </c>
    </row>
    <row r="564">
      <c r="B564" s="27">
        <f>'1 Data'!B553</f>
        <v/>
      </c>
      <c r="C564" s="28">
        <f>$C$12 + '1 Data'!C553*$C$13 + '1 Data'!D553*$C$14 + '1 Data'!E553*$C$15 + '1 Data'!F553*$C$16 + '1 Data'!G553*$C$17 + '1 Data'!H553*$C$18</f>
        <v/>
      </c>
      <c r="D564" s="23">
        <f>1/(1+EXP(-C564))</f>
        <v/>
      </c>
      <c r="E564" s="27">
        <f>'1 Data'!I553</f>
        <v/>
      </c>
      <c r="F564" s="29">
        <f>RANK(D564,$D$23:$D$1022)</f>
        <v/>
      </c>
      <c r="G564" s="30">
        <f>COUNTIF($D$23:$D$1022,"&lt;"&amp;D564)+(COUNTIF($D$23:$D$1022,"="&amp;D564)+1)/2</f>
        <v/>
      </c>
    </row>
    <row r="565">
      <c r="B565" s="27">
        <f>'1 Data'!B554</f>
        <v/>
      </c>
      <c r="C565" s="28">
        <f>$C$12 + '1 Data'!C554*$C$13 + '1 Data'!D554*$C$14 + '1 Data'!E554*$C$15 + '1 Data'!F554*$C$16 + '1 Data'!G554*$C$17 + '1 Data'!H554*$C$18</f>
        <v/>
      </c>
      <c r="D565" s="23">
        <f>1/(1+EXP(-C565))</f>
        <v/>
      </c>
      <c r="E565" s="27">
        <f>'1 Data'!I554</f>
        <v/>
      </c>
      <c r="F565" s="29">
        <f>RANK(D565,$D$23:$D$1022)</f>
        <v/>
      </c>
      <c r="G565" s="30">
        <f>COUNTIF($D$23:$D$1022,"&lt;"&amp;D565)+(COUNTIF($D$23:$D$1022,"="&amp;D565)+1)/2</f>
        <v/>
      </c>
    </row>
    <row r="566">
      <c r="B566" s="27">
        <f>'1 Data'!B555</f>
        <v/>
      </c>
      <c r="C566" s="28">
        <f>$C$12 + '1 Data'!C555*$C$13 + '1 Data'!D555*$C$14 + '1 Data'!E555*$C$15 + '1 Data'!F555*$C$16 + '1 Data'!G555*$C$17 + '1 Data'!H555*$C$18</f>
        <v/>
      </c>
      <c r="D566" s="23">
        <f>1/(1+EXP(-C566))</f>
        <v/>
      </c>
      <c r="E566" s="27">
        <f>'1 Data'!I555</f>
        <v/>
      </c>
      <c r="F566" s="29">
        <f>RANK(D566,$D$23:$D$1022)</f>
        <v/>
      </c>
      <c r="G566" s="30">
        <f>COUNTIF($D$23:$D$1022,"&lt;"&amp;D566)+(COUNTIF($D$23:$D$1022,"="&amp;D566)+1)/2</f>
        <v/>
      </c>
    </row>
    <row r="567">
      <c r="B567" s="27">
        <f>'1 Data'!B556</f>
        <v/>
      </c>
      <c r="C567" s="28">
        <f>$C$12 + '1 Data'!C556*$C$13 + '1 Data'!D556*$C$14 + '1 Data'!E556*$C$15 + '1 Data'!F556*$C$16 + '1 Data'!G556*$C$17 + '1 Data'!H556*$C$18</f>
        <v/>
      </c>
      <c r="D567" s="23">
        <f>1/(1+EXP(-C567))</f>
        <v/>
      </c>
      <c r="E567" s="27">
        <f>'1 Data'!I556</f>
        <v/>
      </c>
      <c r="F567" s="29">
        <f>RANK(D567,$D$23:$D$1022)</f>
        <v/>
      </c>
      <c r="G567" s="30">
        <f>COUNTIF($D$23:$D$1022,"&lt;"&amp;D567)+(COUNTIF($D$23:$D$1022,"="&amp;D567)+1)/2</f>
        <v/>
      </c>
    </row>
    <row r="568">
      <c r="B568" s="27">
        <f>'1 Data'!B557</f>
        <v/>
      </c>
      <c r="C568" s="28">
        <f>$C$12 + '1 Data'!C557*$C$13 + '1 Data'!D557*$C$14 + '1 Data'!E557*$C$15 + '1 Data'!F557*$C$16 + '1 Data'!G557*$C$17 + '1 Data'!H557*$C$18</f>
        <v/>
      </c>
      <c r="D568" s="23">
        <f>1/(1+EXP(-C568))</f>
        <v/>
      </c>
      <c r="E568" s="27">
        <f>'1 Data'!I557</f>
        <v/>
      </c>
      <c r="F568" s="29">
        <f>RANK(D568,$D$23:$D$1022)</f>
        <v/>
      </c>
      <c r="G568" s="30">
        <f>COUNTIF($D$23:$D$1022,"&lt;"&amp;D568)+(COUNTIF($D$23:$D$1022,"="&amp;D568)+1)/2</f>
        <v/>
      </c>
    </row>
    <row r="569">
      <c r="B569" s="27">
        <f>'1 Data'!B558</f>
        <v/>
      </c>
      <c r="C569" s="28">
        <f>$C$12 + '1 Data'!C558*$C$13 + '1 Data'!D558*$C$14 + '1 Data'!E558*$C$15 + '1 Data'!F558*$C$16 + '1 Data'!G558*$C$17 + '1 Data'!H558*$C$18</f>
        <v/>
      </c>
      <c r="D569" s="23">
        <f>1/(1+EXP(-C569))</f>
        <v/>
      </c>
      <c r="E569" s="27">
        <f>'1 Data'!I558</f>
        <v/>
      </c>
      <c r="F569" s="29">
        <f>RANK(D569,$D$23:$D$1022)</f>
        <v/>
      </c>
      <c r="G569" s="30">
        <f>COUNTIF($D$23:$D$1022,"&lt;"&amp;D569)+(COUNTIF($D$23:$D$1022,"="&amp;D569)+1)/2</f>
        <v/>
      </c>
    </row>
    <row r="570">
      <c r="B570" s="27">
        <f>'1 Data'!B559</f>
        <v/>
      </c>
      <c r="C570" s="28">
        <f>$C$12 + '1 Data'!C559*$C$13 + '1 Data'!D559*$C$14 + '1 Data'!E559*$C$15 + '1 Data'!F559*$C$16 + '1 Data'!G559*$C$17 + '1 Data'!H559*$C$18</f>
        <v/>
      </c>
      <c r="D570" s="23">
        <f>1/(1+EXP(-C570))</f>
        <v/>
      </c>
      <c r="E570" s="27">
        <f>'1 Data'!I559</f>
        <v/>
      </c>
      <c r="F570" s="29">
        <f>RANK(D570,$D$23:$D$1022)</f>
        <v/>
      </c>
      <c r="G570" s="30">
        <f>COUNTIF($D$23:$D$1022,"&lt;"&amp;D570)+(COUNTIF($D$23:$D$1022,"="&amp;D570)+1)/2</f>
        <v/>
      </c>
    </row>
    <row r="571">
      <c r="B571" s="27">
        <f>'1 Data'!B560</f>
        <v/>
      </c>
      <c r="C571" s="28">
        <f>$C$12 + '1 Data'!C560*$C$13 + '1 Data'!D560*$C$14 + '1 Data'!E560*$C$15 + '1 Data'!F560*$C$16 + '1 Data'!G560*$C$17 + '1 Data'!H560*$C$18</f>
        <v/>
      </c>
      <c r="D571" s="23">
        <f>1/(1+EXP(-C571))</f>
        <v/>
      </c>
      <c r="E571" s="27">
        <f>'1 Data'!I560</f>
        <v/>
      </c>
      <c r="F571" s="29">
        <f>RANK(D571,$D$23:$D$1022)</f>
        <v/>
      </c>
      <c r="G571" s="30">
        <f>COUNTIF($D$23:$D$1022,"&lt;"&amp;D571)+(COUNTIF($D$23:$D$1022,"="&amp;D571)+1)/2</f>
        <v/>
      </c>
    </row>
    <row r="572">
      <c r="B572" s="27">
        <f>'1 Data'!B561</f>
        <v/>
      </c>
      <c r="C572" s="28">
        <f>$C$12 + '1 Data'!C561*$C$13 + '1 Data'!D561*$C$14 + '1 Data'!E561*$C$15 + '1 Data'!F561*$C$16 + '1 Data'!G561*$C$17 + '1 Data'!H561*$C$18</f>
        <v/>
      </c>
      <c r="D572" s="23">
        <f>1/(1+EXP(-C572))</f>
        <v/>
      </c>
      <c r="E572" s="27">
        <f>'1 Data'!I561</f>
        <v/>
      </c>
      <c r="F572" s="29">
        <f>RANK(D572,$D$23:$D$1022)</f>
        <v/>
      </c>
      <c r="G572" s="30">
        <f>COUNTIF($D$23:$D$1022,"&lt;"&amp;D572)+(COUNTIF($D$23:$D$1022,"="&amp;D572)+1)/2</f>
        <v/>
      </c>
    </row>
    <row r="573">
      <c r="B573" s="27">
        <f>'1 Data'!B562</f>
        <v/>
      </c>
      <c r="C573" s="28">
        <f>$C$12 + '1 Data'!C562*$C$13 + '1 Data'!D562*$C$14 + '1 Data'!E562*$C$15 + '1 Data'!F562*$C$16 + '1 Data'!G562*$C$17 + '1 Data'!H562*$C$18</f>
        <v/>
      </c>
      <c r="D573" s="23">
        <f>1/(1+EXP(-C573))</f>
        <v/>
      </c>
      <c r="E573" s="27">
        <f>'1 Data'!I562</f>
        <v/>
      </c>
      <c r="F573" s="29">
        <f>RANK(D573,$D$23:$D$1022)</f>
        <v/>
      </c>
      <c r="G573" s="30">
        <f>COUNTIF($D$23:$D$1022,"&lt;"&amp;D573)+(COUNTIF($D$23:$D$1022,"="&amp;D573)+1)/2</f>
        <v/>
      </c>
    </row>
    <row r="574">
      <c r="B574" s="27">
        <f>'1 Data'!B563</f>
        <v/>
      </c>
      <c r="C574" s="28">
        <f>$C$12 + '1 Data'!C563*$C$13 + '1 Data'!D563*$C$14 + '1 Data'!E563*$C$15 + '1 Data'!F563*$C$16 + '1 Data'!G563*$C$17 + '1 Data'!H563*$C$18</f>
        <v/>
      </c>
      <c r="D574" s="23">
        <f>1/(1+EXP(-C574))</f>
        <v/>
      </c>
      <c r="E574" s="27">
        <f>'1 Data'!I563</f>
        <v/>
      </c>
      <c r="F574" s="29">
        <f>RANK(D574,$D$23:$D$1022)</f>
        <v/>
      </c>
      <c r="G574" s="30">
        <f>COUNTIF($D$23:$D$1022,"&lt;"&amp;D574)+(COUNTIF($D$23:$D$1022,"="&amp;D574)+1)/2</f>
        <v/>
      </c>
    </row>
    <row r="575">
      <c r="B575" s="27">
        <f>'1 Data'!B564</f>
        <v/>
      </c>
      <c r="C575" s="28">
        <f>$C$12 + '1 Data'!C564*$C$13 + '1 Data'!D564*$C$14 + '1 Data'!E564*$C$15 + '1 Data'!F564*$C$16 + '1 Data'!G564*$C$17 + '1 Data'!H564*$C$18</f>
        <v/>
      </c>
      <c r="D575" s="23">
        <f>1/(1+EXP(-C575))</f>
        <v/>
      </c>
      <c r="E575" s="27">
        <f>'1 Data'!I564</f>
        <v/>
      </c>
      <c r="F575" s="29">
        <f>RANK(D575,$D$23:$D$1022)</f>
        <v/>
      </c>
      <c r="G575" s="30">
        <f>COUNTIF($D$23:$D$1022,"&lt;"&amp;D575)+(COUNTIF($D$23:$D$1022,"="&amp;D575)+1)/2</f>
        <v/>
      </c>
    </row>
    <row r="576">
      <c r="B576" s="27">
        <f>'1 Data'!B565</f>
        <v/>
      </c>
      <c r="C576" s="28">
        <f>$C$12 + '1 Data'!C565*$C$13 + '1 Data'!D565*$C$14 + '1 Data'!E565*$C$15 + '1 Data'!F565*$C$16 + '1 Data'!G565*$C$17 + '1 Data'!H565*$C$18</f>
        <v/>
      </c>
      <c r="D576" s="23">
        <f>1/(1+EXP(-C576))</f>
        <v/>
      </c>
      <c r="E576" s="27">
        <f>'1 Data'!I565</f>
        <v/>
      </c>
      <c r="F576" s="29">
        <f>RANK(D576,$D$23:$D$1022)</f>
        <v/>
      </c>
      <c r="G576" s="30">
        <f>COUNTIF($D$23:$D$1022,"&lt;"&amp;D576)+(COUNTIF($D$23:$D$1022,"="&amp;D576)+1)/2</f>
        <v/>
      </c>
    </row>
    <row r="577">
      <c r="B577" s="27">
        <f>'1 Data'!B566</f>
        <v/>
      </c>
      <c r="C577" s="28">
        <f>$C$12 + '1 Data'!C566*$C$13 + '1 Data'!D566*$C$14 + '1 Data'!E566*$C$15 + '1 Data'!F566*$C$16 + '1 Data'!G566*$C$17 + '1 Data'!H566*$C$18</f>
        <v/>
      </c>
      <c r="D577" s="23">
        <f>1/(1+EXP(-C577))</f>
        <v/>
      </c>
      <c r="E577" s="27">
        <f>'1 Data'!I566</f>
        <v/>
      </c>
      <c r="F577" s="29">
        <f>RANK(D577,$D$23:$D$1022)</f>
        <v/>
      </c>
      <c r="G577" s="30">
        <f>COUNTIF($D$23:$D$1022,"&lt;"&amp;D577)+(COUNTIF($D$23:$D$1022,"="&amp;D577)+1)/2</f>
        <v/>
      </c>
    </row>
    <row r="578">
      <c r="B578" s="27">
        <f>'1 Data'!B567</f>
        <v/>
      </c>
      <c r="C578" s="28">
        <f>$C$12 + '1 Data'!C567*$C$13 + '1 Data'!D567*$C$14 + '1 Data'!E567*$C$15 + '1 Data'!F567*$C$16 + '1 Data'!G567*$C$17 + '1 Data'!H567*$C$18</f>
        <v/>
      </c>
      <c r="D578" s="23">
        <f>1/(1+EXP(-C578))</f>
        <v/>
      </c>
      <c r="E578" s="27">
        <f>'1 Data'!I567</f>
        <v/>
      </c>
      <c r="F578" s="29">
        <f>RANK(D578,$D$23:$D$1022)</f>
        <v/>
      </c>
      <c r="G578" s="30">
        <f>COUNTIF($D$23:$D$1022,"&lt;"&amp;D578)+(COUNTIF($D$23:$D$1022,"="&amp;D578)+1)/2</f>
        <v/>
      </c>
    </row>
    <row r="579">
      <c r="B579" s="27">
        <f>'1 Data'!B568</f>
        <v/>
      </c>
      <c r="C579" s="28">
        <f>$C$12 + '1 Data'!C568*$C$13 + '1 Data'!D568*$C$14 + '1 Data'!E568*$C$15 + '1 Data'!F568*$C$16 + '1 Data'!G568*$C$17 + '1 Data'!H568*$C$18</f>
        <v/>
      </c>
      <c r="D579" s="23">
        <f>1/(1+EXP(-C579))</f>
        <v/>
      </c>
      <c r="E579" s="27">
        <f>'1 Data'!I568</f>
        <v/>
      </c>
      <c r="F579" s="29">
        <f>RANK(D579,$D$23:$D$1022)</f>
        <v/>
      </c>
      <c r="G579" s="30">
        <f>COUNTIF($D$23:$D$1022,"&lt;"&amp;D579)+(COUNTIF($D$23:$D$1022,"="&amp;D579)+1)/2</f>
        <v/>
      </c>
    </row>
    <row r="580">
      <c r="B580" s="27">
        <f>'1 Data'!B569</f>
        <v/>
      </c>
      <c r="C580" s="28">
        <f>$C$12 + '1 Data'!C569*$C$13 + '1 Data'!D569*$C$14 + '1 Data'!E569*$C$15 + '1 Data'!F569*$C$16 + '1 Data'!G569*$C$17 + '1 Data'!H569*$C$18</f>
        <v/>
      </c>
      <c r="D580" s="23">
        <f>1/(1+EXP(-C580))</f>
        <v/>
      </c>
      <c r="E580" s="27">
        <f>'1 Data'!I569</f>
        <v/>
      </c>
      <c r="F580" s="29">
        <f>RANK(D580,$D$23:$D$1022)</f>
        <v/>
      </c>
      <c r="G580" s="30">
        <f>COUNTIF($D$23:$D$1022,"&lt;"&amp;D580)+(COUNTIF($D$23:$D$1022,"="&amp;D580)+1)/2</f>
        <v/>
      </c>
    </row>
    <row r="581">
      <c r="B581" s="27">
        <f>'1 Data'!B570</f>
        <v/>
      </c>
      <c r="C581" s="28">
        <f>$C$12 + '1 Data'!C570*$C$13 + '1 Data'!D570*$C$14 + '1 Data'!E570*$C$15 + '1 Data'!F570*$C$16 + '1 Data'!G570*$C$17 + '1 Data'!H570*$C$18</f>
        <v/>
      </c>
      <c r="D581" s="23">
        <f>1/(1+EXP(-C581))</f>
        <v/>
      </c>
      <c r="E581" s="27">
        <f>'1 Data'!I570</f>
        <v/>
      </c>
      <c r="F581" s="29">
        <f>RANK(D581,$D$23:$D$1022)</f>
        <v/>
      </c>
      <c r="G581" s="30">
        <f>COUNTIF($D$23:$D$1022,"&lt;"&amp;D581)+(COUNTIF($D$23:$D$1022,"="&amp;D581)+1)/2</f>
        <v/>
      </c>
    </row>
    <row r="582">
      <c r="B582" s="27">
        <f>'1 Data'!B571</f>
        <v/>
      </c>
      <c r="C582" s="28">
        <f>$C$12 + '1 Data'!C571*$C$13 + '1 Data'!D571*$C$14 + '1 Data'!E571*$C$15 + '1 Data'!F571*$C$16 + '1 Data'!G571*$C$17 + '1 Data'!H571*$C$18</f>
        <v/>
      </c>
      <c r="D582" s="23">
        <f>1/(1+EXP(-C582))</f>
        <v/>
      </c>
      <c r="E582" s="27">
        <f>'1 Data'!I571</f>
        <v/>
      </c>
      <c r="F582" s="29">
        <f>RANK(D582,$D$23:$D$1022)</f>
        <v/>
      </c>
      <c r="G582" s="30">
        <f>COUNTIF($D$23:$D$1022,"&lt;"&amp;D582)+(COUNTIF($D$23:$D$1022,"="&amp;D582)+1)/2</f>
        <v/>
      </c>
    </row>
    <row r="583">
      <c r="B583" s="27">
        <f>'1 Data'!B572</f>
        <v/>
      </c>
      <c r="C583" s="28">
        <f>$C$12 + '1 Data'!C572*$C$13 + '1 Data'!D572*$C$14 + '1 Data'!E572*$C$15 + '1 Data'!F572*$C$16 + '1 Data'!G572*$C$17 + '1 Data'!H572*$C$18</f>
        <v/>
      </c>
      <c r="D583" s="23">
        <f>1/(1+EXP(-C583))</f>
        <v/>
      </c>
      <c r="E583" s="27">
        <f>'1 Data'!I572</f>
        <v/>
      </c>
      <c r="F583" s="29">
        <f>RANK(D583,$D$23:$D$1022)</f>
        <v/>
      </c>
      <c r="G583" s="30">
        <f>COUNTIF($D$23:$D$1022,"&lt;"&amp;D583)+(COUNTIF($D$23:$D$1022,"="&amp;D583)+1)/2</f>
        <v/>
      </c>
    </row>
    <row r="584">
      <c r="B584" s="27">
        <f>'1 Data'!B573</f>
        <v/>
      </c>
      <c r="C584" s="28">
        <f>$C$12 + '1 Data'!C573*$C$13 + '1 Data'!D573*$C$14 + '1 Data'!E573*$C$15 + '1 Data'!F573*$C$16 + '1 Data'!G573*$C$17 + '1 Data'!H573*$C$18</f>
        <v/>
      </c>
      <c r="D584" s="23">
        <f>1/(1+EXP(-C584))</f>
        <v/>
      </c>
      <c r="E584" s="27">
        <f>'1 Data'!I573</f>
        <v/>
      </c>
      <c r="F584" s="29">
        <f>RANK(D584,$D$23:$D$1022)</f>
        <v/>
      </c>
      <c r="G584" s="30">
        <f>COUNTIF($D$23:$D$1022,"&lt;"&amp;D584)+(COUNTIF($D$23:$D$1022,"="&amp;D584)+1)/2</f>
        <v/>
      </c>
    </row>
    <row r="585">
      <c r="B585" s="27">
        <f>'1 Data'!B574</f>
        <v/>
      </c>
      <c r="C585" s="28">
        <f>$C$12 + '1 Data'!C574*$C$13 + '1 Data'!D574*$C$14 + '1 Data'!E574*$C$15 + '1 Data'!F574*$C$16 + '1 Data'!G574*$C$17 + '1 Data'!H574*$C$18</f>
        <v/>
      </c>
      <c r="D585" s="23">
        <f>1/(1+EXP(-C585))</f>
        <v/>
      </c>
      <c r="E585" s="27">
        <f>'1 Data'!I574</f>
        <v/>
      </c>
      <c r="F585" s="29">
        <f>RANK(D585,$D$23:$D$1022)</f>
        <v/>
      </c>
      <c r="G585" s="30">
        <f>COUNTIF($D$23:$D$1022,"&lt;"&amp;D585)+(COUNTIF($D$23:$D$1022,"="&amp;D585)+1)/2</f>
        <v/>
      </c>
    </row>
    <row r="586">
      <c r="B586" s="27">
        <f>'1 Data'!B575</f>
        <v/>
      </c>
      <c r="C586" s="28">
        <f>$C$12 + '1 Data'!C575*$C$13 + '1 Data'!D575*$C$14 + '1 Data'!E575*$C$15 + '1 Data'!F575*$C$16 + '1 Data'!G575*$C$17 + '1 Data'!H575*$C$18</f>
        <v/>
      </c>
      <c r="D586" s="23">
        <f>1/(1+EXP(-C586))</f>
        <v/>
      </c>
      <c r="E586" s="27">
        <f>'1 Data'!I575</f>
        <v/>
      </c>
      <c r="F586" s="29">
        <f>RANK(D586,$D$23:$D$1022)</f>
        <v/>
      </c>
      <c r="G586" s="30">
        <f>COUNTIF($D$23:$D$1022,"&lt;"&amp;D586)+(COUNTIF($D$23:$D$1022,"="&amp;D586)+1)/2</f>
        <v/>
      </c>
    </row>
    <row r="587">
      <c r="B587" s="27">
        <f>'1 Data'!B576</f>
        <v/>
      </c>
      <c r="C587" s="28">
        <f>$C$12 + '1 Data'!C576*$C$13 + '1 Data'!D576*$C$14 + '1 Data'!E576*$C$15 + '1 Data'!F576*$C$16 + '1 Data'!G576*$C$17 + '1 Data'!H576*$C$18</f>
        <v/>
      </c>
      <c r="D587" s="23">
        <f>1/(1+EXP(-C587))</f>
        <v/>
      </c>
      <c r="E587" s="27">
        <f>'1 Data'!I576</f>
        <v/>
      </c>
      <c r="F587" s="29">
        <f>RANK(D587,$D$23:$D$1022)</f>
        <v/>
      </c>
      <c r="G587" s="30">
        <f>COUNTIF($D$23:$D$1022,"&lt;"&amp;D587)+(COUNTIF($D$23:$D$1022,"="&amp;D587)+1)/2</f>
        <v/>
      </c>
    </row>
    <row r="588">
      <c r="B588" s="27">
        <f>'1 Data'!B577</f>
        <v/>
      </c>
      <c r="C588" s="28">
        <f>$C$12 + '1 Data'!C577*$C$13 + '1 Data'!D577*$C$14 + '1 Data'!E577*$C$15 + '1 Data'!F577*$C$16 + '1 Data'!G577*$C$17 + '1 Data'!H577*$C$18</f>
        <v/>
      </c>
      <c r="D588" s="23">
        <f>1/(1+EXP(-C588))</f>
        <v/>
      </c>
      <c r="E588" s="27">
        <f>'1 Data'!I577</f>
        <v/>
      </c>
      <c r="F588" s="29">
        <f>RANK(D588,$D$23:$D$1022)</f>
        <v/>
      </c>
      <c r="G588" s="30">
        <f>COUNTIF($D$23:$D$1022,"&lt;"&amp;D588)+(COUNTIF($D$23:$D$1022,"="&amp;D588)+1)/2</f>
        <v/>
      </c>
    </row>
    <row r="589">
      <c r="B589" s="27">
        <f>'1 Data'!B578</f>
        <v/>
      </c>
      <c r="C589" s="28">
        <f>$C$12 + '1 Data'!C578*$C$13 + '1 Data'!D578*$C$14 + '1 Data'!E578*$C$15 + '1 Data'!F578*$C$16 + '1 Data'!G578*$C$17 + '1 Data'!H578*$C$18</f>
        <v/>
      </c>
      <c r="D589" s="23">
        <f>1/(1+EXP(-C589))</f>
        <v/>
      </c>
      <c r="E589" s="27">
        <f>'1 Data'!I578</f>
        <v/>
      </c>
      <c r="F589" s="29">
        <f>RANK(D589,$D$23:$D$1022)</f>
        <v/>
      </c>
      <c r="G589" s="30">
        <f>COUNTIF($D$23:$D$1022,"&lt;"&amp;D589)+(COUNTIF($D$23:$D$1022,"="&amp;D589)+1)/2</f>
        <v/>
      </c>
    </row>
    <row r="590">
      <c r="B590" s="27">
        <f>'1 Data'!B579</f>
        <v/>
      </c>
      <c r="C590" s="28">
        <f>$C$12 + '1 Data'!C579*$C$13 + '1 Data'!D579*$C$14 + '1 Data'!E579*$C$15 + '1 Data'!F579*$C$16 + '1 Data'!G579*$C$17 + '1 Data'!H579*$C$18</f>
        <v/>
      </c>
      <c r="D590" s="23">
        <f>1/(1+EXP(-C590))</f>
        <v/>
      </c>
      <c r="E590" s="27">
        <f>'1 Data'!I579</f>
        <v/>
      </c>
      <c r="F590" s="29">
        <f>RANK(D590,$D$23:$D$1022)</f>
        <v/>
      </c>
      <c r="G590" s="30">
        <f>COUNTIF($D$23:$D$1022,"&lt;"&amp;D590)+(COUNTIF($D$23:$D$1022,"="&amp;D590)+1)/2</f>
        <v/>
      </c>
    </row>
    <row r="591">
      <c r="B591" s="27">
        <f>'1 Data'!B580</f>
        <v/>
      </c>
      <c r="C591" s="28">
        <f>$C$12 + '1 Data'!C580*$C$13 + '1 Data'!D580*$C$14 + '1 Data'!E580*$C$15 + '1 Data'!F580*$C$16 + '1 Data'!G580*$C$17 + '1 Data'!H580*$C$18</f>
        <v/>
      </c>
      <c r="D591" s="23">
        <f>1/(1+EXP(-C591))</f>
        <v/>
      </c>
      <c r="E591" s="27">
        <f>'1 Data'!I580</f>
        <v/>
      </c>
      <c r="F591" s="29">
        <f>RANK(D591,$D$23:$D$1022)</f>
        <v/>
      </c>
      <c r="G591" s="30">
        <f>COUNTIF($D$23:$D$1022,"&lt;"&amp;D591)+(COUNTIF($D$23:$D$1022,"="&amp;D591)+1)/2</f>
        <v/>
      </c>
    </row>
    <row r="592">
      <c r="B592" s="27">
        <f>'1 Data'!B581</f>
        <v/>
      </c>
      <c r="C592" s="28">
        <f>$C$12 + '1 Data'!C581*$C$13 + '1 Data'!D581*$C$14 + '1 Data'!E581*$C$15 + '1 Data'!F581*$C$16 + '1 Data'!G581*$C$17 + '1 Data'!H581*$C$18</f>
        <v/>
      </c>
      <c r="D592" s="23">
        <f>1/(1+EXP(-C592))</f>
        <v/>
      </c>
      <c r="E592" s="27">
        <f>'1 Data'!I581</f>
        <v/>
      </c>
      <c r="F592" s="29">
        <f>RANK(D592,$D$23:$D$1022)</f>
        <v/>
      </c>
      <c r="G592" s="30">
        <f>COUNTIF($D$23:$D$1022,"&lt;"&amp;D592)+(COUNTIF($D$23:$D$1022,"="&amp;D592)+1)/2</f>
        <v/>
      </c>
    </row>
    <row r="593">
      <c r="B593" s="27">
        <f>'1 Data'!B582</f>
        <v/>
      </c>
      <c r="C593" s="28">
        <f>$C$12 + '1 Data'!C582*$C$13 + '1 Data'!D582*$C$14 + '1 Data'!E582*$C$15 + '1 Data'!F582*$C$16 + '1 Data'!G582*$C$17 + '1 Data'!H582*$C$18</f>
        <v/>
      </c>
      <c r="D593" s="23">
        <f>1/(1+EXP(-C593))</f>
        <v/>
      </c>
      <c r="E593" s="27">
        <f>'1 Data'!I582</f>
        <v/>
      </c>
      <c r="F593" s="29">
        <f>RANK(D593,$D$23:$D$1022)</f>
        <v/>
      </c>
      <c r="G593" s="30">
        <f>COUNTIF($D$23:$D$1022,"&lt;"&amp;D593)+(COUNTIF($D$23:$D$1022,"="&amp;D593)+1)/2</f>
        <v/>
      </c>
    </row>
    <row r="594">
      <c r="B594" s="27">
        <f>'1 Data'!B583</f>
        <v/>
      </c>
      <c r="C594" s="28">
        <f>$C$12 + '1 Data'!C583*$C$13 + '1 Data'!D583*$C$14 + '1 Data'!E583*$C$15 + '1 Data'!F583*$C$16 + '1 Data'!G583*$C$17 + '1 Data'!H583*$C$18</f>
        <v/>
      </c>
      <c r="D594" s="23">
        <f>1/(1+EXP(-C594))</f>
        <v/>
      </c>
      <c r="E594" s="27">
        <f>'1 Data'!I583</f>
        <v/>
      </c>
      <c r="F594" s="29">
        <f>RANK(D594,$D$23:$D$1022)</f>
        <v/>
      </c>
      <c r="G594" s="30">
        <f>COUNTIF($D$23:$D$1022,"&lt;"&amp;D594)+(COUNTIF($D$23:$D$1022,"="&amp;D594)+1)/2</f>
        <v/>
      </c>
    </row>
    <row r="595">
      <c r="B595" s="27">
        <f>'1 Data'!B584</f>
        <v/>
      </c>
      <c r="C595" s="28">
        <f>$C$12 + '1 Data'!C584*$C$13 + '1 Data'!D584*$C$14 + '1 Data'!E584*$C$15 + '1 Data'!F584*$C$16 + '1 Data'!G584*$C$17 + '1 Data'!H584*$C$18</f>
        <v/>
      </c>
      <c r="D595" s="23">
        <f>1/(1+EXP(-C595))</f>
        <v/>
      </c>
      <c r="E595" s="27">
        <f>'1 Data'!I584</f>
        <v/>
      </c>
      <c r="F595" s="29">
        <f>RANK(D595,$D$23:$D$1022)</f>
        <v/>
      </c>
      <c r="G595" s="30">
        <f>COUNTIF($D$23:$D$1022,"&lt;"&amp;D595)+(COUNTIF($D$23:$D$1022,"="&amp;D595)+1)/2</f>
        <v/>
      </c>
    </row>
    <row r="596">
      <c r="B596" s="27">
        <f>'1 Data'!B585</f>
        <v/>
      </c>
      <c r="C596" s="28">
        <f>$C$12 + '1 Data'!C585*$C$13 + '1 Data'!D585*$C$14 + '1 Data'!E585*$C$15 + '1 Data'!F585*$C$16 + '1 Data'!G585*$C$17 + '1 Data'!H585*$C$18</f>
        <v/>
      </c>
      <c r="D596" s="23">
        <f>1/(1+EXP(-C596))</f>
        <v/>
      </c>
      <c r="E596" s="27">
        <f>'1 Data'!I585</f>
        <v/>
      </c>
      <c r="F596" s="29">
        <f>RANK(D596,$D$23:$D$1022)</f>
        <v/>
      </c>
      <c r="G596" s="30">
        <f>COUNTIF($D$23:$D$1022,"&lt;"&amp;D596)+(COUNTIF($D$23:$D$1022,"="&amp;D596)+1)/2</f>
        <v/>
      </c>
    </row>
    <row r="597">
      <c r="B597" s="27">
        <f>'1 Data'!B586</f>
        <v/>
      </c>
      <c r="C597" s="28">
        <f>$C$12 + '1 Data'!C586*$C$13 + '1 Data'!D586*$C$14 + '1 Data'!E586*$C$15 + '1 Data'!F586*$C$16 + '1 Data'!G586*$C$17 + '1 Data'!H586*$C$18</f>
        <v/>
      </c>
      <c r="D597" s="23">
        <f>1/(1+EXP(-C597))</f>
        <v/>
      </c>
      <c r="E597" s="27">
        <f>'1 Data'!I586</f>
        <v/>
      </c>
      <c r="F597" s="29">
        <f>RANK(D597,$D$23:$D$1022)</f>
        <v/>
      </c>
      <c r="G597" s="30">
        <f>COUNTIF($D$23:$D$1022,"&lt;"&amp;D597)+(COUNTIF($D$23:$D$1022,"="&amp;D597)+1)/2</f>
        <v/>
      </c>
    </row>
    <row r="598">
      <c r="B598" s="27">
        <f>'1 Data'!B587</f>
        <v/>
      </c>
      <c r="C598" s="28">
        <f>$C$12 + '1 Data'!C587*$C$13 + '1 Data'!D587*$C$14 + '1 Data'!E587*$C$15 + '1 Data'!F587*$C$16 + '1 Data'!G587*$C$17 + '1 Data'!H587*$C$18</f>
        <v/>
      </c>
      <c r="D598" s="23">
        <f>1/(1+EXP(-C598))</f>
        <v/>
      </c>
      <c r="E598" s="27">
        <f>'1 Data'!I587</f>
        <v/>
      </c>
      <c r="F598" s="29">
        <f>RANK(D598,$D$23:$D$1022)</f>
        <v/>
      </c>
      <c r="G598" s="30">
        <f>COUNTIF($D$23:$D$1022,"&lt;"&amp;D598)+(COUNTIF($D$23:$D$1022,"="&amp;D598)+1)/2</f>
        <v/>
      </c>
    </row>
    <row r="599">
      <c r="B599" s="27">
        <f>'1 Data'!B588</f>
        <v/>
      </c>
      <c r="C599" s="28">
        <f>$C$12 + '1 Data'!C588*$C$13 + '1 Data'!D588*$C$14 + '1 Data'!E588*$C$15 + '1 Data'!F588*$C$16 + '1 Data'!G588*$C$17 + '1 Data'!H588*$C$18</f>
        <v/>
      </c>
      <c r="D599" s="23">
        <f>1/(1+EXP(-C599))</f>
        <v/>
      </c>
      <c r="E599" s="27">
        <f>'1 Data'!I588</f>
        <v/>
      </c>
      <c r="F599" s="29">
        <f>RANK(D599,$D$23:$D$1022)</f>
        <v/>
      </c>
      <c r="G599" s="30">
        <f>COUNTIF($D$23:$D$1022,"&lt;"&amp;D599)+(COUNTIF($D$23:$D$1022,"="&amp;D599)+1)/2</f>
        <v/>
      </c>
    </row>
    <row r="600">
      <c r="B600" s="27">
        <f>'1 Data'!B589</f>
        <v/>
      </c>
      <c r="C600" s="28">
        <f>$C$12 + '1 Data'!C589*$C$13 + '1 Data'!D589*$C$14 + '1 Data'!E589*$C$15 + '1 Data'!F589*$C$16 + '1 Data'!G589*$C$17 + '1 Data'!H589*$C$18</f>
        <v/>
      </c>
      <c r="D600" s="23">
        <f>1/(1+EXP(-C600))</f>
        <v/>
      </c>
      <c r="E600" s="27">
        <f>'1 Data'!I589</f>
        <v/>
      </c>
      <c r="F600" s="29">
        <f>RANK(D600,$D$23:$D$1022)</f>
        <v/>
      </c>
      <c r="G600" s="30">
        <f>COUNTIF($D$23:$D$1022,"&lt;"&amp;D600)+(COUNTIF($D$23:$D$1022,"="&amp;D600)+1)/2</f>
        <v/>
      </c>
    </row>
    <row r="601">
      <c r="B601" s="27">
        <f>'1 Data'!B590</f>
        <v/>
      </c>
      <c r="C601" s="28">
        <f>$C$12 + '1 Data'!C590*$C$13 + '1 Data'!D590*$C$14 + '1 Data'!E590*$C$15 + '1 Data'!F590*$C$16 + '1 Data'!G590*$C$17 + '1 Data'!H590*$C$18</f>
        <v/>
      </c>
      <c r="D601" s="23">
        <f>1/(1+EXP(-C601))</f>
        <v/>
      </c>
      <c r="E601" s="27">
        <f>'1 Data'!I590</f>
        <v/>
      </c>
      <c r="F601" s="29">
        <f>RANK(D601,$D$23:$D$1022)</f>
        <v/>
      </c>
      <c r="G601" s="30">
        <f>COUNTIF($D$23:$D$1022,"&lt;"&amp;D601)+(COUNTIF($D$23:$D$1022,"="&amp;D601)+1)/2</f>
        <v/>
      </c>
    </row>
    <row r="602">
      <c r="B602" s="27">
        <f>'1 Data'!B591</f>
        <v/>
      </c>
      <c r="C602" s="28">
        <f>$C$12 + '1 Data'!C591*$C$13 + '1 Data'!D591*$C$14 + '1 Data'!E591*$C$15 + '1 Data'!F591*$C$16 + '1 Data'!G591*$C$17 + '1 Data'!H591*$C$18</f>
        <v/>
      </c>
      <c r="D602" s="23">
        <f>1/(1+EXP(-C602))</f>
        <v/>
      </c>
      <c r="E602" s="27">
        <f>'1 Data'!I591</f>
        <v/>
      </c>
      <c r="F602" s="29">
        <f>RANK(D602,$D$23:$D$1022)</f>
        <v/>
      </c>
      <c r="G602" s="30">
        <f>COUNTIF($D$23:$D$1022,"&lt;"&amp;D602)+(COUNTIF($D$23:$D$1022,"="&amp;D602)+1)/2</f>
        <v/>
      </c>
    </row>
    <row r="603">
      <c r="B603" s="27">
        <f>'1 Data'!B592</f>
        <v/>
      </c>
      <c r="C603" s="28">
        <f>$C$12 + '1 Data'!C592*$C$13 + '1 Data'!D592*$C$14 + '1 Data'!E592*$C$15 + '1 Data'!F592*$C$16 + '1 Data'!G592*$C$17 + '1 Data'!H592*$C$18</f>
        <v/>
      </c>
      <c r="D603" s="23">
        <f>1/(1+EXP(-C603))</f>
        <v/>
      </c>
      <c r="E603" s="27">
        <f>'1 Data'!I592</f>
        <v/>
      </c>
      <c r="F603" s="29">
        <f>RANK(D603,$D$23:$D$1022)</f>
        <v/>
      </c>
      <c r="G603" s="30">
        <f>COUNTIF($D$23:$D$1022,"&lt;"&amp;D603)+(COUNTIF($D$23:$D$1022,"="&amp;D603)+1)/2</f>
        <v/>
      </c>
    </row>
    <row r="604">
      <c r="B604" s="27">
        <f>'1 Data'!B593</f>
        <v/>
      </c>
      <c r="C604" s="28">
        <f>$C$12 + '1 Data'!C593*$C$13 + '1 Data'!D593*$C$14 + '1 Data'!E593*$C$15 + '1 Data'!F593*$C$16 + '1 Data'!G593*$C$17 + '1 Data'!H593*$C$18</f>
        <v/>
      </c>
      <c r="D604" s="23">
        <f>1/(1+EXP(-C604))</f>
        <v/>
      </c>
      <c r="E604" s="27">
        <f>'1 Data'!I593</f>
        <v/>
      </c>
      <c r="F604" s="29">
        <f>RANK(D604,$D$23:$D$1022)</f>
        <v/>
      </c>
      <c r="G604" s="30">
        <f>COUNTIF($D$23:$D$1022,"&lt;"&amp;D604)+(COUNTIF($D$23:$D$1022,"="&amp;D604)+1)/2</f>
        <v/>
      </c>
    </row>
    <row r="605">
      <c r="B605" s="27">
        <f>'1 Data'!B594</f>
        <v/>
      </c>
      <c r="C605" s="28">
        <f>$C$12 + '1 Data'!C594*$C$13 + '1 Data'!D594*$C$14 + '1 Data'!E594*$C$15 + '1 Data'!F594*$C$16 + '1 Data'!G594*$C$17 + '1 Data'!H594*$C$18</f>
        <v/>
      </c>
      <c r="D605" s="23">
        <f>1/(1+EXP(-C605))</f>
        <v/>
      </c>
      <c r="E605" s="27">
        <f>'1 Data'!I594</f>
        <v/>
      </c>
      <c r="F605" s="29">
        <f>RANK(D605,$D$23:$D$1022)</f>
        <v/>
      </c>
      <c r="G605" s="30">
        <f>COUNTIF($D$23:$D$1022,"&lt;"&amp;D605)+(COUNTIF($D$23:$D$1022,"="&amp;D605)+1)/2</f>
        <v/>
      </c>
    </row>
    <row r="606">
      <c r="B606" s="27">
        <f>'1 Data'!B595</f>
        <v/>
      </c>
      <c r="C606" s="28">
        <f>$C$12 + '1 Data'!C595*$C$13 + '1 Data'!D595*$C$14 + '1 Data'!E595*$C$15 + '1 Data'!F595*$C$16 + '1 Data'!G595*$C$17 + '1 Data'!H595*$C$18</f>
        <v/>
      </c>
      <c r="D606" s="23">
        <f>1/(1+EXP(-C606))</f>
        <v/>
      </c>
      <c r="E606" s="27">
        <f>'1 Data'!I595</f>
        <v/>
      </c>
      <c r="F606" s="29">
        <f>RANK(D606,$D$23:$D$1022)</f>
        <v/>
      </c>
      <c r="G606" s="30">
        <f>COUNTIF($D$23:$D$1022,"&lt;"&amp;D606)+(COUNTIF($D$23:$D$1022,"="&amp;D606)+1)/2</f>
        <v/>
      </c>
    </row>
    <row r="607">
      <c r="B607" s="27">
        <f>'1 Data'!B596</f>
        <v/>
      </c>
      <c r="C607" s="28">
        <f>$C$12 + '1 Data'!C596*$C$13 + '1 Data'!D596*$C$14 + '1 Data'!E596*$C$15 + '1 Data'!F596*$C$16 + '1 Data'!G596*$C$17 + '1 Data'!H596*$C$18</f>
        <v/>
      </c>
      <c r="D607" s="23">
        <f>1/(1+EXP(-C607))</f>
        <v/>
      </c>
      <c r="E607" s="27">
        <f>'1 Data'!I596</f>
        <v/>
      </c>
      <c r="F607" s="29">
        <f>RANK(D607,$D$23:$D$1022)</f>
        <v/>
      </c>
      <c r="G607" s="30">
        <f>COUNTIF($D$23:$D$1022,"&lt;"&amp;D607)+(COUNTIF($D$23:$D$1022,"="&amp;D607)+1)/2</f>
        <v/>
      </c>
    </row>
    <row r="608">
      <c r="B608" s="27">
        <f>'1 Data'!B597</f>
        <v/>
      </c>
      <c r="C608" s="28">
        <f>$C$12 + '1 Data'!C597*$C$13 + '1 Data'!D597*$C$14 + '1 Data'!E597*$C$15 + '1 Data'!F597*$C$16 + '1 Data'!G597*$C$17 + '1 Data'!H597*$C$18</f>
        <v/>
      </c>
      <c r="D608" s="23">
        <f>1/(1+EXP(-C608))</f>
        <v/>
      </c>
      <c r="E608" s="27">
        <f>'1 Data'!I597</f>
        <v/>
      </c>
      <c r="F608" s="29">
        <f>RANK(D608,$D$23:$D$1022)</f>
        <v/>
      </c>
      <c r="G608" s="30">
        <f>COUNTIF($D$23:$D$1022,"&lt;"&amp;D608)+(COUNTIF($D$23:$D$1022,"="&amp;D608)+1)/2</f>
        <v/>
      </c>
    </row>
    <row r="609">
      <c r="B609" s="27">
        <f>'1 Data'!B598</f>
        <v/>
      </c>
      <c r="C609" s="28">
        <f>$C$12 + '1 Data'!C598*$C$13 + '1 Data'!D598*$C$14 + '1 Data'!E598*$C$15 + '1 Data'!F598*$C$16 + '1 Data'!G598*$C$17 + '1 Data'!H598*$C$18</f>
        <v/>
      </c>
      <c r="D609" s="23">
        <f>1/(1+EXP(-C609))</f>
        <v/>
      </c>
      <c r="E609" s="27">
        <f>'1 Data'!I598</f>
        <v/>
      </c>
      <c r="F609" s="29">
        <f>RANK(D609,$D$23:$D$1022)</f>
        <v/>
      </c>
      <c r="G609" s="30">
        <f>COUNTIF($D$23:$D$1022,"&lt;"&amp;D609)+(COUNTIF($D$23:$D$1022,"="&amp;D609)+1)/2</f>
        <v/>
      </c>
    </row>
    <row r="610">
      <c r="B610" s="27">
        <f>'1 Data'!B599</f>
        <v/>
      </c>
      <c r="C610" s="28">
        <f>$C$12 + '1 Data'!C599*$C$13 + '1 Data'!D599*$C$14 + '1 Data'!E599*$C$15 + '1 Data'!F599*$C$16 + '1 Data'!G599*$C$17 + '1 Data'!H599*$C$18</f>
        <v/>
      </c>
      <c r="D610" s="23">
        <f>1/(1+EXP(-C610))</f>
        <v/>
      </c>
      <c r="E610" s="27">
        <f>'1 Data'!I599</f>
        <v/>
      </c>
      <c r="F610" s="29">
        <f>RANK(D610,$D$23:$D$1022)</f>
        <v/>
      </c>
      <c r="G610" s="30">
        <f>COUNTIF($D$23:$D$1022,"&lt;"&amp;D610)+(COUNTIF($D$23:$D$1022,"="&amp;D610)+1)/2</f>
        <v/>
      </c>
    </row>
    <row r="611">
      <c r="B611" s="27">
        <f>'1 Data'!B600</f>
        <v/>
      </c>
      <c r="C611" s="28">
        <f>$C$12 + '1 Data'!C600*$C$13 + '1 Data'!D600*$C$14 + '1 Data'!E600*$C$15 + '1 Data'!F600*$C$16 + '1 Data'!G600*$C$17 + '1 Data'!H600*$C$18</f>
        <v/>
      </c>
      <c r="D611" s="23">
        <f>1/(1+EXP(-C611))</f>
        <v/>
      </c>
      <c r="E611" s="27">
        <f>'1 Data'!I600</f>
        <v/>
      </c>
      <c r="F611" s="29">
        <f>RANK(D611,$D$23:$D$1022)</f>
        <v/>
      </c>
      <c r="G611" s="30">
        <f>COUNTIF($D$23:$D$1022,"&lt;"&amp;D611)+(COUNTIF($D$23:$D$1022,"="&amp;D611)+1)/2</f>
        <v/>
      </c>
    </row>
    <row r="612">
      <c r="B612" s="27">
        <f>'1 Data'!B601</f>
        <v/>
      </c>
      <c r="C612" s="28">
        <f>$C$12 + '1 Data'!C601*$C$13 + '1 Data'!D601*$C$14 + '1 Data'!E601*$C$15 + '1 Data'!F601*$C$16 + '1 Data'!G601*$C$17 + '1 Data'!H601*$C$18</f>
        <v/>
      </c>
      <c r="D612" s="23">
        <f>1/(1+EXP(-C612))</f>
        <v/>
      </c>
      <c r="E612" s="27">
        <f>'1 Data'!I601</f>
        <v/>
      </c>
      <c r="F612" s="29">
        <f>RANK(D612,$D$23:$D$1022)</f>
        <v/>
      </c>
      <c r="G612" s="30">
        <f>COUNTIF($D$23:$D$1022,"&lt;"&amp;D612)+(COUNTIF($D$23:$D$1022,"="&amp;D612)+1)/2</f>
        <v/>
      </c>
    </row>
    <row r="613">
      <c r="B613" s="27">
        <f>'1 Data'!B602</f>
        <v/>
      </c>
      <c r="C613" s="28">
        <f>$C$12 + '1 Data'!C602*$C$13 + '1 Data'!D602*$C$14 + '1 Data'!E602*$C$15 + '1 Data'!F602*$C$16 + '1 Data'!G602*$C$17 + '1 Data'!H602*$C$18</f>
        <v/>
      </c>
      <c r="D613" s="23">
        <f>1/(1+EXP(-C613))</f>
        <v/>
      </c>
      <c r="E613" s="27">
        <f>'1 Data'!I602</f>
        <v/>
      </c>
      <c r="F613" s="29">
        <f>RANK(D613,$D$23:$D$1022)</f>
        <v/>
      </c>
      <c r="G613" s="30">
        <f>COUNTIF($D$23:$D$1022,"&lt;"&amp;D613)+(COUNTIF($D$23:$D$1022,"="&amp;D613)+1)/2</f>
        <v/>
      </c>
    </row>
    <row r="614">
      <c r="B614" s="27">
        <f>'1 Data'!B603</f>
        <v/>
      </c>
      <c r="C614" s="28">
        <f>$C$12 + '1 Data'!C603*$C$13 + '1 Data'!D603*$C$14 + '1 Data'!E603*$C$15 + '1 Data'!F603*$C$16 + '1 Data'!G603*$C$17 + '1 Data'!H603*$C$18</f>
        <v/>
      </c>
      <c r="D614" s="23">
        <f>1/(1+EXP(-C614))</f>
        <v/>
      </c>
      <c r="E614" s="27">
        <f>'1 Data'!I603</f>
        <v/>
      </c>
      <c r="F614" s="29">
        <f>RANK(D614,$D$23:$D$1022)</f>
        <v/>
      </c>
      <c r="G614" s="30">
        <f>COUNTIF($D$23:$D$1022,"&lt;"&amp;D614)+(COUNTIF($D$23:$D$1022,"="&amp;D614)+1)/2</f>
        <v/>
      </c>
    </row>
    <row r="615">
      <c r="B615" s="27">
        <f>'1 Data'!B604</f>
        <v/>
      </c>
      <c r="C615" s="28">
        <f>$C$12 + '1 Data'!C604*$C$13 + '1 Data'!D604*$C$14 + '1 Data'!E604*$C$15 + '1 Data'!F604*$C$16 + '1 Data'!G604*$C$17 + '1 Data'!H604*$C$18</f>
        <v/>
      </c>
      <c r="D615" s="23">
        <f>1/(1+EXP(-C615))</f>
        <v/>
      </c>
      <c r="E615" s="27">
        <f>'1 Data'!I604</f>
        <v/>
      </c>
      <c r="F615" s="29">
        <f>RANK(D615,$D$23:$D$1022)</f>
        <v/>
      </c>
      <c r="G615" s="30">
        <f>COUNTIF($D$23:$D$1022,"&lt;"&amp;D615)+(COUNTIF($D$23:$D$1022,"="&amp;D615)+1)/2</f>
        <v/>
      </c>
    </row>
    <row r="616">
      <c r="B616" s="27">
        <f>'1 Data'!B605</f>
        <v/>
      </c>
      <c r="C616" s="28">
        <f>$C$12 + '1 Data'!C605*$C$13 + '1 Data'!D605*$C$14 + '1 Data'!E605*$C$15 + '1 Data'!F605*$C$16 + '1 Data'!G605*$C$17 + '1 Data'!H605*$C$18</f>
        <v/>
      </c>
      <c r="D616" s="23">
        <f>1/(1+EXP(-C616))</f>
        <v/>
      </c>
      <c r="E616" s="27">
        <f>'1 Data'!I605</f>
        <v/>
      </c>
      <c r="F616" s="29">
        <f>RANK(D616,$D$23:$D$1022)</f>
        <v/>
      </c>
      <c r="G616" s="30">
        <f>COUNTIF($D$23:$D$1022,"&lt;"&amp;D616)+(COUNTIF($D$23:$D$1022,"="&amp;D616)+1)/2</f>
        <v/>
      </c>
    </row>
    <row r="617">
      <c r="B617" s="27">
        <f>'1 Data'!B606</f>
        <v/>
      </c>
      <c r="C617" s="28">
        <f>$C$12 + '1 Data'!C606*$C$13 + '1 Data'!D606*$C$14 + '1 Data'!E606*$C$15 + '1 Data'!F606*$C$16 + '1 Data'!G606*$C$17 + '1 Data'!H606*$C$18</f>
        <v/>
      </c>
      <c r="D617" s="23">
        <f>1/(1+EXP(-C617))</f>
        <v/>
      </c>
      <c r="E617" s="27">
        <f>'1 Data'!I606</f>
        <v/>
      </c>
      <c r="F617" s="29">
        <f>RANK(D617,$D$23:$D$1022)</f>
        <v/>
      </c>
      <c r="G617" s="30">
        <f>COUNTIF($D$23:$D$1022,"&lt;"&amp;D617)+(COUNTIF($D$23:$D$1022,"="&amp;D617)+1)/2</f>
        <v/>
      </c>
    </row>
    <row r="618">
      <c r="B618" s="27">
        <f>'1 Data'!B607</f>
        <v/>
      </c>
      <c r="C618" s="28">
        <f>$C$12 + '1 Data'!C607*$C$13 + '1 Data'!D607*$C$14 + '1 Data'!E607*$C$15 + '1 Data'!F607*$C$16 + '1 Data'!G607*$C$17 + '1 Data'!H607*$C$18</f>
        <v/>
      </c>
      <c r="D618" s="23">
        <f>1/(1+EXP(-C618))</f>
        <v/>
      </c>
      <c r="E618" s="27">
        <f>'1 Data'!I607</f>
        <v/>
      </c>
      <c r="F618" s="29">
        <f>RANK(D618,$D$23:$D$1022)</f>
        <v/>
      </c>
      <c r="G618" s="30">
        <f>COUNTIF($D$23:$D$1022,"&lt;"&amp;D618)+(COUNTIF($D$23:$D$1022,"="&amp;D618)+1)/2</f>
        <v/>
      </c>
    </row>
    <row r="619">
      <c r="B619" s="27">
        <f>'1 Data'!B608</f>
        <v/>
      </c>
      <c r="C619" s="28">
        <f>$C$12 + '1 Data'!C608*$C$13 + '1 Data'!D608*$C$14 + '1 Data'!E608*$C$15 + '1 Data'!F608*$C$16 + '1 Data'!G608*$C$17 + '1 Data'!H608*$C$18</f>
        <v/>
      </c>
      <c r="D619" s="23">
        <f>1/(1+EXP(-C619))</f>
        <v/>
      </c>
      <c r="E619" s="27">
        <f>'1 Data'!I608</f>
        <v/>
      </c>
      <c r="F619" s="29">
        <f>RANK(D619,$D$23:$D$1022)</f>
        <v/>
      </c>
      <c r="G619" s="30">
        <f>COUNTIF($D$23:$D$1022,"&lt;"&amp;D619)+(COUNTIF($D$23:$D$1022,"="&amp;D619)+1)/2</f>
        <v/>
      </c>
    </row>
    <row r="620">
      <c r="B620" s="27">
        <f>'1 Data'!B609</f>
        <v/>
      </c>
      <c r="C620" s="28">
        <f>$C$12 + '1 Data'!C609*$C$13 + '1 Data'!D609*$C$14 + '1 Data'!E609*$C$15 + '1 Data'!F609*$C$16 + '1 Data'!G609*$C$17 + '1 Data'!H609*$C$18</f>
        <v/>
      </c>
      <c r="D620" s="23">
        <f>1/(1+EXP(-C620))</f>
        <v/>
      </c>
      <c r="E620" s="27">
        <f>'1 Data'!I609</f>
        <v/>
      </c>
      <c r="F620" s="29">
        <f>RANK(D620,$D$23:$D$1022)</f>
        <v/>
      </c>
      <c r="G620" s="30">
        <f>COUNTIF($D$23:$D$1022,"&lt;"&amp;D620)+(COUNTIF($D$23:$D$1022,"="&amp;D620)+1)/2</f>
        <v/>
      </c>
    </row>
    <row r="621">
      <c r="B621" s="27">
        <f>'1 Data'!B610</f>
        <v/>
      </c>
      <c r="C621" s="28">
        <f>$C$12 + '1 Data'!C610*$C$13 + '1 Data'!D610*$C$14 + '1 Data'!E610*$C$15 + '1 Data'!F610*$C$16 + '1 Data'!G610*$C$17 + '1 Data'!H610*$C$18</f>
        <v/>
      </c>
      <c r="D621" s="23">
        <f>1/(1+EXP(-C621))</f>
        <v/>
      </c>
      <c r="E621" s="27">
        <f>'1 Data'!I610</f>
        <v/>
      </c>
      <c r="F621" s="29">
        <f>RANK(D621,$D$23:$D$1022)</f>
        <v/>
      </c>
      <c r="G621" s="30">
        <f>COUNTIF($D$23:$D$1022,"&lt;"&amp;D621)+(COUNTIF($D$23:$D$1022,"="&amp;D621)+1)/2</f>
        <v/>
      </c>
    </row>
    <row r="622">
      <c r="B622" s="27">
        <f>'1 Data'!B611</f>
        <v/>
      </c>
      <c r="C622" s="28">
        <f>$C$12 + '1 Data'!C611*$C$13 + '1 Data'!D611*$C$14 + '1 Data'!E611*$C$15 + '1 Data'!F611*$C$16 + '1 Data'!G611*$C$17 + '1 Data'!H611*$C$18</f>
        <v/>
      </c>
      <c r="D622" s="23">
        <f>1/(1+EXP(-C622))</f>
        <v/>
      </c>
      <c r="E622" s="27">
        <f>'1 Data'!I611</f>
        <v/>
      </c>
      <c r="F622" s="29">
        <f>RANK(D622,$D$23:$D$1022)</f>
        <v/>
      </c>
      <c r="G622" s="30">
        <f>COUNTIF($D$23:$D$1022,"&lt;"&amp;D622)+(COUNTIF($D$23:$D$1022,"="&amp;D622)+1)/2</f>
        <v/>
      </c>
    </row>
    <row r="623">
      <c r="B623" s="27">
        <f>'1 Data'!B612</f>
        <v/>
      </c>
      <c r="C623" s="28">
        <f>$C$12 + '1 Data'!C612*$C$13 + '1 Data'!D612*$C$14 + '1 Data'!E612*$C$15 + '1 Data'!F612*$C$16 + '1 Data'!G612*$C$17 + '1 Data'!H612*$C$18</f>
        <v/>
      </c>
      <c r="D623" s="23">
        <f>1/(1+EXP(-C623))</f>
        <v/>
      </c>
      <c r="E623" s="27">
        <f>'1 Data'!I612</f>
        <v/>
      </c>
      <c r="F623" s="29">
        <f>RANK(D623,$D$23:$D$1022)</f>
        <v/>
      </c>
      <c r="G623" s="30">
        <f>COUNTIF($D$23:$D$1022,"&lt;"&amp;D623)+(COUNTIF($D$23:$D$1022,"="&amp;D623)+1)/2</f>
        <v/>
      </c>
    </row>
    <row r="624">
      <c r="B624" s="27">
        <f>'1 Data'!B613</f>
        <v/>
      </c>
      <c r="C624" s="28">
        <f>$C$12 + '1 Data'!C613*$C$13 + '1 Data'!D613*$C$14 + '1 Data'!E613*$C$15 + '1 Data'!F613*$C$16 + '1 Data'!G613*$C$17 + '1 Data'!H613*$C$18</f>
        <v/>
      </c>
      <c r="D624" s="23">
        <f>1/(1+EXP(-C624))</f>
        <v/>
      </c>
      <c r="E624" s="27">
        <f>'1 Data'!I613</f>
        <v/>
      </c>
      <c r="F624" s="29">
        <f>RANK(D624,$D$23:$D$1022)</f>
        <v/>
      </c>
      <c r="G624" s="30">
        <f>COUNTIF($D$23:$D$1022,"&lt;"&amp;D624)+(COUNTIF($D$23:$D$1022,"="&amp;D624)+1)/2</f>
        <v/>
      </c>
    </row>
    <row r="625">
      <c r="B625" s="27">
        <f>'1 Data'!B614</f>
        <v/>
      </c>
      <c r="C625" s="28">
        <f>$C$12 + '1 Data'!C614*$C$13 + '1 Data'!D614*$C$14 + '1 Data'!E614*$C$15 + '1 Data'!F614*$C$16 + '1 Data'!G614*$C$17 + '1 Data'!H614*$C$18</f>
        <v/>
      </c>
      <c r="D625" s="23">
        <f>1/(1+EXP(-C625))</f>
        <v/>
      </c>
      <c r="E625" s="27">
        <f>'1 Data'!I614</f>
        <v/>
      </c>
      <c r="F625" s="29">
        <f>RANK(D625,$D$23:$D$1022)</f>
        <v/>
      </c>
      <c r="G625" s="30">
        <f>COUNTIF($D$23:$D$1022,"&lt;"&amp;D625)+(COUNTIF($D$23:$D$1022,"="&amp;D625)+1)/2</f>
        <v/>
      </c>
    </row>
    <row r="626">
      <c r="B626" s="27">
        <f>'1 Data'!B615</f>
        <v/>
      </c>
      <c r="C626" s="28">
        <f>$C$12 + '1 Data'!C615*$C$13 + '1 Data'!D615*$C$14 + '1 Data'!E615*$C$15 + '1 Data'!F615*$C$16 + '1 Data'!G615*$C$17 + '1 Data'!H615*$C$18</f>
        <v/>
      </c>
      <c r="D626" s="23">
        <f>1/(1+EXP(-C626))</f>
        <v/>
      </c>
      <c r="E626" s="27">
        <f>'1 Data'!I615</f>
        <v/>
      </c>
      <c r="F626" s="29">
        <f>RANK(D626,$D$23:$D$1022)</f>
        <v/>
      </c>
      <c r="G626" s="30">
        <f>COUNTIF($D$23:$D$1022,"&lt;"&amp;D626)+(COUNTIF($D$23:$D$1022,"="&amp;D626)+1)/2</f>
        <v/>
      </c>
    </row>
    <row r="627">
      <c r="B627" s="27">
        <f>'1 Data'!B616</f>
        <v/>
      </c>
      <c r="C627" s="28">
        <f>$C$12 + '1 Data'!C616*$C$13 + '1 Data'!D616*$C$14 + '1 Data'!E616*$C$15 + '1 Data'!F616*$C$16 + '1 Data'!G616*$C$17 + '1 Data'!H616*$C$18</f>
        <v/>
      </c>
      <c r="D627" s="23">
        <f>1/(1+EXP(-C627))</f>
        <v/>
      </c>
      <c r="E627" s="27">
        <f>'1 Data'!I616</f>
        <v/>
      </c>
      <c r="F627" s="29">
        <f>RANK(D627,$D$23:$D$1022)</f>
        <v/>
      </c>
      <c r="G627" s="30">
        <f>COUNTIF($D$23:$D$1022,"&lt;"&amp;D627)+(COUNTIF($D$23:$D$1022,"="&amp;D627)+1)/2</f>
        <v/>
      </c>
    </row>
    <row r="628">
      <c r="B628" s="27">
        <f>'1 Data'!B617</f>
        <v/>
      </c>
      <c r="C628" s="28">
        <f>$C$12 + '1 Data'!C617*$C$13 + '1 Data'!D617*$C$14 + '1 Data'!E617*$C$15 + '1 Data'!F617*$C$16 + '1 Data'!G617*$C$17 + '1 Data'!H617*$C$18</f>
        <v/>
      </c>
      <c r="D628" s="23">
        <f>1/(1+EXP(-C628))</f>
        <v/>
      </c>
      <c r="E628" s="27">
        <f>'1 Data'!I617</f>
        <v/>
      </c>
      <c r="F628" s="29">
        <f>RANK(D628,$D$23:$D$1022)</f>
        <v/>
      </c>
      <c r="G628" s="30">
        <f>COUNTIF($D$23:$D$1022,"&lt;"&amp;D628)+(COUNTIF($D$23:$D$1022,"="&amp;D628)+1)/2</f>
        <v/>
      </c>
    </row>
    <row r="629">
      <c r="B629" s="27">
        <f>'1 Data'!B618</f>
        <v/>
      </c>
      <c r="C629" s="28">
        <f>$C$12 + '1 Data'!C618*$C$13 + '1 Data'!D618*$C$14 + '1 Data'!E618*$C$15 + '1 Data'!F618*$C$16 + '1 Data'!G618*$C$17 + '1 Data'!H618*$C$18</f>
        <v/>
      </c>
      <c r="D629" s="23">
        <f>1/(1+EXP(-C629))</f>
        <v/>
      </c>
      <c r="E629" s="27">
        <f>'1 Data'!I618</f>
        <v/>
      </c>
      <c r="F629" s="29">
        <f>RANK(D629,$D$23:$D$1022)</f>
        <v/>
      </c>
      <c r="G629" s="30">
        <f>COUNTIF($D$23:$D$1022,"&lt;"&amp;D629)+(COUNTIF($D$23:$D$1022,"="&amp;D629)+1)/2</f>
        <v/>
      </c>
    </row>
    <row r="630">
      <c r="B630" s="27">
        <f>'1 Data'!B619</f>
        <v/>
      </c>
      <c r="C630" s="28">
        <f>$C$12 + '1 Data'!C619*$C$13 + '1 Data'!D619*$C$14 + '1 Data'!E619*$C$15 + '1 Data'!F619*$C$16 + '1 Data'!G619*$C$17 + '1 Data'!H619*$C$18</f>
        <v/>
      </c>
      <c r="D630" s="23">
        <f>1/(1+EXP(-C630))</f>
        <v/>
      </c>
      <c r="E630" s="27">
        <f>'1 Data'!I619</f>
        <v/>
      </c>
      <c r="F630" s="29">
        <f>RANK(D630,$D$23:$D$1022)</f>
        <v/>
      </c>
      <c r="G630" s="30">
        <f>COUNTIF($D$23:$D$1022,"&lt;"&amp;D630)+(COUNTIF($D$23:$D$1022,"="&amp;D630)+1)/2</f>
        <v/>
      </c>
    </row>
    <row r="631">
      <c r="B631" s="27">
        <f>'1 Data'!B620</f>
        <v/>
      </c>
      <c r="C631" s="28">
        <f>$C$12 + '1 Data'!C620*$C$13 + '1 Data'!D620*$C$14 + '1 Data'!E620*$C$15 + '1 Data'!F620*$C$16 + '1 Data'!G620*$C$17 + '1 Data'!H620*$C$18</f>
        <v/>
      </c>
      <c r="D631" s="23">
        <f>1/(1+EXP(-C631))</f>
        <v/>
      </c>
      <c r="E631" s="27">
        <f>'1 Data'!I620</f>
        <v/>
      </c>
      <c r="F631" s="29">
        <f>RANK(D631,$D$23:$D$1022)</f>
        <v/>
      </c>
      <c r="G631" s="30">
        <f>COUNTIF($D$23:$D$1022,"&lt;"&amp;D631)+(COUNTIF($D$23:$D$1022,"="&amp;D631)+1)/2</f>
        <v/>
      </c>
    </row>
    <row r="632">
      <c r="B632" s="27">
        <f>'1 Data'!B621</f>
        <v/>
      </c>
      <c r="C632" s="28">
        <f>$C$12 + '1 Data'!C621*$C$13 + '1 Data'!D621*$C$14 + '1 Data'!E621*$C$15 + '1 Data'!F621*$C$16 + '1 Data'!G621*$C$17 + '1 Data'!H621*$C$18</f>
        <v/>
      </c>
      <c r="D632" s="23">
        <f>1/(1+EXP(-C632))</f>
        <v/>
      </c>
      <c r="E632" s="27">
        <f>'1 Data'!I621</f>
        <v/>
      </c>
      <c r="F632" s="29">
        <f>RANK(D632,$D$23:$D$1022)</f>
        <v/>
      </c>
      <c r="G632" s="30">
        <f>COUNTIF($D$23:$D$1022,"&lt;"&amp;D632)+(COUNTIF($D$23:$D$1022,"="&amp;D632)+1)/2</f>
        <v/>
      </c>
    </row>
    <row r="633">
      <c r="B633" s="27">
        <f>'1 Data'!B622</f>
        <v/>
      </c>
      <c r="C633" s="28">
        <f>$C$12 + '1 Data'!C622*$C$13 + '1 Data'!D622*$C$14 + '1 Data'!E622*$C$15 + '1 Data'!F622*$C$16 + '1 Data'!G622*$C$17 + '1 Data'!H622*$C$18</f>
        <v/>
      </c>
      <c r="D633" s="23">
        <f>1/(1+EXP(-C633))</f>
        <v/>
      </c>
      <c r="E633" s="27">
        <f>'1 Data'!I622</f>
        <v/>
      </c>
      <c r="F633" s="29">
        <f>RANK(D633,$D$23:$D$1022)</f>
        <v/>
      </c>
      <c r="G633" s="30">
        <f>COUNTIF($D$23:$D$1022,"&lt;"&amp;D633)+(COUNTIF($D$23:$D$1022,"="&amp;D633)+1)/2</f>
        <v/>
      </c>
    </row>
    <row r="634">
      <c r="B634" s="27">
        <f>'1 Data'!B623</f>
        <v/>
      </c>
      <c r="C634" s="28">
        <f>$C$12 + '1 Data'!C623*$C$13 + '1 Data'!D623*$C$14 + '1 Data'!E623*$C$15 + '1 Data'!F623*$C$16 + '1 Data'!G623*$C$17 + '1 Data'!H623*$C$18</f>
        <v/>
      </c>
      <c r="D634" s="23">
        <f>1/(1+EXP(-C634))</f>
        <v/>
      </c>
      <c r="E634" s="27">
        <f>'1 Data'!I623</f>
        <v/>
      </c>
      <c r="F634" s="29">
        <f>RANK(D634,$D$23:$D$1022)</f>
        <v/>
      </c>
      <c r="G634" s="30">
        <f>COUNTIF($D$23:$D$1022,"&lt;"&amp;D634)+(COUNTIF($D$23:$D$1022,"="&amp;D634)+1)/2</f>
        <v/>
      </c>
    </row>
    <row r="635">
      <c r="B635" s="27">
        <f>'1 Data'!B624</f>
        <v/>
      </c>
      <c r="C635" s="28">
        <f>$C$12 + '1 Data'!C624*$C$13 + '1 Data'!D624*$C$14 + '1 Data'!E624*$C$15 + '1 Data'!F624*$C$16 + '1 Data'!G624*$C$17 + '1 Data'!H624*$C$18</f>
        <v/>
      </c>
      <c r="D635" s="23">
        <f>1/(1+EXP(-C635))</f>
        <v/>
      </c>
      <c r="E635" s="27">
        <f>'1 Data'!I624</f>
        <v/>
      </c>
      <c r="F635" s="29">
        <f>RANK(D635,$D$23:$D$1022)</f>
        <v/>
      </c>
      <c r="G635" s="30">
        <f>COUNTIF($D$23:$D$1022,"&lt;"&amp;D635)+(COUNTIF($D$23:$D$1022,"="&amp;D635)+1)/2</f>
        <v/>
      </c>
    </row>
    <row r="636">
      <c r="B636" s="27">
        <f>'1 Data'!B625</f>
        <v/>
      </c>
      <c r="C636" s="28">
        <f>$C$12 + '1 Data'!C625*$C$13 + '1 Data'!D625*$C$14 + '1 Data'!E625*$C$15 + '1 Data'!F625*$C$16 + '1 Data'!G625*$C$17 + '1 Data'!H625*$C$18</f>
        <v/>
      </c>
      <c r="D636" s="23">
        <f>1/(1+EXP(-C636))</f>
        <v/>
      </c>
      <c r="E636" s="27">
        <f>'1 Data'!I625</f>
        <v/>
      </c>
      <c r="F636" s="29">
        <f>RANK(D636,$D$23:$D$1022)</f>
        <v/>
      </c>
      <c r="G636" s="30">
        <f>COUNTIF($D$23:$D$1022,"&lt;"&amp;D636)+(COUNTIF($D$23:$D$1022,"="&amp;D636)+1)/2</f>
        <v/>
      </c>
    </row>
    <row r="637">
      <c r="B637" s="27">
        <f>'1 Data'!B626</f>
        <v/>
      </c>
      <c r="C637" s="28">
        <f>$C$12 + '1 Data'!C626*$C$13 + '1 Data'!D626*$C$14 + '1 Data'!E626*$C$15 + '1 Data'!F626*$C$16 + '1 Data'!G626*$C$17 + '1 Data'!H626*$C$18</f>
        <v/>
      </c>
      <c r="D637" s="23">
        <f>1/(1+EXP(-C637))</f>
        <v/>
      </c>
      <c r="E637" s="27">
        <f>'1 Data'!I626</f>
        <v/>
      </c>
      <c r="F637" s="29">
        <f>RANK(D637,$D$23:$D$1022)</f>
        <v/>
      </c>
      <c r="G637" s="30">
        <f>COUNTIF($D$23:$D$1022,"&lt;"&amp;D637)+(COUNTIF($D$23:$D$1022,"="&amp;D637)+1)/2</f>
        <v/>
      </c>
    </row>
    <row r="638">
      <c r="B638" s="27">
        <f>'1 Data'!B627</f>
        <v/>
      </c>
      <c r="C638" s="28">
        <f>$C$12 + '1 Data'!C627*$C$13 + '1 Data'!D627*$C$14 + '1 Data'!E627*$C$15 + '1 Data'!F627*$C$16 + '1 Data'!G627*$C$17 + '1 Data'!H627*$C$18</f>
        <v/>
      </c>
      <c r="D638" s="23">
        <f>1/(1+EXP(-C638))</f>
        <v/>
      </c>
      <c r="E638" s="27">
        <f>'1 Data'!I627</f>
        <v/>
      </c>
      <c r="F638" s="29">
        <f>RANK(D638,$D$23:$D$1022)</f>
        <v/>
      </c>
      <c r="G638" s="30">
        <f>COUNTIF($D$23:$D$1022,"&lt;"&amp;D638)+(COUNTIF($D$23:$D$1022,"="&amp;D638)+1)/2</f>
        <v/>
      </c>
    </row>
    <row r="639">
      <c r="B639" s="27">
        <f>'1 Data'!B628</f>
        <v/>
      </c>
      <c r="C639" s="28">
        <f>$C$12 + '1 Data'!C628*$C$13 + '1 Data'!D628*$C$14 + '1 Data'!E628*$C$15 + '1 Data'!F628*$C$16 + '1 Data'!G628*$C$17 + '1 Data'!H628*$C$18</f>
        <v/>
      </c>
      <c r="D639" s="23">
        <f>1/(1+EXP(-C639))</f>
        <v/>
      </c>
      <c r="E639" s="27">
        <f>'1 Data'!I628</f>
        <v/>
      </c>
      <c r="F639" s="29">
        <f>RANK(D639,$D$23:$D$1022)</f>
        <v/>
      </c>
      <c r="G639" s="30">
        <f>COUNTIF($D$23:$D$1022,"&lt;"&amp;D639)+(COUNTIF($D$23:$D$1022,"="&amp;D639)+1)/2</f>
        <v/>
      </c>
    </row>
    <row r="640">
      <c r="B640" s="27">
        <f>'1 Data'!B629</f>
        <v/>
      </c>
      <c r="C640" s="28">
        <f>$C$12 + '1 Data'!C629*$C$13 + '1 Data'!D629*$C$14 + '1 Data'!E629*$C$15 + '1 Data'!F629*$C$16 + '1 Data'!G629*$C$17 + '1 Data'!H629*$C$18</f>
        <v/>
      </c>
      <c r="D640" s="23">
        <f>1/(1+EXP(-C640))</f>
        <v/>
      </c>
      <c r="E640" s="27">
        <f>'1 Data'!I629</f>
        <v/>
      </c>
      <c r="F640" s="29">
        <f>RANK(D640,$D$23:$D$1022)</f>
        <v/>
      </c>
      <c r="G640" s="30">
        <f>COUNTIF($D$23:$D$1022,"&lt;"&amp;D640)+(COUNTIF($D$23:$D$1022,"="&amp;D640)+1)/2</f>
        <v/>
      </c>
    </row>
    <row r="641">
      <c r="B641" s="27">
        <f>'1 Data'!B630</f>
        <v/>
      </c>
      <c r="C641" s="28">
        <f>$C$12 + '1 Data'!C630*$C$13 + '1 Data'!D630*$C$14 + '1 Data'!E630*$C$15 + '1 Data'!F630*$C$16 + '1 Data'!G630*$C$17 + '1 Data'!H630*$C$18</f>
        <v/>
      </c>
      <c r="D641" s="23">
        <f>1/(1+EXP(-C641))</f>
        <v/>
      </c>
      <c r="E641" s="27">
        <f>'1 Data'!I630</f>
        <v/>
      </c>
      <c r="F641" s="29">
        <f>RANK(D641,$D$23:$D$1022)</f>
        <v/>
      </c>
      <c r="G641" s="30">
        <f>COUNTIF($D$23:$D$1022,"&lt;"&amp;D641)+(COUNTIF($D$23:$D$1022,"="&amp;D641)+1)/2</f>
        <v/>
      </c>
    </row>
    <row r="642">
      <c r="B642" s="27">
        <f>'1 Data'!B631</f>
        <v/>
      </c>
      <c r="C642" s="28">
        <f>$C$12 + '1 Data'!C631*$C$13 + '1 Data'!D631*$C$14 + '1 Data'!E631*$C$15 + '1 Data'!F631*$C$16 + '1 Data'!G631*$C$17 + '1 Data'!H631*$C$18</f>
        <v/>
      </c>
      <c r="D642" s="23">
        <f>1/(1+EXP(-C642))</f>
        <v/>
      </c>
      <c r="E642" s="27">
        <f>'1 Data'!I631</f>
        <v/>
      </c>
      <c r="F642" s="29">
        <f>RANK(D642,$D$23:$D$1022)</f>
        <v/>
      </c>
      <c r="G642" s="30">
        <f>COUNTIF($D$23:$D$1022,"&lt;"&amp;D642)+(COUNTIF($D$23:$D$1022,"="&amp;D642)+1)/2</f>
        <v/>
      </c>
    </row>
    <row r="643">
      <c r="B643" s="27">
        <f>'1 Data'!B632</f>
        <v/>
      </c>
      <c r="C643" s="28">
        <f>$C$12 + '1 Data'!C632*$C$13 + '1 Data'!D632*$C$14 + '1 Data'!E632*$C$15 + '1 Data'!F632*$C$16 + '1 Data'!G632*$C$17 + '1 Data'!H632*$C$18</f>
        <v/>
      </c>
      <c r="D643" s="23">
        <f>1/(1+EXP(-C643))</f>
        <v/>
      </c>
      <c r="E643" s="27">
        <f>'1 Data'!I632</f>
        <v/>
      </c>
      <c r="F643" s="29">
        <f>RANK(D643,$D$23:$D$1022)</f>
        <v/>
      </c>
      <c r="G643" s="30">
        <f>COUNTIF($D$23:$D$1022,"&lt;"&amp;D643)+(COUNTIF($D$23:$D$1022,"="&amp;D643)+1)/2</f>
        <v/>
      </c>
    </row>
    <row r="644">
      <c r="B644" s="27">
        <f>'1 Data'!B633</f>
        <v/>
      </c>
      <c r="C644" s="28">
        <f>$C$12 + '1 Data'!C633*$C$13 + '1 Data'!D633*$C$14 + '1 Data'!E633*$C$15 + '1 Data'!F633*$C$16 + '1 Data'!G633*$C$17 + '1 Data'!H633*$C$18</f>
        <v/>
      </c>
      <c r="D644" s="23">
        <f>1/(1+EXP(-C644))</f>
        <v/>
      </c>
      <c r="E644" s="27">
        <f>'1 Data'!I633</f>
        <v/>
      </c>
      <c r="F644" s="29">
        <f>RANK(D644,$D$23:$D$1022)</f>
        <v/>
      </c>
      <c r="G644" s="30">
        <f>COUNTIF($D$23:$D$1022,"&lt;"&amp;D644)+(COUNTIF($D$23:$D$1022,"="&amp;D644)+1)/2</f>
        <v/>
      </c>
    </row>
    <row r="645">
      <c r="B645" s="27">
        <f>'1 Data'!B634</f>
        <v/>
      </c>
      <c r="C645" s="28">
        <f>$C$12 + '1 Data'!C634*$C$13 + '1 Data'!D634*$C$14 + '1 Data'!E634*$C$15 + '1 Data'!F634*$C$16 + '1 Data'!G634*$C$17 + '1 Data'!H634*$C$18</f>
        <v/>
      </c>
      <c r="D645" s="23">
        <f>1/(1+EXP(-C645))</f>
        <v/>
      </c>
      <c r="E645" s="27">
        <f>'1 Data'!I634</f>
        <v/>
      </c>
      <c r="F645" s="29">
        <f>RANK(D645,$D$23:$D$1022)</f>
        <v/>
      </c>
      <c r="G645" s="30">
        <f>COUNTIF($D$23:$D$1022,"&lt;"&amp;D645)+(COUNTIF($D$23:$D$1022,"="&amp;D645)+1)/2</f>
        <v/>
      </c>
    </row>
    <row r="646">
      <c r="B646" s="27">
        <f>'1 Data'!B635</f>
        <v/>
      </c>
      <c r="C646" s="28">
        <f>$C$12 + '1 Data'!C635*$C$13 + '1 Data'!D635*$C$14 + '1 Data'!E635*$C$15 + '1 Data'!F635*$C$16 + '1 Data'!G635*$C$17 + '1 Data'!H635*$C$18</f>
        <v/>
      </c>
      <c r="D646" s="23">
        <f>1/(1+EXP(-C646))</f>
        <v/>
      </c>
      <c r="E646" s="27">
        <f>'1 Data'!I635</f>
        <v/>
      </c>
      <c r="F646" s="29">
        <f>RANK(D646,$D$23:$D$1022)</f>
        <v/>
      </c>
      <c r="G646" s="30">
        <f>COUNTIF($D$23:$D$1022,"&lt;"&amp;D646)+(COUNTIF($D$23:$D$1022,"="&amp;D646)+1)/2</f>
        <v/>
      </c>
    </row>
    <row r="647">
      <c r="B647" s="27">
        <f>'1 Data'!B636</f>
        <v/>
      </c>
      <c r="C647" s="28">
        <f>$C$12 + '1 Data'!C636*$C$13 + '1 Data'!D636*$C$14 + '1 Data'!E636*$C$15 + '1 Data'!F636*$C$16 + '1 Data'!G636*$C$17 + '1 Data'!H636*$C$18</f>
        <v/>
      </c>
      <c r="D647" s="23">
        <f>1/(1+EXP(-C647))</f>
        <v/>
      </c>
      <c r="E647" s="27">
        <f>'1 Data'!I636</f>
        <v/>
      </c>
      <c r="F647" s="29">
        <f>RANK(D647,$D$23:$D$1022)</f>
        <v/>
      </c>
      <c r="G647" s="30">
        <f>COUNTIF($D$23:$D$1022,"&lt;"&amp;D647)+(COUNTIF($D$23:$D$1022,"="&amp;D647)+1)/2</f>
        <v/>
      </c>
    </row>
    <row r="648">
      <c r="B648" s="27">
        <f>'1 Data'!B637</f>
        <v/>
      </c>
      <c r="C648" s="28">
        <f>$C$12 + '1 Data'!C637*$C$13 + '1 Data'!D637*$C$14 + '1 Data'!E637*$C$15 + '1 Data'!F637*$C$16 + '1 Data'!G637*$C$17 + '1 Data'!H637*$C$18</f>
        <v/>
      </c>
      <c r="D648" s="23">
        <f>1/(1+EXP(-C648))</f>
        <v/>
      </c>
      <c r="E648" s="27">
        <f>'1 Data'!I637</f>
        <v/>
      </c>
      <c r="F648" s="29">
        <f>RANK(D648,$D$23:$D$1022)</f>
        <v/>
      </c>
      <c r="G648" s="30">
        <f>COUNTIF($D$23:$D$1022,"&lt;"&amp;D648)+(COUNTIF($D$23:$D$1022,"="&amp;D648)+1)/2</f>
        <v/>
      </c>
    </row>
    <row r="649">
      <c r="B649" s="27">
        <f>'1 Data'!B638</f>
        <v/>
      </c>
      <c r="C649" s="28">
        <f>$C$12 + '1 Data'!C638*$C$13 + '1 Data'!D638*$C$14 + '1 Data'!E638*$C$15 + '1 Data'!F638*$C$16 + '1 Data'!G638*$C$17 + '1 Data'!H638*$C$18</f>
        <v/>
      </c>
      <c r="D649" s="23">
        <f>1/(1+EXP(-C649))</f>
        <v/>
      </c>
      <c r="E649" s="27">
        <f>'1 Data'!I638</f>
        <v/>
      </c>
      <c r="F649" s="29">
        <f>RANK(D649,$D$23:$D$1022)</f>
        <v/>
      </c>
      <c r="G649" s="30">
        <f>COUNTIF($D$23:$D$1022,"&lt;"&amp;D649)+(COUNTIF($D$23:$D$1022,"="&amp;D649)+1)/2</f>
        <v/>
      </c>
    </row>
    <row r="650">
      <c r="B650" s="27">
        <f>'1 Data'!B639</f>
        <v/>
      </c>
      <c r="C650" s="28">
        <f>$C$12 + '1 Data'!C639*$C$13 + '1 Data'!D639*$C$14 + '1 Data'!E639*$C$15 + '1 Data'!F639*$C$16 + '1 Data'!G639*$C$17 + '1 Data'!H639*$C$18</f>
        <v/>
      </c>
      <c r="D650" s="23">
        <f>1/(1+EXP(-C650))</f>
        <v/>
      </c>
      <c r="E650" s="27">
        <f>'1 Data'!I639</f>
        <v/>
      </c>
      <c r="F650" s="29">
        <f>RANK(D650,$D$23:$D$1022)</f>
        <v/>
      </c>
      <c r="G650" s="30">
        <f>COUNTIF($D$23:$D$1022,"&lt;"&amp;D650)+(COUNTIF($D$23:$D$1022,"="&amp;D650)+1)/2</f>
        <v/>
      </c>
    </row>
    <row r="651">
      <c r="B651" s="27">
        <f>'1 Data'!B640</f>
        <v/>
      </c>
      <c r="C651" s="28">
        <f>$C$12 + '1 Data'!C640*$C$13 + '1 Data'!D640*$C$14 + '1 Data'!E640*$C$15 + '1 Data'!F640*$C$16 + '1 Data'!G640*$C$17 + '1 Data'!H640*$C$18</f>
        <v/>
      </c>
      <c r="D651" s="23">
        <f>1/(1+EXP(-C651))</f>
        <v/>
      </c>
      <c r="E651" s="27">
        <f>'1 Data'!I640</f>
        <v/>
      </c>
      <c r="F651" s="29">
        <f>RANK(D651,$D$23:$D$1022)</f>
        <v/>
      </c>
      <c r="G651" s="30">
        <f>COUNTIF($D$23:$D$1022,"&lt;"&amp;D651)+(COUNTIF($D$23:$D$1022,"="&amp;D651)+1)/2</f>
        <v/>
      </c>
    </row>
    <row r="652">
      <c r="B652" s="27">
        <f>'1 Data'!B641</f>
        <v/>
      </c>
      <c r="C652" s="28">
        <f>$C$12 + '1 Data'!C641*$C$13 + '1 Data'!D641*$C$14 + '1 Data'!E641*$C$15 + '1 Data'!F641*$C$16 + '1 Data'!G641*$C$17 + '1 Data'!H641*$C$18</f>
        <v/>
      </c>
      <c r="D652" s="23">
        <f>1/(1+EXP(-C652))</f>
        <v/>
      </c>
      <c r="E652" s="27">
        <f>'1 Data'!I641</f>
        <v/>
      </c>
      <c r="F652" s="29">
        <f>RANK(D652,$D$23:$D$1022)</f>
        <v/>
      </c>
      <c r="G652" s="30">
        <f>COUNTIF($D$23:$D$1022,"&lt;"&amp;D652)+(COUNTIF($D$23:$D$1022,"="&amp;D652)+1)/2</f>
        <v/>
      </c>
    </row>
    <row r="653">
      <c r="B653" s="27">
        <f>'1 Data'!B642</f>
        <v/>
      </c>
      <c r="C653" s="28">
        <f>$C$12 + '1 Data'!C642*$C$13 + '1 Data'!D642*$C$14 + '1 Data'!E642*$C$15 + '1 Data'!F642*$C$16 + '1 Data'!G642*$C$17 + '1 Data'!H642*$C$18</f>
        <v/>
      </c>
      <c r="D653" s="23">
        <f>1/(1+EXP(-C653))</f>
        <v/>
      </c>
      <c r="E653" s="27">
        <f>'1 Data'!I642</f>
        <v/>
      </c>
      <c r="F653" s="29">
        <f>RANK(D653,$D$23:$D$1022)</f>
        <v/>
      </c>
      <c r="G653" s="30">
        <f>COUNTIF($D$23:$D$1022,"&lt;"&amp;D653)+(COUNTIF($D$23:$D$1022,"="&amp;D653)+1)/2</f>
        <v/>
      </c>
    </row>
    <row r="654">
      <c r="B654" s="27">
        <f>'1 Data'!B643</f>
        <v/>
      </c>
      <c r="C654" s="28">
        <f>$C$12 + '1 Data'!C643*$C$13 + '1 Data'!D643*$C$14 + '1 Data'!E643*$C$15 + '1 Data'!F643*$C$16 + '1 Data'!G643*$C$17 + '1 Data'!H643*$C$18</f>
        <v/>
      </c>
      <c r="D654" s="23">
        <f>1/(1+EXP(-C654))</f>
        <v/>
      </c>
      <c r="E654" s="27">
        <f>'1 Data'!I643</f>
        <v/>
      </c>
      <c r="F654" s="29">
        <f>RANK(D654,$D$23:$D$1022)</f>
        <v/>
      </c>
      <c r="G654" s="30">
        <f>COUNTIF($D$23:$D$1022,"&lt;"&amp;D654)+(COUNTIF($D$23:$D$1022,"="&amp;D654)+1)/2</f>
        <v/>
      </c>
    </row>
    <row r="655">
      <c r="B655" s="27">
        <f>'1 Data'!B644</f>
        <v/>
      </c>
      <c r="C655" s="28">
        <f>$C$12 + '1 Data'!C644*$C$13 + '1 Data'!D644*$C$14 + '1 Data'!E644*$C$15 + '1 Data'!F644*$C$16 + '1 Data'!G644*$C$17 + '1 Data'!H644*$C$18</f>
        <v/>
      </c>
      <c r="D655" s="23">
        <f>1/(1+EXP(-C655))</f>
        <v/>
      </c>
      <c r="E655" s="27">
        <f>'1 Data'!I644</f>
        <v/>
      </c>
      <c r="F655" s="29">
        <f>RANK(D655,$D$23:$D$1022)</f>
        <v/>
      </c>
      <c r="G655" s="30">
        <f>COUNTIF($D$23:$D$1022,"&lt;"&amp;D655)+(COUNTIF($D$23:$D$1022,"="&amp;D655)+1)/2</f>
        <v/>
      </c>
    </row>
    <row r="656">
      <c r="B656" s="27">
        <f>'1 Data'!B645</f>
        <v/>
      </c>
      <c r="C656" s="28">
        <f>$C$12 + '1 Data'!C645*$C$13 + '1 Data'!D645*$C$14 + '1 Data'!E645*$C$15 + '1 Data'!F645*$C$16 + '1 Data'!G645*$C$17 + '1 Data'!H645*$C$18</f>
        <v/>
      </c>
      <c r="D656" s="23">
        <f>1/(1+EXP(-C656))</f>
        <v/>
      </c>
      <c r="E656" s="27">
        <f>'1 Data'!I645</f>
        <v/>
      </c>
      <c r="F656" s="29">
        <f>RANK(D656,$D$23:$D$1022)</f>
        <v/>
      </c>
      <c r="G656" s="30">
        <f>COUNTIF($D$23:$D$1022,"&lt;"&amp;D656)+(COUNTIF($D$23:$D$1022,"="&amp;D656)+1)/2</f>
        <v/>
      </c>
    </row>
    <row r="657">
      <c r="B657" s="27">
        <f>'1 Data'!B646</f>
        <v/>
      </c>
      <c r="C657" s="28">
        <f>$C$12 + '1 Data'!C646*$C$13 + '1 Data'!D646*$C$14 + '1 Data'!E646*$C$15 + '1 Data'!F646*$C$16 + '1 Data'!G646*$C$17 + '1 Data'!H646*$C$18</f>
        <v/>
      </c>
      <c r="D657" s="23">
        <f>1/(1+EXP(-C657))</f>
        <v/>
      </c>
      <c r="E657" s="27">
        <f>'1 Data'!I646</f>
        <v/>
      </c>
      <c r="F657" s="29">
        <f>RANK(D657,$D$23:$D$1022)</f>
        <v/>
      </c>
      <c r="G657" s="30">
        <f>COUNTIF($D$23:$D$1022,"&lt;"&amp;D657)+(COUNTIF($D$23:$D$1022,"="&amp;D657)+1)/2</f>
        <v/>
      </c>
    </row>
    <row r="658">
      <c r="B658" s="27">
        <f>'1 Data'!B647</f>
        <v/>
      </c>
      <c r="C658" s="28">
        <f>$C$12 + '1 Data'!C647*$C$13 + '1 Data'!D647*$C$14 + '1 Data'!E647*$C$15 + '1 Data'!F647*$C$16 + '1 Data'!G647*$C$17 + '1 Data'!H647*$C$18</f>
        <v/>
      </c>
      <c r="D658" s="23">
        <f>1/(1+EXP(-C658))</f>
        <v/>
      </c>
      <c r="E658" s="27">
        <f>'1 Data'!I647</f>
        <v/>
      </c>
      <c r="F658" s="29">
        <f>RANK(D658,$D$23:$D$1022)</f>
        <v/>
      </c>
      <c r="G658" s="30">
        <f>COUNTIF($D$23:$D$1022,"&lt;"&amp;D658)+(COUNTIF($D$23:$D$1022,"="&amp;D658)+1)/2</f>
        <v/>
      </c>
    </row>
    <row r="659">
      <c r="B659" s="27">
        <f>'1 Data'!B648</f>
        <v/>
      </c>
      <c r="C659" s="28">
        <f>$C$12 + '1 Data'!C648*$C$13 + '1 Data'!D648*$C$14 + '1 Data'!E648*$C$15 + '1 Data'!F648*$C$16 + '1 Data'!G648*$C$17 + '1 Data'!H648*$C$18</f>
        <v/>
      </c>
      <c r="D659" s="23">
        <f>1/(1+EXP(-C659))</f>
        <v/>
      </c>
      <c r="E659" s="27">
        <f>'1 Data'!I648</f>
        <v/>
      </c>
      <c r="F659" s="29">
        <f>RANK(D659,$D$23:$D$1022)</f>
        <v/>
      </c>
      <c r="G659" s="30">
        <f>COUNTIF($D$23:$D$1022,"&lt;"&amp;D659)+(COUNTIF($D$23:$D$1022,"="&amp;D659)+1)/2</f>
        <v/>
      </c>
    </row>
    <row r="660">
      <c r="B660" s="27">
        <f>'1 Data'!B649</f>
        <v/>
      </c>
      <c r="C660" s="28">
        <f>$C$12 + '1 Data'!C649*$C$13 + '1 Data'!D649*$C$14 + '1 Data'!E649*$C$15 + '1 Data'!F649*$C$16 + '1 Data'!G649*$C$17 + '1 Data'!H649*$C$18</f>
        <v/>
      </c>
      <c r="D660" s="23">
        <f>1/(1+EXP(-C660))</f>
        <v/>
      </c>
      <c r="E660" s="27">
        <f>'1 Data'!I649</f>
        <v/>
      </c>
      <c r="F660" s="29">
        <f>RANK(D660,$D$23:$D$1022)</f>
        <v/>
      </c>
      <c r="G660" s="30">
        <f>COUNTIF($D$23:$D$1022,"&lt;"&amp;D660)+(COUNTIF($D$23:$D$1022,"="&amp;D660)+1)/2</f>
        <v/>
      </c>
    </row>
    <row r="661">
      <c r="B661" s="27">
        <f>'1 Data'!B650</f>
        <v/>
      </c>
      <c r="C661" s="28">
        <f>$C$12 + '1 Data'!C650*$C$13 + '1 Data'!D650*$C$14 + '1 Data'!E650*$C$15 + '1 Data'!F650*$C$16 + '1 Data'!G650*$C$17 + '1 Data'!H650*$C$18</f>
        <v/>
      </c>
      <c r="D661" s="23">
        <f>1/(1+EXP(-C661))</f>
        <v/>
      </c>
      <c r="E661" s="27">
        <f>'1 Data'!I650</f>
        <v/>
      </c>
      <c r="F661" s="29">
        <f>RANK(D661,$D$23:$D$1022)</f>
        <v/>
      </c>
      <c r="G661" s="30">
        <f>COUNTIF($D$23:$D$1022,"&lt;"&amp;D661)+(COUNTIF($D$23:$D$1022,"="&amp;D661)+1)/2</f>
        <v/>
      </c>
    </row>
    <row r="662">
      <c r="B662" s="27">
        <f>'1 Data'!B651</f>
        <v/>
      </c>
      <c r="C662" s="28">
        <f>$C$12 + '1 Data'!C651*$C$13 + '1 Data'!D651*$C$14 + '1 Data'!E651*$C$15 + '1 Data'!F651*$C$16 + '1 Data'!G651*$C$17 + '1 Data'!H651*$C$18</f>
        <v/>
      </c>
      <c r="D662" s="23">
        <f>1/(1+EXP(-C662))</f>
        <v/>
      </c>
      <c r="E662" s="27">
        <f>'1 Data'!I651</f>
        <v/>
      </c>
      <c r="F662" s="29">
        <f>RANK(D662,$D$23:$D$1022)</f>
        <v/>
      </c>
      <c r="G662" s="30">
        <f>COUNTIF($D$23:$D$1022,"&lt;"&amp;D662)+(COUNTIF($D$23:$D$1022,"="&amp;D662)+1)/2</f>
        <v/>
      </c>
    </row>
    <row r="663">
      <c r="B663" s="27">
        <f>'1 Data'!B652</f>
        <v/>
      </c>
      <c r="C663" s="28">
        <f>$C$12 + '1 Data'!C652*$C$13 + '1 Data'!D652*$C$14 + '1 Data'!E652*$C$15 + '1 Data'!F652*$C$16 + '1 Data'!G652*$C$17 + '1 Data'!H652*$C$18</f>
        <v/>
      </c>
      <c r="D663" s="23">
        <f>1/(1+EXP(-C663))</f>
        <v/>
      </c>
      <c r="E663" s="27">
        <f>'1 Data'!I652</f>
        <v/>
      </c>
      <c r="F663" s="29">
        <f>RANK(D663,$D$23:$D$1022)</f>
        <v/>
      </c>
      <c r="G663" s="30">
        <f>COUNTIF($D$23:$D$1022,"&lt;"&amp;D663)+(COUNTIF($D$23:$D$1022,"="&amp;D663)+1)/2</f>
        <v/>
      </c>
    </row>
    <row r="664">
      <c r="B664" s="27">
        <f>'1 Data'!B653</f>
        <v/>
      </c>
      <c r="C664" s="28">
        <f>$C$12 + '1 Data'!C653*$C$13 + '1 Data'!D653*$C$14 + '1 Data'!E653*$C$15 + '1 Data'!F653*$C$16 + '1 Data'!G653*$C$17 + '1 Data'!H653*$C$18</f>
        <v/>
      </c>
      <c r="D664" s="23">
        <f>1/(1+EXP(-C664))</f>
        <v/>
      </c>
      <c r="E664" s="27">
        <f>'1 Data'!I653</f>
        <v/>
      </c>
      <c r="F664" s="29">
        <f>RANK(D664,$D$23:$D$1022)</f>
        <v/>
      </c>
      <c r="G664" s="30">
        <f>COUNTIF($D$23:$D$1022,"&lt;"&amp;D664)+(COUNTIF($D$23:$D$1022,"="&amp;D664)+1)/2</f>
        <v/>
      </c>
    </row>
    <row r="665">
      <c r="B665" s="27">
        <f>'1 Data'!B654</f>
        <v/>
      </c>
      <c r="C665" s="28">
        <f>$C$12 + '1 Data'!C654*$C$13 + '1 Data'!D654*$C$14 + '1 Data'!E654*$C$15 + '1 Data'!F654*$C$16 + '1 Data'!G654*$C$17 + '1 Data'!H654*$C$18</f>
        <v/>
      </c>
      <c r="D665" s="23">
        <f>1/(1+EXP(-C665))</f>
        <v/>
      </c>
      <c r="E665" s="27">
        <f>'1 Data'!I654</f>
        <v/>
      </c>
      <c r="F665" s="29">
        <f>RANK(D665,$D$23:$D$1022)</f>
        <v/>
      </c>
      <c r="G665" s="30">
        <f>COUNTIF($D$23:$D$1022,"&lt;"&amp;D665)+(COUNTIF($D$23:$D$1022,"="&amp;D665)+1)/2</f>
        <v/>
      </c>
    </row>
    <row r="666">
      <c r="B666" s="27">
        <f>'1 Data'!B655</f>
        <v/>
      </c>
      <c r="C666" s="28">
        <f>$C$12 + '1 Data'!C655*$C$13 + '1 Data'!D655*$C$14 + '1 Data'!E655*$C$15 + '1 Data'!F655*$C$16 + '1 Data'!G655*$C$17 + '1 Data'!H655*$C$18</f>
        <v/>
      </c>
      <c r="D666" s="23">
        <f>1/(1+EXP(-C666))</f>
        <v/>
      </c>
      <c r="E666" s="27">
        <f>'1 Data'!I655</f>
        <v/>
      </c>
      <c r="F666" s="29">
        <f>RANK(D666,$D$23:$D$1022)</f>
        <v/>
      </c>
      <c r="G666" s="30">
        <f>COUNTIF($D$23:$D$1022,"&lt;"&amp;D666)+(COUNTIF($D$23:$D$1022,"="&amp;D666)+1)/2</f>
        <v/>
      </c>
    </row>
    <row r="667">
      <c r="B667" s="27">
        <f>'1 Data'!B656</f>
        <v/>
      </c>
      <c r="C667" s="28">
        <f>$C$12 + '1 Data'!C656*$C$13 + '1 Data'!D656*$C$14 + '1 Data'!E656*$C$15 + '1 Data'!F656*$C$16 + '1 Data'!G656*$C$17 + '1 Data'!H656*$C$18</f>
        <v/>
      </c>
      <c r="D667" s="23">
        <f>1/(1+EXP(-C667))</f>
        <v/>
      </c>
      <c r="E667" s="27">
        <f>'1 Data'!I656</f>
        <v/>
      </c>
      <c r="F667" s="29">
        <f>RANK(D667,$D$23:$D$1022)</f>
        <v/>
      </c>
      <c r="G667" s="30">
        <f>COUNTIF($D$23:$D$1022,"&lt;"&amp;D667)+(COUNTIF($D$23:$D$1022,"="&amp;D667)+1)/2</f>
        <v/>
      </c>
    </row>
    <row r="668">
      <c r="B668" s="27">
        <f>'1 Data'!B657</f>
        <v/>
      </c>
      <c r="C668" s="28">
        <f>$C$12 + '1 Data'!C657*$C$13 + '1 Data'!D657*$C$14 + '1 Data'!E657*$C$15 + '1 Data'!F657*$C$16 + '1 Data'!G657*$C$17 + '1 Data'!H657*$C$18</f>
        <v/>
      </c>
      <c r="D668" s="23">
        <f>1/(1+EXP(-C668))</f>
        <v/>
      </c>
      <c r="E668" s="27">
        <f>'1 Data'!I657</f>
        <v/>
      </c>
      <c r="F668" s="29">
        <f>RANK(D668,$D$23:$D$1022)</f>
        <v/>
      </c>
      <c r="G668" s="30">
        <f>COUNTIF($D$23:$D$1022,"&lt;"&amp;D668)+(COUNTIF($D$23:$D$1022,"="&amp;D668)+1)/2</f>
        <v/>
      </c>
    </row>
    <row r="669">
      <c r="B669" s="27">
        <f>'1 Data'!B658</f>
        <v/>
      </c>
      <c r="C669" s="28">
        <f>$C$12 + '1 Data'!C658*$C$13 + '1 Data'!D658*$C$14 + '1 Data'!E658*$C$15 + '1 Data'!F658*$C$16 + '1 Data'!G658*$C$17 + '1 Data'!H658*$C$18</f>
        <v/>
      </c>
      <c r="D669" s="23">
        <f>1/(1+EXP(-C669))</f>
        <v/>
      </c>
      <c r="E669" s="27">
        <f>'1 Data'!I658</f>
        <v/>
      </c>
      <c r="F669" s="29">
        <f>RANK(D669,$D$23:$D$1022)</f>
        <v/>
      </c>
      <c r="G669" s="30">
        <f>COUNTIF($D$23:$D$1022,"&lt;"&amp;D669)+(COUNTIF($D$23:$D$1022,"="&amp;D669)+1)/2</f>
        <v/>
      </c>
    </row>
    <row r="670">
      <c r="B670" s="27">
        <f>'1 Data'!B659</f>
        <v/>
      </c>
      <c r="C670" s="28">
        <f>$C$12 + '1 Data'!C659*$C$13 + '1 Data'!D659*$C$14 + '1 Data'!E659*$C$15 + '1 Data'!F659*$C$16 + '1 Data'!G659*$C$17 + '1 Data'!H659*$C$18</f>
        <v/>
      </c>
      <c r="D670" s="23">
        <f>1/(1+EXP(-C670))</f>
        <v/>
      </c>
      <c r="E670" s="27">
        <f>'1 Data'!I659</f>
        <v/>
      </c>
      <c r="F670" s="29">
        <f>RANK(D670,$D$23:$D$1022)</f>
        <v/>
      </c>
      <c r="G670" s="30">
        <f>COUNTIF($D$23:$D$1022,"&lt;"&amp;D670)+(COUNTIF($D$23:$D$1022,"="&amp;D670)+1)/2</f>
        <v/>
      </c>
    </row>
    <row r="671">
      <c r="B671" s="27">
        <f>'1 Data'!B660</f>
        <v/>
      </c>
      <c r="C671" s="28">
        <f>$C$12 + '1 Data'!C660*$C$13 + '1 Data'!D660*$C$14 + '1 Data'!E660*$C$15 + '1 Data'!F660*$C$16 + '1 Data'!G660*$C$17 + '1 Data'!H660*$C$18</f>
        <v/>
      </c>
      <c r="D671" s="23">
        <f>1/(1+EXP(-C671))</f>
        <v/>
      </c>
      <c r="E671" s="27">
        <f>'1 Data'!I660</f>
        <v/>
      </c>
      <c r="F671" s="29">
        <f>RANK(D671,$D$23:$D$1022)</f>
        <v/>
      </c>
      <c r="G671" s="30">
        <f>COUNTIF($D$23:$D$1022,"&lt;"&amp;D671)+(COUNTIF($D$23:$D$1022,"="&amp;D671)+1)/2</f>
        <v/>
      </c>
    </row>
    <row r="672">
      <c r="B672" s="27">
        <f>'1 Data'!B661</f>
        <v/>
      </c>
      <c r="C672" s="28">
        <f>$C$12 + '1 Data'!C661*$C$13 + '1 Data'!D661*$C$14 + '1 Data'!E661*$C$15 + '1 Data'!F661*$C$16 + '1 Data'!G661*$C$17 + '1 Data'!H661*$C$18</f>
        <v/>
      </c>
      <c r="D672" s="23">
        <f>1/(1+EXP(-C672))</f>
        <v/>
      </c>
      <c r="E672" s="27">
        <f>'1 Data'!I661</f>
        <v/>
      </c>
      <c r="F672" s="29">
        <f>RANK(D672,$D$23:$D$1022)</f>
        <v/>
      </c>
      <c r="G672" s="30">
        <f>COUNTIF($D$23:$D$1022,"&lt;"&amp;D672)+(COUNTIF($D$23:$D$1022,"="&amp;D672)+1)/2</f>
        <v/>
      </c>
    </row>
    <row r="673">
      <c r="B673" s="27">
        <f>'1 Data'!B662</f>
        <v/>
      </c>
      <c r="C673" s="28">
        <f>$C$12 + '1 Data'!C662*$C$13 + '1 Data'!D662*$C$14 + '1 Data'!E662*$C$15 + '1 Data'!F662*$C$16 + '1 Data'!G662*$C$17 + '1 Data'!H662*$C$18</f>
        <v/>
      </c>
      <c r="D673" s="23">
        <f>1/(1+EXP(-C673))</f>
        <v/>
      </c>
      <c r="E673" s="27">
        <f>'1 Data'!I662</f>
        <v/>
      </c>
      <c r="F673" s="29">
        <f>RANK(D673,$D$23:$D$1022)</f>
        <v/>
      </c>
      <c r="G673" s="30">
        <f>COUNTIF($D$23:$D$1022,"&lt;"&amp;D673)+(COUNTIF($D$23:$D$1022,"="&amp;D673)+1)/2</f>
        <v/>
      </c>
    </row>
    <row r="674">
      <c r="B674" s="27">
        <f>'1 Data'!B663</f>
        <v/>
      </c>
      <c r="C674" s="28">
        <f>$C$12 + '1 Data'!C663*$C$13 + '1 Data'!D663*$C$14 + '1 Data'!E663*$C$15 + '1 Data'!F663*$C$16 + '1 Data'!G663*$C$17 + '1 Data'!H663*$C$18</f>
        <v/>
      </c>
      <c r="D674" s="23">
        <f>1/(1+EXP(-C674))</f>
        <v/>
      </c>
      <c r="E674" s="27">
        <f>'1 Data'!I663</f>
        <v/>
      </c>
      <c r="F674" s="29">
        <f>RANK(D674,$D$23:$D$1022)</f>
        <v/>
      </c>
      <c r="G674" s="30">
        <f>COUNTIF($D$23:$D$1022,"&lt;"&amp;D674)+(COUNTIF($D$23:$D$1022,"="&amp;D674)+1)/2</f>
        <v/>
      </c>
    </row>
    <row r="675">
      <c r="B675" s="27">
        <f>'1 Data'!B664</f>
        <v/>
      </c>
      <c r="C675" s="28">
        <f>$C$12 + '1 Data'!C664*$C$13 + '1 Data'!D664*$C$14 + '1 Data'!E664*$C$15 + '1 Data'!F664*$C$16 + '1 Data'!G664*$C$17 + '1 Data'!H664*$C$18</f>
        <v/>
      </c>
      <c r="D675" s="23">
        <f>1/(1+EXP(-C675))</f>
        <v/>
      </c>
      <c r="E675" s="27">
        <f>'1 Data'!I664</f>
        <v/>
      </c>
      <c r="F675" s="29">
        <f>RANK(D675,$D$23:$D$1022)</f>
        <v/>
      </c>
      <c r="G675" s="30">
        <f>COUNTIF($D$23:$D$1022,"&lt;"&amp;D675)+(COUNTIF($D$23:$D$1022,"="&amp;D675)+1)/2</f>
        <v/>
      </c>
    </row>
    <row r="676">
      <c r="B676" s="27">
        <f>'1 Data'!B665</f>
        <v/>
      </c>
      <c r="C676" s="28">
        <f>$C$12 + '1 Data'!C665*$C$13 + '1 Data'!D665*$C$14 + '1 Data'!E665*$C$15 + '1 Data'!F665*$C$16 + '1 Data'!G665*$C$17 + '1 Data'!H665*$C$18</f>
        <v/>
      </c>
      <c r="D676" s="23">
        <f>1/(1+EXP(-C676))</f>
        <v/>
      </c>
      <c r="E676" s="27">
        <f>'1 Data'!I665</f>
        <v/>
      </c>
      <c r="F676" s="29">
        <f>RANK(D676,$D$23:$D$1022)</f>
        <v/>
      </c>
      <c r="G676" s="30">
        <f>COUNTIF($D$23:$D$1022,"&lt;"&amp;D676)+(COUNTIF($D$23:$D$1022,"="&amp;D676)+1)/2</f>
        <v/>
      </c>
    </row>
    <row r="677">
      <c r="B677" s="27">
        <f>'1 Data'!B666</f>
        <v/>
      </c>
      <c r="C677" s="28">
        <f>$C$12 + '1 Data'!C666*$C$13 + '1 Data'!D666*$C$14 + '1 Data'!E666*$C$15 + '1 Data'!F666*$C$16 + '1 Data'!G666*$C$17 + '1 Data'!H666*$C$18</f>
        <v/>
      </c>
      <c r="D677" s="23">
        <f>1/(1+EXP(-C677))</f>
        <v/>
      </c>
      <c r="E677" s="27">
        <f>'1 Data'!I666</f>
        <v/>
      </c>
      <c r="F677" s="29">
        <f>RANK(D677,$D$23:$D$1022)</f>
        <v/>
      </c>
      <c r="G677" s="30">
        <f>COUNTIF($D$23:$D$1022,"&lt;"&amp;D677)+(COUNTIF($D$23:$D$1022,"="&amp;D677)+1)/2</f>
        <v/>
      </c>
    </row>
    <row r="678">
      <c r="B678" s="27">
        <f>'1 Data'!B667</f>
        <v/>
      </c>
      <c r="C678" s="28">
        <f>$C$12 + '1 Data'!C667*$C$13 + '1 Data'!D667*$C$14 + '1 Data'!E667*$C$15 + '1 Data'!F667*$C$16 + '1 Data'!G667*$C$17 + '1 Data'!H667*$C$18</f>
        <v/>
      </c>
      <c r="D678" s="23">
        <f>1/(1+EXP(-C678))</f>
        <v/>
      </c>
      <c r="E678" s="27">
        <f>'1 Data'!I667</f>
        <v/>
      </c>
      <c r="F678" s="29">
        <f>RANK(D678,$D$23:$D$1022)</f>
        <v/>
      </c>
      <c r="G678" s="30">
        <f>COUNTIF($D$23:$D$1022,"&lt;"&amp;D678)+(COUNTIF($D$23:$D$1022,"="&amp;D678)+1)/2</f>
        <v/>
      </c>
    </row>
    <row r="679">
      <c r="B679" s="27">
        <f>'1 Data'!B668</f>
        <v/>
      </c>
      <c r="C679" s="28">
        <f>$C$12 + '1 Data'!C668*$C$13 + '1 Data'!D668*$C$14 + '1 Data'!E668*$C$15 + '1 Data'!F668*$C$16 + '1 Data'!G668*$C$17 + '1 Data'!H668*$C$18</f>
        <v/>
      </c>
      <c r="D679" s="23">
        <f>1/(1+EXP(-C679))</f>
        <v/>
      </c>
      <c r="E679" s="27">
        <f>'1 Data'!I668</f>
        <v/>
      </c>
      <c r="F679" s="29">
        <f>RANK(D679,$D$23:$D$1022)</f>
        <v/>
      </c>
      <c r="G679" s="30">
        <f>COUNTIF($D$23:$D$1022,"&lt;"&amp;D679)+(COUNTIF($D$23:$D$1022,"="&amp;D679)+1)/2</f>
        <v/>
      </c>
    </row>
    <row r="680">
      <c r="B680" s="27">
        <f>'1 Data'!B669</f>
        <v/>
      </c>
      <c r="C680" s="28">
        <f>$C$12 + '1 Data'!C669*$C$13 + '1 Data'!D669*$C$14 + '1 Data'!E669*$C$15 + '1 Data'!F669*$C$16 + '1 Data'!G669*$C$17 + '1 Data'!H669*$C$18</f>
        <v/>
      </c>
      <c r="D680" s="23">
        <f>1/(1+EXP(-C680))</f>
        <v/>
      </c>
      <c r="E680" s="27">
        <f>'1 Data'!I669</f>
        <v/>
      </c>
      <c r="F680" s="29">
        <f>RANK(D680,$D$23:$D$1022)</f>
        <v/>
      </c>
      <c r="G680" s="30">
        <f>COUNTIF($D$23:$D$1022,"&lt;"&amp;D680)+(COUNTIF($D$23:$D$1022,"="&amp;D680)+1)/2</f>
        <v/>
      </c>
    </row>
    <row r="681">
      <c r="B681" s="27">
        <f>'1 Data'!B670</f>
        <v/>
      </c>
      <c r="C681" s="28">
        <f>$C$12 + '1 Data'!C670*$C$13 + '1 Data'!D670*$C$14 + '1 Data'!E670*$C$15 + '1 Data'!F670*$C$16 + '1 Data'!G670*$C$17 + '1 Data'!H670*$C$18</f>
        <v/>
      </c>
      <c r="D681" s="23">
        <f>1/(1+EXP(-C681))</f>
        <v/>
      </c>
      <c r="E681" s="27">
        <f>'1 Data'!I670</f>
        <v/>
      </c>
      <c r="F681" s="29">
        <f>RANK(D681,$D$23:$D$1022)</f>
        <v/>
      </c>
      <c r="G681" s="30">
        <f>COUNTIF($D$23:$D$1022,"&lt;"&amp;D681)+(COUNTIF($D$23:$D$1022,"="&amp;D681)+1)/2</f>
        <v/>
      </c>
    </row>
    <row r="682">
      <c r="B682" s="27">
        <f>'1 Data'!B671</f>
        <v/>
      </c>
      <c r="C682" s="28">
        <f>$C$12 + '1 Data'!C671*$C$13 + '1 Data'!D671*$C$14 + '1 Data'!E671*$C$15 + '1 Data'!F671*$C$16 + '1 Data'!G671*$C$17 + '1 Data'!H671*$C$18</f>
        <v/>
      </c>
      <c r="D682" s="23">
        <f>1/(1+EXP(-C682))</f>
        <v/>
      </c>
      <c r="E682" s="27">
        <f>'1 Data'!I671</f>
        <v/>
      </c>
      <c r="F682" s="29">
        <f>RANK(D682,$D$23:$D$1022)</f>
        <v/>
      </c>
      <c r="G682" s="30">
        <f>COUNTIF($D$23:$D$1022,"&lt;"&amp;D682)+(COUNTIF($D$23:$D$1022,"="&amp;D682)+1)/2</f>
        <v/>
      </c>
    </row>
    <row r="683">
      <c r="B683" s="27">
        <f>'1 Data'!B672</f>
        <v/>
      </c>
      <c r="C683" s="28">
        <f>$C$12 + '1 Data'!C672*$C$13 + '1 Data'!D672*$C$14 + '1 Data'!E672*$C$15 + '1 Data'!F672*$C$16 + '1 Data'!G672*$C$17 + '1 Data'!H672*$C$18</f>
        <v/>
      </c>
      <c r="D683" s="23">
        <f>1/(1+EXP(-C683))</f>
        <v/>
      </c>
      <c r="E683" s="27">
        <f>'1 Data'!I672</f>
        <v/>
      </c>
      <c r="F683" s="29">
        <f>RANK(D683,$D$23:$D$1022)</f>
        <v/>
      </c>
      <c r="G683" s="30">
        <f>COUNTIF($D$23:$D$1022,"&lt;"&amp;D683)+(COUNTIF($D$23:$D$1022,"="&amp;D683)+1)/2</f>
        <v/>
      </c>
    </row>
    <row r="684">
      <c r="B684" s="27">
        <f>'1 Data'!B673</f>
        <v/>
      </c>
      <c r="C684" s="28">
        <f>$C$12 + '1 Data'!C673*$C$13 + '1 Data'!D673*$C$14 + '1 Data'!E673*$C$15 + '1 Data'!F673*$C$16 + '1 Data'!G673*$C$17 + '1 Data'!H673*$C$18</f>
        <v/>
      </c>
      <c r="D684" s="23">
        <f>1/(1+EXP(-C684))</f>
        <v/>
      </c>
      <c r="E684" s="27">
        <f>'1 Data'!I673</f>
        <v/>
      </c>
      <c r="F684" s="29">
        <f>RANK(D684,$D$23:$D$1022)</f>
        <v/>
      </c>
      <c r="G684" s="30">
        <f>COUNTIF($D$23:$D$1022,"&lt;"&amp;D684)+(COUNTIF($D$23:$D$1022,"="&amp;D684)+1)/2</f>
        <v/>
      </c>
    </row>
    <row r="685">
      <c r="B685" s="27">
        <f>'1 Data'!B674</f>
        <v/>
      </c>
      <c r="C685" s="28">
        <f>$C$12 + '1 Data'!C674*$C$13 + '1 Data'!D674*$C$14 + '1 Data'!E674*$C$15 + '1 Data'!F674*$C$16 + '1 Data'!G674*$C$17 + '1 Data'!H674*$C$18</f>
        <v/>
      </c>
      <c r="D685" s="23">
        <f>1/(1+EXP(-C685))</f>
        <v/>
      </c>
      <c r="E685" s="27">
        <f>'1 Data'!I674</f>
        <v/>
      </c>
      <c r="F685" s="29">
        <f>RANK(D685,$D$23:$D$1022)</f>
        <v/>
      </c>
      <c r="G685" s="30">
        <f>COUNTIF($D$23:$D$1022,"&lt;"&amp;D685)+(COUNTIF($D$23:$D$1022,"="&amp;D685)+1)/2</f>
        <v/>
      </c>
    </row>
    <row r="686">
      <c r="B686" s="27">
        <f>'1 Data'!B675</f>
        <v/>
      </c>
      <c r="C686" s="28">
        <f>$C$12 + '1 Data'!C675*$C$13 + '1 Data'!D675*$C$14 + '1 Data'!E675*$C$15 + '1 Data'!F675*$C$16 + '1 Data'!G675*$C$17 + '1 Data'!H675*$C$18</f>
        <v/>
      </c>
      <c r="D686" s="23">
        <f>1/(1+EXP(-C686))</f>
        <v/>
      </c>
      <c r="E686" s="27">
        <f>'1 Data'!I675</f>
        <v/>
      </c>
      <c r="F686" s="29">
        <f>RANK(D686,$D$23:$D$1022)</f>
        <v/>
      </c>
      <c r="G686" s="30">
        <f>COUNTIF($D$23:$D$1022,"&lt;"&amp;D686)+(COUNTIF($D$23:$D$1022,"="&amp;D686)+1)/2</f>
        <v/>
      </c>
    </row>
    <row r="687">
      <c r="B687" s="27">
        <f>'1 Data'!B676</f>
        <v/>
      </c>
      <c r="C687" s="28">
        <f>$C$12 + '1 Data'!C676*$C$13 + '1 Data'!D676*$C$14 + '1 Data'!E676*$C$15 + '1 Data'!F676*$C$16 + '1 Data'!G676*$C$17 + '1 Data'!H676*$C$18</f>
        <v/>
      </c>
      <c r="D687" s="23">
        <f>1/(1+EXP(-C687))</f>
        <v/>
      </c>
      <c r="E687" s="27">
        <f>'1 Data'!I676</f>
        <v/>
      </c>
      <c r="F687" s="29">
        <f>RANK(D687,$D$23:$D$1022)</f>
        <v/>
      </c>
      <c r="G687" s="30">
        <f>COUNTIF($D$23:$D$1022,"&lt;"&amp;D687)+(COUNTIF($D$23:$D$1022,"="&amp;D687)+1)/2</f>
        <v/>
      </c>
    </row>
    <row r="688">
      <c r="B688" s="27">
        <f>'1 Data'!B677</f>
        <v/>
      </c>
      <c r="C688" s="28">
        <f>$C$12 + '1 Data'!C677*$C$13 + '1 Data'!D677*$C$14 + '1 Data'!E677*$C$15 + '1 Data'!F677*$C$16 + '1 Data'!G677*$C$17 + '1 Data'!H677*$C$18</f>
        <v/>
      </c>
      <c r="D688" s="23">
        <f>1/(1+EXP(-C688))</f>
        <v/>
      </c>
      <c r="E688" s="27">
        <f>'1 Data'!I677</f>
        <v/>
      </c>
      <c r="F688" s="29">
        <f>RANK(D688,$D$23:$D$1022)</f>
        <v/>
      </c>
      <c r="G688" s="30">
        <f>COUNTIF($D$23:$D$1022,"&lt;"&amp;D688)+(COUNTIF($D$23:$D$1022,"="&amp;D688)+1)/2</f>
        <v/>
      </c>
    </row>
    <row r="689">
      <c r="B689" s="27">
        <f>'1 Data'!B678</f>
        <v/>
      </c>
      <c r="C689" s="28">
        <f>$C$12 + '1 Data'!C678*$C$13 + '1 Data'!D678*$C$14 + '1 Data'!E678*$C$15 + '1 Data'!F678*$C$16 + '1 Data'!G678*$C$17 + '1 Data'!H678*$C$18</f>
        <v/>
      </c>
      <c r="D689" s="23">
        <f>1/(1+EXP(-C689))</f>
        <v/>
      </c>
      <c r="E689" s="27">
        <f>'1 Data'!I678</f>
        <v/>
      </c>
      <c r="F689" s="29">
        <f>RANK(D689,$D$23:$D$1022)</f>
        <v/>
      </c>
      <c r="G689" s="30">
        <f>COUNTIF($D$23:$D$1022,"&lt;"&amp;D689)+(COUNTIF($D$23:$D$1022,"="&amp;D689)+1)/2</f>
        <v/>
      </c>
    </row>
    <row r="690">
      <c r="B690" s="27">
        <f>'1 Data'!B679</f>
        <v/>
      </c>
      <c r="C690" s="28">
        <f>$C$12 + '1 Data'!C679*$C$13 + '1 Data'!D679*$C$14 + '1 Data'!E679*$C$15 + '1 Data'!F679*$C$16 + '1 Data'!G679*$C$17 + '1 Data'!H679*$C$18</f>
        <v/>
      </c>
      <c r="D690" s="23">
        <f>1/(1+EXP(-C690))</f>
        <v/>
      </c>
      <c r="E690" s="27">
        <f>'1 Data'!I679</f>
        <v/>
      </c>
      <c r="F690" s="29">
        <f>RANK(D690,$D$23:$D$1022)</f>
        <v/>
      </c>
      <c r="G690" s="30">
        <f>COUNTIF($D$23:$D$1022,"&lt;"&amp;D690)+(COUNTIF($D$23:$D$1022,"="&amp;D690)+1)/2</f>
        <v/>
      </c>
    </row>
    <row r="691">
      <c r="B691" s="27">
        <f>'1 Data'!B680</f>
        <v/>
      </c>
      <c r="C691" s="28">
        <f>$C$12 + '1 Data'!C680*$C$13 + '1 Data'!D680*$C$14 + '1 Data'!E680*$C$15 + '1 Data'!F680*$C$16 + '1 Data'!G680*$C$17 + '1 Data'!H680*$C$18</f>
        <v/>
      </c>
      <c r="D691" s="23">
        <f>1/(1+EXP(-C691))</f>
        <v/>
      </c>
      <c r="E691" s="27">
        <f>'1 Data'!I680</f>
        <v/>
      </c>
      <c r="F691" s="29">
        <f>RANK(D691,$D$23:$D$1022)</f>
        <v/>
      </c>
      <c r="G691" s="30">
        <f>COUNTIF($D$23:$D$1022,"&lt;"&amp;D691)+(COUNTIF($D$23:$D$1022,"="&amp;D691)+1)/2</f>
        <v/>
      </c>
    </row>
    <row r="692">
      <c r="B692" s="27">
        <f>'1 Data'!B681</f>
        <v/>
      </c>
      <c r="C692" s="28">
        <f>$C$12 + '1 Data'!C681*$C$13 + '1 Data'!D681*$C$14 + '1 Data'!E681*$C$15 + '1 Data'!F681*$C$16 + '1 Data'!G681*$C$17 + '1 Data'!H681*$C$18</f>
        <v/>
      </c>
      <c r="D692" s="23">
        <f>1/(1+EXP(-C692))</f>
        <v/>
      </c>
      <c r="E692" s="27">
        <f>'1 Data'!I681</f>
        <v/>
      </c>
      <c r="F692" s="29">
        <f>RANK(D692,$D$23:$D$1022)</f>
        <v/>
      </c>
      <c r="G692" s="30">
        <f>COUNTIF($D$23:$D$1022,"&lt;"&amp;D692)+(COUNTIF($D$23:$D$1022,"="&amp;D692)+1)/2</f>
        <v/>
      </c>
    </row>
    <row r="693">
      <c r="B693" s="27">
        <f>'1 Data'!B682</f>
        <v/>
      </c>
      <c r="C693" s="28">
        <f>$C$12 + '1 Data'!C682*$C$13 + '1 Data'!D682*$C$14 + '1 Data'!E682*$C$15 + '1 Data'!F682*$C$16 + '1 Data'!G682*$C$17 + '1 Data'!H682*$C$18</f>
        <v/>
      </c>
      <c r="D693" s="23">
        <f>1/(1+EXP(-C693))</f>
        <v/>
      </c>
      <c r="E693" s="27">
        <f>'1 Data'!I682</f>
        <v/>
      </c>
      <c r="F693" s="29">
        <f>RANK(D693,$D$23:$D$1022)</f>
        <v/>
      </c>
      <c r="G693" s="30">
        <f>COUNTIF($D$23:$D$1022,"&lt;"&amp;D693)+(COUNTIF($D$23:$D$1022,"="&amp;D693)+1)/2</f>
        <v/>
      </c>
    </row>
    <row r="694">
      <c r="B694" s="27">
        <f>'1 Data'!B683</f>
        <v/>
      </c>
      <c r="C694" s="28">
        <f>$C$12 + '1 Data'!C683*$C$13 + '1 Data'!D683*$C$14 + '1 Data'!E683*$C$15 + '1 Data'!F683*$C$16 + '1 Data'!G683*$C$17 + '1 Data'!H683*$C$18</f>
        <v/>
      </c>
      <c r="D694" s="23">
        <f>1/(1+EXP(-C694))</f>
        <v/>
      </c>
      <c r="E694" s="27">
        <f>'1 Data'!I683</f>
        <v/>
      </c>
      <c r="F694" s="29">
        <f>RANK(D694,$D$23:$D$1022)</f>
        <v/>
      </c>
      <c r="G694" s="30">
        <f>COUNTIF($D$23:$D$1022,"&lt;"&amp;D694)+(COUNTIF($D$23:$D$1022,"="&amp;D694)+1)/2</f>
        <v/>
      </c>
    </row>
    <row r="695">
      <c r="B695" s="27">
        <f>'1 Data'!B684</f>
        <v/>
      </c>
      <c r="C695" s="28">
        <f>$C$12 + '1 Data'!C684*$C$13 + '1 Data'!D684*$C$14 + '1 Data'!E684*$C$15 + '1 Data'!F684*$C$16 + '1 Data'!G684*$C$17 + '1 Data'!H684*$C$18</f>
        <v/>
      </c>
      <c r="D695" s="23">
        <f>1/(1+EXP(-C695))</f>
        <v/>
      </c>
      <c r="E695" s="27">
        <f>'1 Data'!I684</f>
        <v/>
      </c>
      <c r="F695" s="29">
        <f>RANK(D695,$D$23:$D$1022)</f>
        <v/>
      </c>
      <c r="G695" s="30">
        <f>COUNTIF($D$23:$D$1022,"&lt;"&amp;D695)+(COUNTIF($D$23:$D$1022,"="&amp;D695)+1)/2</f>
        <v/>
      </c>
    </row>
    <row r="696">
      <c r="B696" s="27">
        <f>'1 Data'!B685</f>
        <v/>
      </c>
      <c r="C696" s="28">
        <f>$C$12 + '1 Data'!C685*$C$13 + '1 Data'!D685*$C$14 + '1 Data'!E685*$C$15 + '1 Data'!F685*$C$16 + '1 Data'!G685*$C$17 + '1 Data'!H685*$C$18</f>
        <v/>
      </c>
      <c r="D696" s="23">
        <f>1/(1+EXP(-C696))</f>
        <v/>
      </c>
      <c r="E696" s="27">
        <f>'1 Data'!I685</f>
        <v/>
      </c>
      <c r="F696" s="29">
        <f>RANK(D696,$D$23:$D$1022)</f>
        <v/>
      </c>
      <c r="G696" s="30">
        <f>COUNTIF($D$23:$D$1022,"&lt;"&amp;D696)+(COUNTIF($D$23:$D$1022,"="&amp;D696)+1)/2</f>
        <v/>
      </c>
    </row>
    <row r="697">
      <c r="B697" s="27">
        <f>'1 Data'!B686</f>
        <v/>
      </c>
      <c r="C697" s="28">
        <f>$C$12 + '1 Data'!C686*$C$13 + '1 Data'!D686*$C$14 + '1 Data'!E686*$C$15 + '1 Data'!F686*$C$16 + '1 Data'!G686*$C$17 + '1 Data'!H686*$C$18</f>
        <v/>
      </c>
      <c r="D697" s="23">
        <f>1/(1+EXP(-C697))</f>
        <v/>
      </c>
      <c r="E697" s="27">
        <f>'1 Data'!I686</f>
        <v/>
      </c>
      <c r="F697" s="29">
        <f>RANK(D697,$D$23:$D$1022)</f>
        <v/>
      </c>
      <c r="G697" s="30">
        <f>COUNTIF($D$23:$D$1022,"&lt;"&amp;D697)+(COUNTIF($D$23:$D$1022,"="&amp;D697)+1)/2</f>
        <v/>
      </c>
    </row>
    <row r="698">
      <c r="B698" s="27">
        <f>'1 Data'!B687</f>
        <v/>
      </c>
      <c r="C698" s="28">
        <f>$C$12 + '1 Data'!C687*$C$13 + '1 Data'!D687*$C$14 + '1 Data'!E687*$C$15 + '1 Data'!F687*$C$16 + '1 Data'!G687*$C$17 + '1 Data'!H687*$C$18</f>
        <v/>
      </c>
      <c r="D698" s="23">
        <f>1/(1+EXP(-C698))</f>
        <v/>
      </c>
      <c r="E698" s="27">
        <f>'1 Data'!I687</f>
        <v/>
      </c>
      <c r="F698" s="29">
        <f>RANK(D698,$D$23:$D$1022)</f>
        <v/>
      </c>
      <c r="G698" s="30">
        <f>COUNTIF($D$23:$D$1022,"&lt;"&amp;D698)+(COUNTIF($D$23:$D$1022,"="&amp;D698)+1)/2</f>
        <v/>
      </c>
    </row>
    <row r="699">
      <c r="B699" s="27">
        <f>'1 Data'!B688</f>
        <v/>
      </c>
      <c r="C699" s="28">
        <f>$C$12 + '1 Data'!C688*$C$13 + '1 Data'!D688*$C$14 + '1 Data'!E688*$C$15 + '1 Data'!F688*$C$16 + '1 Data'!G688*$C$17 + '1 Data'!H688*$C$18</f>
        <v/>
      </c>
      <c r="D699" s="23">
        <f>1/(1+EXP(-C699))</f>
        <v/>
      </c>
      <c r="E699" s="27">
        <f>'1 Data'!I688</f>
        <v/>
      </c>
      <c r="F699" s="29">
        <f>RANK(D699,$D$23:$D$1022)</f>
        <v/>
      </c>
      <c r="G699" s="30">
        <f>COUNTIF($D$23:$D$1022,"&lt;"&amp;D699)+(COUNTIF($D$23:$D$1022,"="&amp;D699)+1)/2</f>
        <v/>
      </c>
    </row>
    <row r="700">
      <c r="B700" s="27">
        <f>'1 Data'!B689</f>
        <v/>
      </c>
      <c r="C700" s="28">
        <f>$C$12 + '1 Data'!C689*$C$13 + '1 Data'!D689*$C$14 + '1 Data'!E689*$C$15 + '1 Data'!F689*$C$16 + '1 Data'!G689*$C$17 + '1 Data'!H689*$C$18</f>
        <v/>
      </c>
      <c r="D700" s="23">
        <f>1/(1+EXP(-C700))</f>
        <v/>
      </c>
      <c r="E700" s="27">
        <f>'1 Data'!I689</f>
        <v/>
      </c>
      <c r="F700" s="29">
        <f>RANK(D700,$D$23:$D$1022)</f>
        <v/>
      </c>
      <c r="G700" s="30">
        <f>COUNTIF($D$23:$D$1022,"&lt;"&amp;D700)+(COUNTIF($D$23:$D$1022,"="&amp;D700)+1)/2</f>
        <v/>
      </c>
    </row>
    <row r="701">
      <c r="B701" s="27">
        <f>'1 Data'!B690</f>
        <v/>
      </c>
      <c r="C701" s="28">
        <f>$C$12 + '1 Data'!C690*$C$13 + '1 Data'!D690*$C$14 + '1 Data'!E690*$C$15 + '1 Data'!F690*$C$16 + '1 Data'!G690*$C$17 + '1 Data'!H690*$C$18</f>
        <v/>
      </c>
      <c r="D701" s="23">
        <f>1/(1+EXP(-C701))</f>
        <v/>
      </c>
      <c r="E701" s="27">
        <f>'1 Data'!I690</f>
        <v/>
      </c>
      <c r="F701" s="29">
        <f>RANK(D701,$D$23:$D$1022)</f>
        <v/>
      </c>
      <c r="G701" s="30">
        <f>COUNTIF($D$23:$D$1022,"&lt;"&amp;D701)+(COUNTIF($D$23:$D$1022,"="&amp;D701)+1)/2</f>
        <v/>
      </c>
    </row>
    <row r="702">
      <c r="B702" s="27">
        <f>'1 Data'!B691</f>
        <v/>
      </c>
      <c r="C702" s="28">
        <f>$C$12 + '1 Data'!C691*$C$13 + '1 Data'!D691*$C$14 + '1 Data'!E691*$C$15 + '1 Data'!F691*$C$16 + '1 Data'!G691*$C$17 + '1 Data'!H691*$C$18</f>
        <v/>
      </c>
      <c r="D702" s="23">
        <f>1/(1+EXP(-C702))</f>
        <v/>
      </c>
      <c r="E702" s="27">
        <f>'1 Data'!I691</f>
        <v/>
      </c>
      <c r="F702" s="29">
        <f>RANK(D702,$D$23:$D$1022)</f>
        <v/>
      </c>
      <c r="G702" s="30">
        <f>COUNTIF($D$23:$D$1022,"&lt;"&amp;D702)+(COUNTIF($D$23:$D$1022,"="&amp;D702)+1)/2</f>
        <v/>
      </c>
    </row>
    <row r="703">
      <c r="B703" s="27">
        <f>'1 Data'!B692</f>
        <v/>
      </c>
      <c r="C703" s="28">
        <f>$C$12 + '1 Data'!C692*$C$13 + '1 Data'!D692*$C$14 + '1 Data'!E692*$C$15 + '1 Data'!F692*$C$16 + '1 Data'!G692*$C$17 + '1 Data'!H692*$C$18</f>
        <v/>
      </c>
      <c r="D703" s="23">
        <f>1/(1+EXP(-C703))</f>
        <v/>
      </c>
      <c r="E703" s="27">
        <f>'1 Data'!I692</f>
        <v/>
      </c>
      <c r="F703" s="29">
        <f>RANK(D703,$D$23:$D$1022)</f>
        <v/>
      </c>
      <c r="G703" s="30">
        <f>COUNTIF($D$23:$D$1022,"&lt;"&amp;D703)+(COUNTIF($D$23:$D$1022,"="&amp;D703)+1)/2</f>
        <v/>
      </c>
    </row>
    <row r="704">
      <c r="B704" s="27">
        <f>'1 Data'!B693</f>
        <v/>
      </c>
      <c r="C704" s="28">
        <f>$C$12 + '1 Data'!C693*$C$13 + '1 Data'!D693*$C$14 + '1 Data'!E693*$C$15 + '1 Data'!F693*$C$16 + '1 Data'!G693*$C$17 + '1 Data'!H693*$C$18</f>
        <v/>
      </c>
      <c r="D704" s="23">
        <f>1/(1+EXP(-C704))</f>
        <v/>
      </c>
      <c r="E704" s="27">
        <f>'1 Data'!I693</f>
        <v/>
      </c>
      <c r="F704" s="29">
        <f>RANK(D704,$D$23:$D$1022)</f>
        <v/>
      </c>
      <c r="G704" s="30">
        <f>COUNTIF($D$23:$D$1022,"&lt;"&amp;D704)+(COUNTIF($D$23:$D$1022,"="&amp;D704)+1)/2</f>
        <v/>
      </c>
    </row>
    <row r="705">
      <c r="B705" s="27">
        <f>'1 Data'!B694</f>
        <v/>
      </c>
      <c r="C705" s="28">
        <f>$C$12 + '1 Data'!C694*$C$13 + '1 Data'!D694*$C$14 + '1 Data'!E694*$C$15 + '1 Data'!F694*$C$16 + '1 Data'!G694*$C$17 + '1 Data'!H694*$C$18</f>
        <v/>
      </c>
      <c r="D705" s="23">
        <f>1/(1+EXP(-C705))</f>
        <v/>
      </c>
      <c r="E705" s="27">
        <f>'1 Data'!I694</f>
        <v/>
      </c>
      <c r="F705" s="29">
        <f>RANK(D705,$D$23:$D$1022)</f>
        <v/>
      </c>
      <c r="G705" s="30">
        <f>COUNTIF($D$23:$D$1022,"&lt;"&amp;D705)+(COUNTIF($D$23:$D$1022,"="&amp;D705)+1)/2</f>
        <v/>
      </c>
    </row>
    <row r="706">
      <c r="B706" s="27">
        <f>'1 Data'!B695</f>
        <v/>
      </c>
      <c r="C706" s="28">
        <f>$C$12 + '1 Data'!C695*$C$13 + '1 Data'!D695*$C$14 + '1 Data'!E695*$C$15 + '1 Data'!F695*$C$16 + '1 Data'!G695*$C$17 + '1 Data'!H695*$C$18</f>
        <v/>
      </c>
      <c r="D706" s="23">
        <f>1/(1+EXP(-C706))</f>
        <v/>
      </c>
      <c r="E706" s="27">
        <f>'1 Data'!I695</f>
        <v/>
      </c>
      <c r="F706" s="29">
        <f>RANK(D706,$D$23:$D$1022)</f>
        <v/>
      </c>
      <c r="G706" s="30">
        <f>COUNTIF($D$23:$D$1022,"&lt;"&amp;D706)+(COUNTIF($D$23:$D$1022,"="&amp;D706)+1)/2</f>
        <v/>
      </c>
    </row>
    <row r="707">
      <c r="B707" s="27">
        <f>'1 Data'!B696</f>
        <v/>
      </c>
      <c r="C707" s="28">
        <f>$C$12 + '1 Data'!C696*$C$13 + '1 Data'!D696*$C$14 + '1 Data'!E696*$C$15 + '1 Data'!F696*$C$16 + '1 Data'!G696*$C$17 + '1 Data'!H696*$C$18</f>
        <v/>
      </c>
      <c r="D707" s="23">
        <f>1/(1+EXP(-C707))</f>
        <v/>
      </c>
      <c r="E707" s="27">
        <f>'1 Data'!I696</f>
        <v/>
      </c>
      <c r="F707" s="29">
        <f>RANK(D707,$D$23:$D$1022)</f>
        <v/>
      </c>
      <c r="G707" s="30">
        <f>COUNTIF($D$23:$D$1022,"&lt;"&amp;D707)+(COUNTIF($D$23:$D$1022,"="&amp;D707)+1)/2</f>
        <v/>
      </c>
    </row>
    <row r="708">
      <c r="B708" s="27">
        <f>'1 Data'!B697</f>
        <v/>
      </c>
      <c r="C708" s="28">
        <f>$C$12 + '1 Data'!C697*$C$13 + '1 Data'!D697*$C$14 + '1 Data'!E697*$C$15 + '1 Data'!F697*$C$16 + '1 Data'!G697*$C$17 + '1 Data'!H697*$C$18</f>
        <v/>
      </c>
      <c r="D708" s="23">
        <f>1/(1+EXP(-C708))</f>
        <v/>
      </c>
      <c r="E708" s="27">
        <f>'1 Data'!I697</f>
        <v/>
      </c>
      <c r="F708" s="29">
        <f>RANK(D708,$D$23:$D$1022)</f>
        <v/>
      </c>
      <c r="G708" s="30">
        <f>COUNTIF($D$23:$D$1022,"&lt;"&amp;D708)+(COUNTIF($D$23:$D$1022,"="&amp;D708)+1)/2</f>
        <v/>
      </c>
    </row>
    <row r="709">
      <c r="B709" s="27">
        <f>'1 Data'!B698</f>
        <v/>
      </c>
      <c r="C709" s="28">
        <f>$C$12 + '1 Data'!C698*$C$13 + '1 Data'!D698*$C$14 + '1 Data'!E698*$C$15 + '1 Data'!F698*$C$16 + '1 Data'!G698*$C$17 + '1 Data'!H698*$C$18</f>
        <v/>
      </c>
      <c r="D709" s="23">
        <f>1/(1+EXP(-C709))</f>
        <v/>
      </c>
      <c r="E709" s="27">
        <f>'1 Data'!I698</f>
        <v/>
      </c>
      <c r="F709" s="29">
        <f>RANK(D709,$D$23:$D$1022)</f>
        <v/>
      </c>
      <c r="G709" s="30">
        <f>COUNTIF($D$23:$D$1022,"&lt;"&amp;D709)+(COUNTIF($D$23:$D$1022,"="&amp;D709)+1)/2</f>
        <v/>
      </c>
    </row>
    <row r="710">
      <c r="B710" s="27">
        <f>'1 Data'!B699</f>
        <v/>
      </c>
      <c r="C710" s="28">
        <f>$C$12 + '1 Data'!C699*$C$13 + '1 Data'!D699*$C$14 + '1 Data'!E699*$C$15 + '1 Data'!F699*$C$16 + '1 Data'!G699*$C$17 + '1 Data'!H699*$C$18</f>
        <v/>
      </c>
      <c r="D710" s="23">
        <f>1/(1+EXP(-C710))</f>
        <v/>
      </c>
      <c r="E710" s="27">
        <f>'1 Data'!I699</f>
        <v/>
      </c>
      <c r="F710" s="29">
        <f>RANK(D710,$D$23:$D$1022)</f>
        <v/>
      </c>
      <c r="G710" s="30">
        <f>COUNTIF($D$23:$D$1022,"&lt;"&amp;D710)+(COUNTIF($D$23:$D$1022,"="&amp;D710)+1)/2</f>
        <v/>
      </c>
    </row>
    <row r="711">
      <c r="B711" s="27">
        <f>'1 Data'!B700</f>
        <v/>
      </c>
      <c r="C711" s="28">
        <f>$C$12 + '1 Data'!C700*$C$13 + '1 Data'!D700*$C$14 + '1 Data'!E700*$C$15 + '1 Data'!F700*$C$16 + '1 Data'!G700*$C$17 + '1 Data'!H700*$C$18</f>
        <v/>
      </c>
      <c r="D711" s="23">
        <f>1/(1+EXP(-C711))</f>
        <v/>
      </c>
      <c r="E711" s="27">
        <f>'1 Data'!I700</f>
        <v/>
      </c>
      <c r="F711" s="29">
        <f>RANK(D711,$D$23:$D$1022)</f>
        <v/>
      </c>
      <c r="G711" s="30">
        <f>COUNTIF($D$23:$D$1022,"&lt;"&amp;D711)+(COUNTIF($D$23:$D$1022,"="&amp;D711)+1)/2</f>
        <v/>
      </c>
    </row>
    <row r="712">
      <c r="B712" s="27">
        <f>'1 Data'!B701</f>
        <v/>
      </c>
      <c r="C712" s="28">
        <f>$C$12 + '1 Data'!C701*$C$13 + '1 Data'!D701*$C$14 + '1 Data'!E701*$C$15 + '1 Data'!F701*$C$16 + '1 Data'!G701*$C$17 + '1 Data'!H701*$C$18</f>
        <v/>
      </c>
      <c r="D712" s="23">
        <f>1/(1+EXP(-C712))</f>
        <v/>
      </c>
      <c r="E712" s="27">
        <f>'1 Data'!I701</f>
        <v/>
      </c>
      <c r="F712" s="29">
        <f>RANK(D712,$D$23:$D$1022)</f>
        <v/>
      </c>
      <c r="G712" s="30">
        <f>COUNTIF($D$23:$D$1022,"&lt;"&amp;D712)+(COUNTIF($D$23:$D$1022,"="&amp;D712)+1)/2</f>
        <v/>
      </c>
    </row>
    <row r="713">
      <c r="B713" s="27">
        <f>'1 Data'!B702</f>
        <v/>
      </c>
      <c r="C713" s="28">
        <f>$C$12 + '1 Data'!C702*$C$13 + '1 Data'!D702*$C$14 + '1 Data'!E702*$C$15 + '1 Data'!F702*$C$16 + '1 Data'!G702*$C$17 + '1 Data'!H702*$C$18</f>
        <v/>
      </c>
      <c r="D713" s="23">
        <f>1/(1+EXP(-C713))</f>
        <v/>
      </c>
      <c r="E713" s="27">
        <f>'1 Data'!I702</f>
        <v/>
      </c>
      <c r="F713" s="29">
        <f>RANK(D713,$D$23:$D$1022)</f>
        <v/>
      </c>
      <c r="G713" s="30">
        <f>COUNTIF($D$23:$D$1022,"&lt;"&amp;D713)+(COUNTIF($D$23:$D$1022,"="&amp;D713)+1)/2</f>
        <v/>
      </c>
    </row>
    <row r="714">
      <c r="B714" s="27">
        <f>'1 Data'!B703</f>
        <v/>
      </c>
      <c r="C714" s="28">
        <f>$C$12 + '1 Data'!C703*$C$13 + '1 Data'!D703*$C$14 + '1 Data'!E703*$C$15 + '1 Data'!F703*$C$16 + '1 Data'!G703*$C$17 + '1 Data'!H703*$C$18</f>
        <v/>
      </c>
      <c r="D714" s="23">
        <f>1/(1+EXP(-C714))</f>
        <v/>
      </c>
      <c r="E714" s="27">
        <f>'1 Data'!I703</f>
        <v/>
      </c>
      <c r="F714" s="29">
        <f>RANK(D714,$D$23:$D$1022)</f>
        <v/>
      </c>
      <c r="G714" s="30">
        <f>COUNTIF($D$23:$D$1022,"&lt;"&amp;D714)+(COUNTIF($D$23:$D$1022,"="&amp;D714)+1)/2</f>
        <v/>
      </c>
    </row>
    <row r="715">
      <c r="B715" s="27">
        <f>'1 Data'!B704</f>
        <v/>
      </c>
      <c r="C715" s="28">
        <f>$C$12 + '1 Data'!C704*$C$13 + '1 Data'!D704*$C$14 + '1 Data'!E704*$C$15 + '1 Data'!F704*$C$16 + '1 Data'!G704*$C$17 + '1 Data'!H704*$C$18</f>
        <v/>
      </c>
      <c r="D715" s="23">
        <f>1/(1+EXP(-C715))</f>
        <v/>
      </c>
      <c r="E715" s="27">
        <f>'1 Data'!I704</f>
        <v/>
      </c>
      <c r="F715" s="29">
        <f>RANK(D715,$D$23:$D$1022)</f>
        <v/>
      </c>
      <c r="G715" s="30">
        <f>COUNTIF($D$23:$D$1022,"&lt;"&amp;D715)+(COUNTIF($D$23:$D$1022,"="&amp;D715)+1)/2</f>
        <v/>
      </c>
    </row>
    <row r="716">
      <c r="B716" s="27">
        <f>'1 Data'!B705</f>
        <v/>
      </c>
      <c r="C716" s="28">
        <f>$C$12 + '1 Data'!C705*$C$13 + '1 Data'!D705*$C$14 + '1 Data'!E705*$C$15 + '1 Data'!F705*$C$16 + '1 Data'!G705*$C$17 + '1 Data'!H705*$C$18</f>
        <v/>
      </c>
      <c r="D716" s="23">
        <f>1/(1+EXP(-C716))</f>
        <v/>
      </c>
      <c r="E716" s="27">
        <f>'1 Data'!I705</f>
        <v/>
      </c>
      <c r="F716" s="29">
        <f>RANK(D716,$D$23:$D$1022)</f>
        <v/>
      </c>
      <c r="G716" s="30">
        <f>COUNTIF($D$23:$D$1022,"&lt;"&amp;D716)+(COUNTIF($D$23:$D$1022,"="&amp;D716)+1)/2</f>
        <v/>
      </c>
    </row>
    <row r="717">
      <c r="B717" s="27">
        <f>'1 Data'!B706</f>
        <v/>
      </c>
      <c r="C717" s="28">
        <f>$C$12 + '1 Data'!C706*$C$13 + '1 Data'!D706*$C$14 + '1 Data'!E706*$C$15 + '1 Data'!F706*$C$16 + '1 Data'!G706*$C$17 + '1 Data'!H706*$C$18</f>
        <v/>
      </c>
      <c r="D717" s="23">
        <f>1/(1+EXP(-C717))</f>
        <v/>
      </c>
      <c r="E717" s="27">
        <f>'1 Data'!I706</f>
        <v/>
      </c>
      <c r="F717" s="29">
        <f>RANK(D717,$D$23:$D$1022)</f>
        <v/>
      </c>
      <c r="G717" s="30">
        <f>COUNTIF($D$23:$D$1022,"&lt;"&amp;D717)+(COUNTIF($D$23:$D$1022,"="&amp;D717)+1)/2</f>
        <v/>
      </c>
    </row>
    <row r="718">
      <c r="B718" s="27">
        <f>'1 Data'!B707</f>
        <v/>
      </c>
      <c r="C718" s="28">
        <f>$C$12 + '1 Data'!C707*$C$13 + '1 Data'!D707*$C$14 + '1 Data'!E707*$C$15 + '1 Data'!F707*$C$16 + '1 Data'!G707*$C$17 + '1 Data'!H707*$C$18</f>
        <v/>
      </c>
      <c r="D718" s="23">
        <f>1/(1+EXP(-C718))</f>
        <v/>
      </c>
      <c r="E718" s="27">
        <f>'1 Data'!I707</f>
        <v/>
      </c>
      <c r="F718" s="29">
        <f>RANK(D718,$D$23:$D$1022)</f>
        <v/>
      </c>
      <c r="G718" s="30">
        <f>COUNTIF($D$23:$D$1022,"&lt;"&amp;D718)+(COUNTIF($D$23:$D$1022,"="&amp;D718)+1)/2</f>
        <v/>
      </c>
    </row>
    <row r="719">
      <c r="B719" s="27">
        <f>'1 Data'!B708</f>
        <v/>
      </c>
      <c r="C719" s="28">
        <f>$C$12 + '1 Data'!C708*$C$13 + '1 Data'!D708*$C$14 + '1 Data'!E708*$C$15 + '1 Data'!F708*$C$16 + '1 Data'!G708*$C$17 + '1 Data'!H708*$C$18</f>
        <v/>
      </c>
      <c r="D719" s="23">
        <f>1/(1+EXP(-C719))</f>
        <v/>
      </c>
      <c r="E719" s="27">
        <f>'1 Data'!I708</f>
        <v/>
      </c>
      <c r="F719" s="29">
        <f>RANK(D719,$D$23:$D$1022)</f>
        <v/>
      </c>
      <c r="G719" s="30">
        <f>COUNTIF($D$23:$D$1022,"&lt;"&amp;D719)+(COUNTIF($D$23:$D$1022,"="&amp;D719)+1)/2</f>
        <v/>
      </c>
    </row>
    <row r="720">
      <c r="B720" s="27">
        <f>'1 Data'!B709</f>
        <v/>
      </c>
      <c r="C720" s="28">
        <f>$C$12 + '1 Data'!C709*$C$13 + '1 Data'!D709*$C$14 + '1 Data'!E709*$C$15 + '1 Data'!F709*$C$16 + '1 Data'!G709*$C$17 + '1 Data'!H709*$C$18</f>
        <v/>
      </c>
      <c r="D720" s="23">
        <f>1/(1+EXP(-C720))</f>
        <v/>
      </c>
      <c r="E720" s="27">
        <f>'1 Data'!I709</f>
        <v/>
      </c>
      <c r="F720" s="29">
        <f>RANK(D720,$D$23:$D$1022)</f>
        <v/>
      </c>
      <c r="G720" s="30">
        <f>COUNTIF($D$23:$D$1022,"&lt;"&amp;D720)+(COUNTIF($D$23:$D$1022,"="&amp;D720)+1)/2</f>
        <v/>
      </c>
    </row>
    <row r="721">
      <c r="B721" s="27">
        <f>'1 Data'!B710</f>
        <v/>
      </c>
      <c r="C721" s="28">
        <f>$C$12 + '1 Data'!C710*$C$13 + '1 Data'!D710*$C$14 + '1 Data'!E710*$C$15 + '1 Data'!F710*$C$16 + '1 Data'!G710*$C$17 + '1 Data'!H710*$C$18</f>
        <v/>
      </c>
      <c r="D721" s="23">
        <f>1/(1+EXP(-C721))</f>
        <v/>
      </c>
      <c r="E721" s="27">
        <f>'1 Data'!I710</f>
        <v/>
      </c>
      <c r="F721" s="29">
        <f>RANK(D721,$D$23:$D$1022)</f>
        <v/>
      </c>
      <c r="G721" s="30">
        <f>COUNTIF($D$23:$D$1022,"&lt;"&amp;D721)+(COUNTIF($D$23:$D$1022,"="&amp;D721)+1)/2</f>
        <v/>
      </c>
    </row>
    <row r="722">
      <c r="B722" s="27">
        <f>'1 Data'!B711</f>
        <v/>
      </c>
      <c r="C722" s="28">
        <f>$C$12 + '1 Data'!C711*$C$13 + '1 Data'!D711*$C$14 + '1 Data'!E711*$C$15 + '1 Data'!F711*$C$16 + '1 Data'!G711*$C$17 + '1 Data'!H711*$C$18</f>
        <v/>
      </c>
      <c r="D722" s="23">
        <f>1/(1+EXP(-C722))</f>
        <v/>
      </c>
      <c r="E722" s="27">
        <f>'1 Data'!I711</f>
        <v/>
      </c>
      <c r="F722" s="29">
        <f>RANK(D722,$D$23:$D$1022)</f>
        <v/>
      </c>
      <c r="G722" s="30">
        <f>COUNTIF($D$23:$D$1022,"&lt;"&amp;D722)+(COUNTIF($D$23:$D$1022,"="&amp;D722)+1)/2</f>
        <v/>
      </c>
    </row>
    <row r="723">
      <c r="B723" s="27">
        <f>'1 Data'!B712</f>
        <v/>
      </c>
      <c r="C723" s="28">
        <f>$C$12 + '1 Data'!C712*$C$13 + '1 Data'!D712*$C$14 + '1 Data'!E712*$C$15 + '1 Data'!F712*$C$16 + '1 Data'!G712*$C$17 + '1 Data'!H712*$C$18</f>
        <v/>
      </c>
      <c r="D723" s="23">
        <f>1/(1+EXP(-C723))</f>
        <v/>
      </c>
      <c r="E723" s="27">
        <f>'1 Data'!I712</f>
        <v/>
      </c>
      <c r="F723" s="29">
        <f>RANK(D723,$D$23:$D$1022)</f>
        <v/>
      </c>
      <c r="G723" s="30">
        <f>COUNTIF($D$23:$D$1022,"&lt;"&amp;D723)+(COUNTIF($D$23:$D$1022,"="&amp;D723)+1)/2</f>
        <v/>
      </c>
    </row>
    <row r="724">
      <c r="B724" s="27">
        <f>'1 Data'!B713</f>
        <v/>
      </c>
      <c r="C724" s="28">
        <f>$C$12 + '1 Data'!C713*$C$13 + '1 Data'!D713*$C$14 + '1 Data'!E713*$C$15 + '1 Data'!F713*$C$16 + '1 Data'!G713*$C$17 + '1 Data'!H713*$C$18</f>
        <v/>
      </c>
      <c r="D724" s="23">
        <f>1/(1+EXP(-C724))</f>
        <v/>
      </c>
      <c r="E724" s="27">
        <f>'1 Data'!I713</f>
        <v/>
      </c>
      <c r="F724" s="29">
        <f>RANK(D724,$D$23:$D$1022)</f>
        <v/>
      </c>
      <c r="G724" s="30">
        <f>COUNTIF($D$23:$D$1022,"&lt;"&amp;D724)+(COUNTIF($D$23:$D$1022,"="&amp;D724)+1)/2</f>
        <v/>
      </c>
    </row>
    <row r="725">
      <c r="B725" s="27">
        <f>'1 Data'!B714</f>
        <v/>
      </c>
      <c r="C725" s="28">
        <f>$C$12 + '1 Data'!C714*$C$13 + '1 Data'!D714*$C$14 + '1 Data'!E714*$C$15 + '1 Data'!F714*$C$16 + '1 Data'!G714*$C$17 + '1 Data'!H714*$C$18</f>
        <v/>
      </c>
      <c r="D725" s="23">
        <f>1/(1+EXP(-C725))</f>
        <v/>
      </c>
      <c r="E725" s="27">
        <f>'1 Data'!I714</f>
        <v/>
      </c>
      <c r="F725" s="29">
        <f>RANK(D725,$D$23:$D$1022)</f>
        <v/>
      </c>
      <c r="G725" s="30">
        <f>COUNTIF($D$23:$D$1022,"&lt;"&amp;D725)+(COUNTIF($D$23:$D$1022,"="&amp;D725)+1)/2</f>
        <v/>
      </c>
    </row>
    <row r="726">
      <c r="B726" s="27">
        <f>'1 Data'!B715</f>
        <v/>
      </c>
      <c r="C726" s="28">
        <f>$C$12 + '1 Data'!C715*$C$13 + '1 Data'!D715*$C$14 + '1 Data'!E715*$C$15 + '1 Data'!F715*$C$16 + '1 Data'!G715*$C$17 + '1 Data'!H715*$C$18</f>
        <v/>
      </c>
      <c r="D726" s="23">
        <f>1/(1+EXP(-C726))</f>
        <v/>
      </c>
      <c r="E726" s="27">
        <f>'1 Data'!I715</f>
        <v/>
      </c>
      <c r="F726" s="29">
        <f>RANK(D726,$D$23:$D$1022)</f>
        <v/>
      </c>
      <c r="G726" s="30">
        <f>COUNTIF($D$23:$D$1022,"&lt;"&amp;D726)+(COUNTIF($D$23:$D$1022,"="&amp;D726)+1)/2</f>
        <v/>
      </c>
    </row>
    <row r="727">
      <c r="B727" s="27">
        <f>'1 Data'!B716</f>
        <v/>
      </c>
      <c r="C727" s="28">
        <f>$C$12 + '1 Data'!C716*$C$13 + '1 Data'!D716*$C$14 + '1 Data'!E716*$C$15 + '1 Data'!F716*$C$16 + '1 Data'!G716*$C$17 + '1 Data'!H716*$C$18</f>
        <v/>
      </c>
      <c r="D727" s="23">
        <f>1/(1+EXP(-C727))</f>
        <v/>
      </c>
      <c r="E727" s="27">
        <f>'1 Data'!I716</f>
        <v/>
      </c>
      <c r="F727" s="29">
        <f>RANK(D727,$D$23:$D$1022)</f>
        <v/>
      </c>
      <c r="G727" s="30">
        <f>COUNTIF($D$23:$D$1022,"&lt;"&amp;D727)+(COUNTIF($D$23:$D$1022,"="&amp;D727)+1)/2</f>
        <v/>
      </c>
    </row>
    <row r="728">
      <c r="B728" s="27">
        <f>'1 Data'!B717</f>
        <v/>
      </c>
      <c r="C728" s="28">
        <f>$C$12 + '1 Data'!C717*$C$13 + '1 Data'!D717*$C$14 + '1 Data'!E717*$C$15 + '1 Data'!F717*$C$16 + '1 Data'!G717*$C$17 + '1 Data'!H717*$C$18</f>
        <v/>
      </c>
      <c r="D728" s="23">
        <f>1/(1+EXP(-C728))</f>
        <v/>
      </c>
      <c r="E728" s="27">
        <f>'1 Data'!I717</f>
        <v/>
      </c>
      <c r="F728" s="29">
        <f>RANK(D728,$D$23:$D$1022)</f>
        <v/>
      </c>
      <c r="G728" s="30">
        <f>COUNTIF($D$23:$D$1022,"&lt;"&amp;D728)+(COUNTIF($D$23:$D$1022,"="&amp;D728)+1)/2</f>
        <v/>
      </c>
    </row>
    <row r="729">
      <c r="B729" s="27">
        <f>'1 Data'!B718</f>
        <v/>
      </c>
      <c r="C729" s="28">
        <f>$C$12 + '1 Data'!C718*$C$13 + '1 Data'!D718*$C$14 + '1 Data'!E718*$C$15 + '1 Data'!F718*$C$16 + '1 Data'!G718*$C$17 + '1 Data'!H718*$C$18</f>
        <v/>
      </c>
      <c r="D729" s="23">
        <f>1/(1+EXP(-C729))</f>
        <v/>
      </c>
      <c r="E729" s="27">
        <f>'1 Data'!I718</f>
        <v/>
      </c>
      <c r="F729" s="29">
        <f>RANK(D729,$D$23:$D$1022)</f>
        <v/>
      </c>
      <c r="G729" s="30">
        <f>COUNTIF($D$23:$D$1022,"&lt;"&amp;D729)+(COUNTIF($D$23:$D$1022,"="&amp;D729)+1)/2</f>
        <v/>
      </c>
    </row>
    <row r="730">
      <c r="B730" s="27">
        <f>'1 Data'!B719</f>
        <v/>
      </c>
      <c r="C730" s="28">
        <f>$C$12 + '1 Data'!C719*$C$13 + '1 Data'!D719*$C$14 + '1 Data'!E719*$C$15 + '1 Data'!F719*$C$16 + '1 Data'!G719*$C$17 + '1 Data'!H719*$C$18</f>
        <v/>
      </c>
      <c r="D730" s="23">
        <f>1/(1+EXP(-C730))</f>
        <v/>
      </c>
      <c r="E730" s="27">
        <f>'1 Data'!I719</f>
        <v/>
      </c>
      <c r="F730" s="29">
        <f>RANK(D730,$D$23:$D$1022)</f>
        <v/>
      </c>
      <c r="G730" s="30">
        <f>COUNTIF($D$23:$D$1022,"&lt;"&amp;D730)+(COUNTIF($D$23:$D$1022,"="&amp;D730)+1)/2</f>
        <v/>
      </c>
    </row>
    <row r="731">
      <c r="B731" s="27">
        <f>'1 Data'!B720</f>
        <v/>
      </c>
      <c r="C731" s="28">
        <f>$C$12 + '1 Data'!C720*$C$13 + '1 Data'!D720*$C$14 + '1 Data'!E720*$C$15 + '1 Data'!F720*$C$16 + '1 Data'!G720*$C$17 + '1 Data'!H720*$C$18</f>
        <v/>
      </c>
      <c r="D731" s="23">
        <f>1/(1+EXP(-C731))</f>
        <v/>
      </c>
      <c r="E731" s="27">
        <f>'1 Data'!I720</f>
        <v/>
      </c>
      <c r="F731" s="29">
        <f>RANK(D731,$D$23:$D$1022)</f>
        <v/>
      </c>
      <c r="G731" s="30">
        <f>COUNTIF($D$23:$D$1022,"&lt;"&amp;D731)+(COUNTIF($D$23:$D$1022,"="&amp;D731)+1)/2</f>
        <v/>
      </c>
    </row>
    <row r="732">
      <c r="B732" s="27">
        <f>'1 Data'!B721</f>
        <v/>
      </c>
      <c r="C732" s="28">
        <f>$C$12 + '1 Data'!C721*$C$13 + '1 Data'!D721*$C$14 + '1 Data'!E721*$C$15 + '1 Data'!F721*$C$16 + '1 Data'!G721*$C$17 + '1 Data'!H721*$C$18</f>
        <v/>
      </c>
      <c r="D732" s="23">
        <f>1/(1+EXP(-C732))</f>
        <v/>
      </c>
      <c r="E732" s="27">
        <f>'1 Data'!I721</f>
        <v/>
      </c>
      <c r="F732" s="29">
        <f>RANK(D732,$D$23:$D$1022)</f>
        <v/>
      </c>
      <c r="G732" s="30">
        <f>COUNTIF($D$23:$D$1022,"&lt;"&amp;D732)+(COUNTIF($D$23:$D$1022,"="&amp;D732)+1)/2</f>
        <v/>
      </c>
    </row>
    <row r="733">
      <c r="B733" s="27">
        <f>'1 Data'!B722</f>
        <v/>
      </c>
      <c r="C733" s="28">
        <f>$C$12 + '1 Data'!C722*$C$13 + '1 Data'!D722*$C$14 + '1 Data'!E722*$C$15 + '1 Data'!F722*$C$16 + '1 Data'!G722*$C$17 + '1 Data'!H722*$C$18</f>
        <v/>
      </c>
      <c r="D733" s="23">
        <f>1/(1+EXP(-C733))</f>
        <v/>
      </c>
      <c r="E733" s="27">
        <f>'1 Data'!I722</f>
        <v/>
      </c>
      <c r="F733" s="29">
        <f>RANK(D733,$D$23:$D$1022)</f>
        <v/>
      </c>
      <c r="G733" s="30">
        <f>COUNTIF($D$23:$D$1022,"&lt;"&amp;D733)+(COUNTIF($D$23:$D$1022,"="&amp;D733)+1)/2</f>
        <v/>
      </c>
    </row>
    <row r="734">
      <c r="B734" s="27">
        <f>'1 Data'!B723</f>
        <v/>
      </c>
      <c r="C734" s="28">
        <f>$C$12 + '1 Data'!C723*$C$13 + '1 Data'!D723*$C$14 + '1 Data'!E723*$C$15 + '1 Data'!F723*$C$16 + '1 Data'!G723*$C$17 + '1 Data'!H723*$C$18</f>
        <v/>
      </c>
      <c r="D734" s="23">
        <f>1/(1+EXP(-C734))</f>
        <v/>
      </c>
      <c r="E734" s="27">
        <f>'1 Data'!I723</f>
        <v/>
      </c>
      <c r="F734" s="29">
        <f>RANK(D734,$D$23:$D$1022)</f>
        <v/>
      </c>
      <c r="G734" s="30">
        <f>COUNTIF($D$23:$D$1022,"&lt;"&amp;D734)+(COUNTIF($D$23:$D$1022,"="&amp;D734)+1)/2</f>
        <v/>
      </c>
    </row>
    <row r="735">
      <c r="B735" s="27">
        <f>'1 Data'!B724</f>
        <v/>
      </c>
      <c r="C735" s="28">
        <f>$C$12 + '1 Data'!C724*$C$13 + '1 Data'!D724*$C$14 + '1 Data'!E724*$C$15 + '1 Data'!F724*$C$16 + '1 Data'!G724*$C$17 + '1 Data'!H724*$C$18</f>
        <v/>
      </c>
      <c r="D735" s="23">
        <f>1/(1+EXP(-C735))</f>
        <v/>
      </c>
      <c r="E735" s="27">
        <f>'1 Data'!I724</f>
        <v/>
      </c>
      <c r="F735" s="29">
        <f>RANK(D735,$D$23:$D$1022)</f>
        <v/>
      </c>
      <c r="G735" s="30">
        <f>COUNTIF($D$23:$D$1022,"&lt;"&amp;D735)+(COUNTIF($D$23:$D$1022,"="&amp;D735)+1)/2</f>
        <v/>
      </c>
    </row>
    <row r="736">
      <c r="B736" s="27">
        <f>'1 Data'!B725</f>
        <v/>
      </c>
      <c r="C736" s="28">
        <f>$C$12 + '1 Data'!C725*$C$13 + '1 Data'!D725*$C$14 + '1 Data'!E725*$C$15 + '1 Data'!F725*$C$16 + '1 Data'!G725*$C$17 + '1 Data'!H725*$C$18</f>
        <v/>
      </c>
      <c r="D736" s="23">
        <f>1/(1+EXP(-C736))</f>
        <v/>
      </c>
      <c r="E736" s="27">
        <f>'1 Data'!I725</f>
        <v/>
      </c>
      <c r="F736" s="29">
        <f>RANK(D736,$D$23:$D$1022)</f>
        <v/>
      </c>
      <c r="G736" s="30">
        <f>COUNTIF($D$23:$D$1022,"&lt;"&amp;D736)+(COUNTIF($D$23:$D$1022,"="&amp;D736)+1)/2</f>
        <v/>
      </c>
    </row>
    <row r="737">
      <c r="B737" s="27">
        <f>'1 Data'!B726</f>
        <v/>
      </c>
      <c r="C737" s="28">
        <f>$C$12 + '1 Data'!C726*$C$13 + '1 Data'!D726*$C$14 + '1 Data'!E726*$C$15 + '1 Data'!F726*$C$16 + '1 Data'!G726*$C$17 + '1 Data'!H726*$C$18</f>
        <v/>
      </c>
      <c r="D737" s="23">
        <f>1/(1+EXP(-C737))</f>
        <v/>
      </c>
      <c r="E737" s="27">
        <f>'1 Data'!I726</f>
        <v/>
      </c>
      <c r="F737" s="29">
        <f>RANK(D737,$D$23:$D$1022)</f>
        <v/>
      </c>
      <c r="G737" s="30">
        <f>COUNTIF($D$23:$D$1022,"&lt;"&amp;D737)+(COUNTIF($D$23:$D$1022,"="&amp;D737)+1)/2</f>
        <v/>
      </c>
    </row>
    <row r="738">
      <c r="B738" s="27">
        <f>'1 Data'!B727</f>
        <v/>
      </c>
      <c r="C738" s="28">
        <f>$C$12 + '1 Data'!C727*$C$13 + '1 Data'!D727*$C$14 + '1 Data'!E727*$C$15 + '1 Data'!F727*$C$16 + '1 Data'!G727*$C$17 + '1 Data'!H727*$C$18</f>
        <v/>
      </c>
      <c r="D738" s="23">
        <f>1/(1+EXP(-C738))</f>
        <v/>
      </c>
      <c r="E738" s="27">
        <f>'1 Data'!I727</f>
        <v/>
      </c>
      <c r="F738" s="29">
        <f>RANK(D738,$D$23:$D$1022)</f>
        <v/>
      </c>
      <c r="G738" s="30">
        <f>COUNTIF($D$23:$D$1022,"&lt;"&amp;D738)+(COUNTIF($D$23:$D$1022,"="&amp;D738)+1)/2</f>
        <v/>
      </c>
    </row>
    <row r="739">
      <c r="B739" s="27">
        <f>'1 Data'!B728</f>
        <v/>
      </c>
      <c r="C739" s="28">
        <f>$C$12 + '1 Data'!C728*$C$13 + '1 Data'!D728*$C$14 + '1 Data'!E728*$C$15 + '1 Data'!F728*$C$16 + '1 Data'!G728*$C$17 + '1 Data'!H728*$C$18</f>
        <v/>
      </c>
      <c r="D739" s="23">
        <f>1/(1+EXP(-C739))</f>
        <v/>
      </c>
      <c r="E739" s="27">
        <f>'1 Data'!I728</f>
        <v/>
      </c>
      <c r="F739" s="29">
        <f>RANK(D739,$D$23:$D$1022)</f>
        <v/>
      </c>
      <c r="G739" s="30">
        <f>COUNTIF($D$23:$D$1022,"&lt;"&amp;D739)+(COUNTIF($D$23:$D$1022,"="&amp;D739)+1)/2</f>
        <v/>
      </c>
    </row>
    <row r="740">
      <c r="B740" s="27">
        <f>'1 Data'!B729</f>
        <v/>
      </c>
      <c r="C740" s="28">
        <f>$C$12 + '1 Data'!C729*$C$13 + '1 Data'!D729*$C$14 + '1 Data'!E729*$C$15 + '1 Data'!F729*$C$16 + '1 Data'!G729*$C$17 + '1 Data'!H729*$C$18</f>
        <v/>
      </c>
      <c r="D740" s="23">
        <f>1/(1+EXP(-C740))</f>
        <v/>
      </c>
      <c r="E740" s="27">
        <f>'1 Data'!I729</f>
        <v/>
      </c>
      <c r="F740" s="29">
        <f>RANK(D740,$D$23:$D$1022)</f>
        <v/>
      </c>
      <c r="G740" s="30">
        <f>COUNTIF($D$23:$D$1022,"&lt;"&amp;D740)+(COUNTIF($D$23:$D$1022,"="&amp;D740)+1)/2</f>
        <v/>
      </c>
    </row>
    <row r="741">
      <c r="B741" s="27">
        <f>'1 Data'!B730</f>
        <v/>
      </c>
      <c r="C741" s="28">
        <f>$C$12 + '1 Data'!C730*$C$13 + '1 Data'!D730*$C$14 + '1 Data'!E730*$C$15 + '1 Data'!F730*$C$16 + '1 Data'!G730*$C$17 + '1 Data'!H730*$C$18</f>
        <v/>
      </c>
      <c r="D741" s="23">
        <f>1/(1+EXP(-C741))</f>
        <v/>
      </c>
      <c r="E741" s="27">
        <f>'1 Data'!I730</f>
        <v/>
      </c>
      <c r="F741" s="29">
        <f>RANK(D741,$D$23:$D$1022)</f>
        <v/>
      </c>
      <c r="G741" s="30">
        <f>COUNTIF($D$23:$D$1022,"&lt;"&amp;D741)+(COUNTIF($D$23:$D$1022,"="&amp;D741)+1)/2</f>
        <v/>
      </c>
    </row>
    <row r="742">
      <c r="B742" s="27">
        <f>'1 Data'!B731</f>
        <v/>
      </c>
      <c r="C742" s="28">
        <f>$C$12 + '1 Data'!C731*$C$13 + '1 Data'!D731*$C$14 + '1 Data'!E731*$C$15 + '1 Data'!F731*$C$16 + '1 Data'!G731*$C$17 + '1 Data'!H731*$C$18</f>
        <v/>
      </c>
      <c r="D742" s="23">
        <f>1/(1+EXP(-C742))</f>
        <v/>
      </c>
      <c r="E742" s="27">
        <f>'1 Data'!I731</f>
        <v/>
      </c>
      <c r="F742" s="29">
        <f>RANK(D742,$D$23:$D$1022)</f>
        <v/>
      </c>
      <c r="G742" s="30">
        <f>COUNTIF($D$23:$D$1022,"&lt;"&amp;D742)+(COUNTIF($D$23:$D$1022,"="&amp;D742)+1)/2</f>
        <v/>
      </c>
    </row>
    <row r="743">
      <c r="B743" s="27">
        <f>'1 Data'!B732</f>
        <v/>
      </c>
      <c r="C743" s="28">
        <f>$C$12 + '1 Data'!C732*$C$13 + '1 Data'!D732*$C$14 + '1 Data'!E732*$C$15 + '1 Data'!F732*$C$16 + '1 Data'!G732*$C$17 + '1 Data'!H732*$C$18</f>
        <v/>
      </c>
      <c r="D743" s="23">
        <f>1/(1+EXP(-C743))</f>
        <v/>
      </c>
      <c r="E743" s="27">
        <f>'1 Data'!I732</f>
        <v/>
      </c>
      <c r="F743" s="29">
        <f>RANK(D743,$D$23:$D$1022)</f>
        <v/>
      </c>
      <c r="G743" s="30">
        <f>COUNTIF($D$23:$D$1022,"&lt;"&amp;D743)+(COUNTIF($D$23:$D$1022,"="&amp;D743)+1)/2</f>
        <v/>
      </c>
    </row>
    <row r="744">
      <c r="B744" s="27">
        <f>'1 Data'!B733</f>
        <v/>
      </c>
      <c r="C744" s="28">
        <f>$C$12 + '1 Data'!C733*$C$13 + '1 Data'!D733*$C$14 + '1 Data'!E733*$C$15 + '1 Data'!F733*$C$16 + '1 Data'!G733*$C$17 + '1 Data'!H733*$C$18</f>
        <v/>
      </c>
      <c r="D744" s="23">
        <f>1/(1+EXP(-C744))</f>
        <v/>
      </c>
      <c r="E744" s="27">
        <f>'1 Data'!I733</f>
        <v/>
      </c>
      <c r="F744" s="29">
        <f>RANK(D744,$D$23:$D$1022)</f>
        <v/>
      </c>
      <c r="G744" s="30">
        <f>COUNTIF($D$23:$D$1022,"&lt;"&amp;D744)+(COUNTIF($D$23:$D$1022,"="&amp;D744)+1)/2</f>
        <v/>
      </c>
    </row>
    <row r="745">
      <c r="B745" s="27">
        <f>'1 Data'!B734</f>
        <v/>
      </c>
      <c r="C745" s="28">
        <f>$C$12 + '1 Data'!C734*$C$13 + '1 Data'!D734*$C$14 + '1 Data'!E734*$C$15 + '1 Data'!F734*$C$16 + '1 Data'!G734*$C$17 + '1 Data'!H734*$C$18</f>
        <v/>
      </c>
      <c r="D745" s="23">
        <f>1/(1+EXP(-C745))</f>
        <v/>
      </c>
      <c r="E745" s="27">
        <f>'1 Data'!I734</f>
        <v/>
      </c>
      <c r="F745" s="29">
        <f>RANK(D745,$D$23:$D$1022)</f>
        <v/>
      </c>
      <c r="G745" s="30">
        <f>COUNTIF($D$23:$D$1022,"&lt;"&amp;D745)+(COUNTIF($D$23:$D$1022,"="&amp;D745)+1)/2</f>
        <v/>
      </c>
    </row>
    <row r="746">
      <c r="B746" s="27">
        <f>'1 Data'!B735</f>
        <v/>
      </c>
      <c r="C746" s="28">
        <f>$C$12 + '1 Data'!C735*$C$13 + '1 Data'!D735*$C$14 + '1 Data'!E735*$C$15 + '1 Data'!F735*$C$16 + '1 Data'!G735*$C$17 + '1 Data'!H735*$C$18</f>
        <v/>
      </c>
      <c r="D746" s="23">
        <f>1/(1+EXP(-C746))</f>
        <v/>
      </c>
      <c r="E746" s="27">
        <f>'1 Data'!I735</f>
        <v/>
      </c>
      <c r="F746" s="29">
        <f>RANK(D746,$D$23:$D$1022)</f>
        <v/>
      </c>
      <c r="G746" s="30">
        <f>COUNTIF($D$23:$D$1022,"&lt;"&amp;D746)+(COUNTIF($D$23:$D$1022,"="&amp;D746)+1)/2</f>
        <v/>
      </c>
    </row>
    <row r="747">
      <c r="B747" s="27">
        <f>'1 Data'!B736</f>
        <v/>
      </c>
      <c r="C747" s="28">
        <f>$C$12 + '1 Data'!C736*$C$13 + '1 Data'!D736*$C$14 + '1 Data'!E736*$C$15 + '1 Data'!F736*$C$16 + '1 Data'!G736*$C$17 + '1 Data'!H736*$C$18</f>
        <v/>
      </c>
      <c r="D747" s="23">
        <f>1/(1+EXP(-C747))</f>
        <v/>
      </c>
      <c r="E747" s="27">
        <f>'1 Data'!I736</f>
        <v/>
      </c>
      <c r="F747" s="29">
        <f>RANK(D747,$D$23:$D$1022)</f>
        <v/>
      </c>
      <c r="G747" s="30">
        <f>COUNTIF($D$23:$D$1022,"&lt;"&amp;D747)+(COUNTIF($D$23:$D$1022,"="&amp;D747)+1)/2</f>
        <v/>
      </c>
    </row>
    <row r="748">
      <c r="B748" s="27">
        <f>'1 Data'!B737</f>
        <v/>
      </c>
      <c r="C748" s="28">
        <f>$C$12 + '1 Data'!C737*$C$13 + '1 Data'!D737*$C$14 + '1 Data'!E737*$C$15 + '1 Data'!F737*$C$16 + '1 Data'!G737*$C$17 + '1 Data'!H737*$C$18</f>
        <v/>
      </c>
      <c r="D748" s="23">
        <f>1/(1+EXP(-C748))</f>
        <v/>
      </c>
      <c r="E748" s="27">
        <f>'1 Data'!I737</f>
        <v/>
      </c>
      <c r="F748" s="29">
        <f>RANK(D748,$D$23:$D$1022)</f>
        <v/>
      </c>
      <c r="G748" s="30">
        <f>COUNTIF($D$23:$D$1022,"&lt;"&amp;D748)+(COUNTIF($D$23:$D$1022,"="&amp;D748)+1)/2</f>
        <v/>
      </c>
    </row>
    <row r="749">
      <c r="B749" s="27">
        <f>'1 Data'!B738</f>
        <v/>
      </c>
      <c r="C749" s="28">
        <f>$C$12 + '1 Data'!C738*$C$13 + '1 Data'!D738*$C$14 + '1 Data'!E738*$C$15 + '1 Data'!F738*$C$16 + '1 Data'!G738*$C$17 + '1 Data'!H738*$C$18</f>
        <v/>
      </c>
      <c r="D749" s="23">
        <f>1/(1+EXP(-C749))</f>
        <v/>
      </c>
      <c r="E749" s="27">
        <f>'1 Data'!I738</f>
        <v/>
      </c>
      <c r="F749" s="29">
        <f>RANK(D749,$D$23:$D$1022)</f>
        <v/>
      </c>
      <c r="G749" s="30">
        <f>COUNTIF($D$23:$D$1022,"&lt;"&amp;D749)+(COUNTIF($D$23:$D$1022,"="&amp;D749)+1)/2</f>
        <v/>
      </c>
    </row>
    <row r="750">
      <c r="B750" s="27">
        <f>'1 Data'!B739</f>
        <v/>
      </c>
      <c r="C750" s="28">
        <f>$C$12 + '1 Data'!C739*$C$13 + '1 Data'!D739*$C$14 + '1 Data'!E739*$C$15 + '1 Data'!F739*$C$16 + '1 Data'!G739*$C$17 + '1 Data'!H739*$C$18</f>
        <v/>
      </c>
      <c r="D750" s="23">
        <f>1/(1+EXP(-C750))</f>
        <v/>
      </c>
      <c r="E750" s="27">
        <f>'1 Data'!I739</f>
        <v/>
      </c>
      <c r="F750" s="29">
        <f>RANK(D750,$D$23:$D$1022)</f>
        <v/>
      </c>
      <c r="G750" s="30">
        <f>COUNTIF($D$23:$D$1022,"&lt;"&amp;D750)+(COUNTIF($D$23:$D$1022,"="&amp;D750)+1)/2</f>
        <v/>
      </c>
    </row>
    <row r="751">
      <c r="B751" s="27">
        <f>'1 Data'!B740</f>
        <v/>
      </c>
      <c r="C751" s="28">
        <f>$C$12 + '1 Data'!C740*$C$13 + '1 Data'!D740*$C$14 + '1 Data'!E740*$C$15 + '1 Data'!F740*$C$16 + '1 Data'!G740*$C$17 + '1 Data'!H740*$C$18</f>
        <v/>
      </c>
      <c r="D751" s="23">
        <f>1/(1+EXP(-C751))</f>
        <v/>
      </c>
      <c r="E751" s="27">
        <f>'1 Data'!I740</f>
        <v/>
      </c>
      <c r="F751" s="29">
        <f>RANK(D751,$D$23:$D$1022)</f>
        <v/>
      </c>
      <c r="G751" s="30">
        <f>COUNTIF($D$23:$D$1022,"&lt;"&amp;D751)+(COUNTIF($D$23:$D$1022,"="&amp;D751)+1)/2</f>
        <v/>
      </c>
    </row>
    <row r="752">
      <c r="B752" s="27">
        <f>'1 Data'!B741</f>
        <v/>
      </c>
      <c r="C752" s="28">
        <f>$C$12 + '1 Data'!C741*$C$13 + '1 Data'!D741*$C$14 + '1 Data'!E741*$C$15 + '1 Data'!F741*$C$16 + '1 Data'!G741*$C$17 + '1 Data'!H741*$C$18</f>
        <v/>
      </c>
      <c r="D752" s="23">
        <f>1/(1+EXP(-C752))</f>
        <v/>
      </c>
      <c r="E752" s="27">
        <f>'1 Data'!I741</f>
        <v/>
      </c>
      <c r="F752" s="29">
        <f>RANK(D752,$D$23:$D$1022)</f>
        <v/>
      </c>
      <c r="G752" s="30">
        <f>COUNTIF($D$23:$D$1022,"&lt;"&amp;D752)+(COUNTIF($D$23:$D$1022,"="&amp;D752)+1)/2</f>
        <v/>
      </c>
    </row>
    <row r="753">
      <c r="B753" s="27">
        <f>'1 Data'!B742</f>
        <v/>
      </c>
      <c r="C753" s="28">
        <f>$C$12 + '1 Data'!C742*$C$13 + '1 Data'!D742*$C$14 + '1 Data'!E742*$C$15 + '1 Data'!F742*$C$16 + '1 Data'!G742*$C$17 + '1 Data'!H742*$C$18</f>
        <v/>
      </c>
      <c r="D753" s="23">
        <f>1/(1+EXP(-C753))</f>
        <v/>
      </c>
      <c r="E753" s="27">
        <f>'1 Data'!I742</f>
        <v/>
      </c>
      <c r="F753" s="29">
        <f>RANK(D753,$D$23:$D$1022)</f>
        <v/>
      </c>
      <c r="G753" s="30">
        <f>COUNTIF($D$23:$D$1022,"&lt;"&amp;D753)+(COUNTIF($D$23:$D$1022,"="&amp;D753)+1)/2</f>
        <v/>
      </c>
    </row>
    <row r="754">
      <c r="B754" s="27">
        <f>'1 Data'!B743</f>
        <v/>
      </c>
      <c r="C754" s="28">
        <f>$C$12 + '1 Data'!C743*$C$13 + '1 Data'!D743*$C$14 + '1 Data'!E743*$C$15 + '1 Data'!F743*$C$16 + '1 Data'!G743*$C$17 + '1 Data'!H743*$C$18</f>
        <v/>
      </c>
      <c r="D754" s="23">
        <f>1/(1+EXP(-C754))</f>
        <v/>
      </c>
      <c r="E754" s="27">
        <f>'1 Data'!I743</f>
        <v/>
      </c>
      <c r="F754" s="29">
        <f>RANK(D754,$D$23:$D$1022)</f>
        <v/>
      </c>
      <c r="G754" s="30">
        <f>COUNTIF($D$23:$D$1022,"&lt;"&amp;D754)+(COUNTIF($D$23:$D$1022,"="&amp;D754)+1)/2</f>
        <v/>
      </c>
    </row>
    <row r="755">
      <c r="B755" s="27">
        <f>'1 Data'!B744</f>
        <v/>
      </c>
      <c r="C755" s="28">
        <f>$C$12 + '1 Data'!C744*$C$13 + '1 Data'!D744*$C$14 + '1 Data'!E744*$C$15 + '1 Data'!F744*$C$16 + '1 Data'!G744*$C$17 + '1 Data'!H744*$C$18</f>
        <v/>
      </c>
      <c r="D755" s="23">
        <f>1/(1+EXP(-C755))</f>
        <v/>
      </c>
      <c r="E755" s="27">
        <f>'1 Data'!I744</f>
        <v/>
      </c>
      <c r="F755" s="29">
        <f>RANK(D755,$D$23:$D$1022)</f>
        <v/>
      </c>
      <c r="G755" s="30">
        <f>COUNTIF($D$23:$D$1022,"&lt;"&amp;D755)+(COUNTIF($D$23:$D$1022,"="&amp;D755)+1)/2</f>
        <v/>
      </c>
    </row>
    <row r="756">
      <c r="B756" s="27">
        <f>'1 Data'!B745</f>
        <v/>
      </c>
      <c r="C756" s="28">
        <f>$C$12 + '1 Data'!C745*$C$13 + '1 Data'!D745*$C$14 + '1 Data'!E745*$C$15 + '1 Data'!F745*$C$16 + '1 Data'!G745*$C$17 + '1 Data'!H745*$C$18</f>
        <v/>
      </c>
      <c r="D756" s="23">
        <f>1/(1+EXP(-C756))</f>
        <v/>
      </c>
      <c r="E756" s="27">
        <f>'1 Data'!I745</f>
        <v/>
      </c>
      <c r="F756" s="29">
        <f>RANK(D756,$D$23:$D$1022)</f>
        <v/>
      </c>
      <c r="G756" s="30">
        <f>COUNTIF($D$23:$D$1022,"&lt;"&amp;D756)+(COUNTIF($D$23:$D$1022,"="&amp;D756)+1)/2</f>
        <v/>
      </c>
    </row>
    <row r="757">
      <c r="B757" s="27">
        <f>'1 Data'!B746</f>
        <v/>
      </c>
      <c r="C757" s="28">
        <f>$C$12 + '1 Data'!C746*$C$13 + '1 Data'!D746*$C$14 + '1 Data'!E746*$C$15 + '1 Data'!F746*$C$16 + '1 Data'!G746*$C$17 + '1 Data'!H746*$C$18</f>
        <v/>
      </c>
      <c r="D757" s="23">
        <f>1/(1+EXP(-C757))</f>
        <v/>
      </c>
      <c r="E757" s="27">
        <f>'1 Data'!I746</f>
        <v/>
      </c>
      <c r="F757" s="29">
        <f>RANK(D757,$D$23:$D$1022)</f>
        <v/>
      </c>
      <c r="G757" s="30">
        <f>COUNTIF($D$23:$D$1022,"&lt;"&amp;D757)+(COUNTIF($D$23:$D$1022,"="&amp;D757)+1)/2</f>
        <v/>
      </c>
    </row>
    <row r="758">
      <c r="B758" s="27">
        <f>'1 Data'!B747</f>
        <v/>
      </c>
      <c r="C758" s="28">
        <f>$C$12 + '1 Data'!C747*$C$13 + '1 Data'!D747*$C$14 + '1 Data'!E747*$C$15 + '1 Data'!F747*$C$16 + '1 Data'!G747*$C$17 + '1 Data'!H747*$C$18</f>
        <v/>
      </c>
      <c r="D758" s="23">
        <f>1/(1+EXP(-C758))</f>
        <v/>
      </c>
      <c r="E758" s="27">
        <f>'1 Data'!I747</f>
        <v/>
      </c>
      <c r="F758" s="29">
        <f>RANK(D758,$D$23:$D$1022)</f>
        <v/>
      </c>
      <c r="G758" s="30">
        <f>COUNTIF($D$23:$D$1022,"&lt;"&amp;D758)+(COUNTIF($D$23:$D$1022,"="&amp;D758)+1)/2</f>
        <v/>
      </c>
    </row>
    <row r="759">
      <c r="B759" s="27">
        <f>'1 Data'!B748</f>
        <v/>
      </c>
      <c r="C759" s="28">
        <f>$C$12 + '1 Data'!C748*$C$13 + '1 Data'!D748*$C$14 + '1 Data'!E748*$C$15 + '1 Data'!F748*$C$16 + '1 Data'!G748*$C$17 + '1 Data'!H748*$C$18</f>
        <v/>
      </c>
      <c r="D759" s="23">
        <f>1/(1+EXP(-C759))</f>
        <v/>
      </c>
      <c r="E759" s="27">
        <f>'1 Data'!I748</f>
        <v/>
      </c>
      <c r="F759" s="29">
        <f>RANK(D759,$D$23:$D$1022)</f>
        <v/>
      </c>
      <c r="G759" s="30">
        <f>COUNTIF($D$23:$D$1022,"&lt;"&amp;D759)+(COUNTIF($D$23:$D$1022,"="&amp;D759)+1)/2</f>
        <v/>
      </c>
    </row>
    <row r="760">
      <c r="B760" s="27">
        <f>'1 Data'!B749</f>
        <v/>
      </c>
      <c r="C760" s="28">
        <f>$C$12 + '1 Data'!C749*$C$13 + '1 Data'!D749*$C$14 + '1 Data'!E749*$C$15 + '1 Data'!F749*$C$16 + '1 Data'!G749*$C$17 + '1 Data'!H749*$C$18</f>
        <v/>
      </c>
      <c r="D760" s="23">
        <f>1/(1+EXP(-C760))</f>
        <v/>
      </c>
      <c r="E760" s="27">
        <f>'1 Data'!I749</f>
        <v/>
      </c>
      <c r="F760" s="29">
        <f>RANK(D760,$D$23:$D$1022)</f>
        <v/>
      </c>
      <c r="G760" s="30">
        <f>COUNTIF($D$23:$D$1022,"&lt;"&amp;D760)+(COUNTIF($D$23:$D$1022,"="&amp;D760)+1)/2</f>
        <v/>
      </c>
    </row>
    <row r="761">
      <c r="B761" s="27">
        <f>'1 Data'!B750</f>
        <v/>
      </c>
      <c r="C761" s="28">
        <f>$C$12 + '1 Data'!C750*$C$13 + '1 Data'!D750*$C$14 + '1 Data'!E750*$C$15 + '1 Data'!F750*$C$16 + '1 Data'!G750*$C$17 + '1 Data'!H750*$C$18</f>
        <v/>
      </c>
      <c r="D761" s="23">
        <f>1/(1+EXP(-C761))</f>
        <v/>
      </c>
      <c r="E761" s="27">
        <f>'1 Data'!I750</f>
        <v/>
      </c>
      <c r="F761" s="29">
        <f>RANK(D761,$D$23:$D$1022)</f>
        <v/>
      </c>
      <c r="G761" s="30">
        <f>COUNTIF($D$23:$D$1022,"&lt;"&amp;D761)+(COUNTIF($D$23:$D$1022,"="&amp;D761)+1)/2</f>
        <v/>
      </c>
    </row>
    <row r="762">
      <c r="B762" s="27">
        <f>'1 Data'!B751</f>
        <v/>
      </c>
      <c r="C762" s="28">
        <f>$C$12 + '1 Data'!C751*$C$13 + '1 Data'!D751*$C$14 + '1 Data'!E751*$C$15 + '1 Data'!F751*$C$16 + '1 Data'!G751*$C$17 + '1 Data'!H751*$C$18</f>
        <v/>
      </c>
      <c r="D762" s="23">
        <f>1/(1+EXP(-C762))</f>
        <v/>
      </c>
      <c r="E762" s="27">
        <f>'1 Data'!I751</f>
        <v/>
      </c>
      <c r="F762" s="29">
        <f>RANK(D762,$D$23:$D$1022)</f>
        <v/>
      </c>
      <c r="G762" s="30">
        <f>COUNTIF($D$23:$D$1022,"&lt;"&amp;D762)+(COUNTIF($D$23:$D$1022,"="&amp;D762)+1)/2</f>
        <v/>
      </c>
    </row>
    <row r="763">
      <c r="B763" s="27">
        <f>'1 Data'!B752</f>
        <v/>
      </c>
      <c r="C763" s="28">
        <f>$C$12 + '1 Data'!C752*$C$13 + '1 Data'!D752*$C$14 + '1 Data'!E752*$C$15 + '1 Data'!F752*$C$16 + '1 Data'!G752*$C$17 + '1 Data'!H752*$C$18</f>
        <v/>
      </c>
      <c r="D763" s="23">
        <f>1/(1+EXP(-C763))</f>
        <v/>
      </c>
      <c r="E763" s="27">
        <f>'1 Data'!I752</f>
        <v/>
      </c>
      <c r="F763" s="29">
        <f>RANK(D763,$D$23:$D$1022)</f>
        <v/>
      </c>
      <c r="G763" s="30">
        <f>COUNTIF($D$23:$D$1022,"&lt;"&amp;D763)+(COUNTIF($D$23:$D$1022,"="&amp;D763)+1)/2</f>
        <v/>
      </c>
    </row>
    <row r="764">
      <c r="B764" s="27">
        <f>'1 Data'!B753</f>
        <v/>
      </c>
      <c r="C764" s="28">
        <f>$C$12 + '1 Data'!C753*$C$13 + '1 Data'!D753*$C$14 + '1 Data'!E753*$C$15 + '1 Data'!F753*$C$16 + '1 Data'!G753*$C$17 + '1 Data'!H753*$C$18</f>
        <v/>
      </c>
      <c r="D764" s="23">
        <f>1/(1+EXP(-C764))</f>
        <v/>
      </c>
      <c r="E764" s="27">
        <f>'1 Data'!I753</f>
        <v/>
      </c>
      <c r="F764" s="29">
        <f>RANK(D764,$D$23:$D$1022)</f>
        <v/>
      </c>
      <c r="G764" s="30">
        <f>COUNTIF($D$23:$D$1022,"&lt;"&amp;D764)+(COUNTIF($D$23:$D$1022,"="&amp;D764)+1)/2</f>
        <v/>
      </c>
    </row>
    <row r="765">
      <c r="B765" s="27">
        <f>'1 Data'!B754</f>
        <v/>
      </c>
      <c r="C765" s="28">
        <f>$C$12 + '1 Data'!C754*$C$13 + '1 Data'!D754*$C$14 + '1 Data'!E754*$C$15 + '1 Data'!F754*$C$16 + '1 Data'!G754*$C$17 + '1 Data'!H754*$C$18</f>
        <v/>
      </c>
      <c r="D765" s="23">
        <f>1/(1+EXP(-C765))</f>
        <v/>
      </c>
      <c r="E765" s="27">
        <f>'1 Data'!I754</f>
        <v/>
      </c>
      <c r="F765" s="29">
        <f>RANK(D765,$D$23:$D$1022)</f>
        <v/>
      </c>
      <c r="G765" s="30">
        <f>COUNTIF($D$23:$D$1022,"&lt;"&amp;D765)+(COUNTIF($D$23:$D$1022,"="&amp;D765)+1)/2</f>
        <v/>
      </c>
    </row>
    <row r="766">
      <c r="B766" s="27">
        <f>'1 Data'!B755</f>
        <v/>
      </c>
      <c r="C766" s="28">
        <f>$C$12 + '1 Data'!C755*$C$13 + '1 Data'!D755*$C$14 + '1 Data'!E755*$C$15 + '1 Data'!F755*$C$16 + '1 Data'!G755*$C$17 + '1 Data'!H755*$C$18</f>
        <v/>
      </c>
      <c r="D766" s="23">
        <f>1/(1+EXP(-C766))</f>
        <v/>
      </c>
      <c r="E766" s="27">
        <f>'1 Data'!I755</f>
        <v/>
      </c>
      <c r="F766" s="29">
        <f>RANK(D766,$D$23:$D$1022)</f>
        <v/>
      </c>
      <c r="G766" s="30">
        <f>COUNTIF($D$23:$D$1022,"&lt;"&amp;D766)+(COUNTIF($D$23:$D$1022,"="&amp;D766)+1)/2</f>
        <v/>
      </c>
    </row>
    <row r="767">
      <c r="B767" s="27">
        <f>'1 Data'!B756</f>
        <v/>
      </c>
      <c r="C767" s="28">
        <f>$C$12 + '1 Data'!C756*$C$13 + '1 Data'!D756*$C$14 + '1 Data'!E756*$C$15 + '1 Data'!F756*$C$16 + '1 Data'!G756*$C$17 + '1 Data'!H756*$C$18</f>
        <v/>
      </c>
      <c r="D767" s="23">
        <f>1/(1+EXP(-C767))</f>
        <v/>
      </c>
      <c r="E767" s="27">
        <f>'1 Data'!I756</f>
        <v/>
      </c>
      <c r="F767" s="29">
        <f>RANK(D767,$D$23:$D$1022)</f>
        <v/>
      </c>
      <c r="G767" s="30">
        <f>COUNTIF($D$23:$D$1022,"&lt;"&amp;D767)+(COUNTIF($D$23:$D$1022,"="&amp;D767)+1)/2</f>
        <v/>
      </c>
    </row>
    <row r="768">
      <c r="B768" s="27">
        <f>'1 Data'!B757</f>
        <v/>
      </c>
      <c r="C768" s="28">
        <f>$C$12 + '1 Data'!C757*$C$13 + '1 Data'!D757*$C$14 + '1 Data'!E757*$C$15 + '1 Data'!F757*$C$16 + '1 Data'!G757*$C$17 + '1 Data'!H757*$C$18</f>
        <v/>
      </c>
      <c r="D768" s="23">
        <f>1/(1+EXP(-C768))</f>
        <v/>
      </c>
      <c r="E768" s="27">
        <f>'1 Data'!I757</f>
        <v/>
      </c>
      <c r="F768" s="29">
        <f>RANK(D768,$D$23:$D$1022)</f>
        <v/>
      </c>
      <c r="G768" s="30">
        <f>COUNTIF($D$23:$D$1022,"&lt;"&amp;D768)+(COUNTIF($D$23:$D$1022,"="&amp;D768)+1)/2</f>
        <v/>
      </c>
    </row>
    <row r="769">
      <c r="B769" s="27">
        <f>'1 Data'!B758</f>
        <v/>
      </c>
      <c r="C769" s="28">
        <f>$C$12 + '1 Data'!C758*$C$13 + '1 Data'!D758*$C$14 + '1 Data'!E758*$C$15 + '1 Data'!F758*$C$16 + '1 Data'!G758*$C$17 + '1 Data'!H758*$C$18</f>
        <v/>
      </c>
      <c r="D769" s="23">
        <f>1/(1+EXP(-C769))</f>
        <v/>
      </c>
      <c r="E769" s="27">
        <f>'1 Data'!I758</f>
        <v/>
      </c>
      <c r="F769" s="29">
        <f>RANK(D769,$D$23:$D$1022)</f>
        <v/>
      </c>
      <c r="G769" s="30">
        <f>COUNTIF($D$23:$D$1022,"&lt;"&amp;D769)+(COUNTIF($D$23:$D$1022,"="&amp;D769)+1)/2</f>
        <v/>
      </c>
    </row>
    <row r="770">
      <c r="B770" s="27">
        <f>'1 Data'!B759</f>
        <v/>
      </c>
      <c r="C770" s="28">
        <f>$C$12 + '1 Data'!C759*$C$13 + '1 Data'!D759*$C$14 + '1 Data'!E759*$C$15 + '1 Data'!F759*$C$16 + '1 Data'!G759*$C$17 + '1 Data'!H759*$C$18</f>
        <v/>
      </c>
      <c r="D770" s="23">
        <f>1/(1+EXP(-C770))</f>
        <v/>
      </c>
      <c r="E770" s="27">
        <f>'1 Data'!I759</f>
        <v/>
      </c>
      <c r="F770" s="29">
        <f>RANK(D770,$D$23:$D$1022)</f>
        <v/>
      </c>
      <c r="G770" s="30">
        <f>COUNTIF($D$23:$D$1022,"&lt;"&amp;D770)+(COUNTIF($D$23:$D$1022,"="&amp;D770)+1)/2</f>
        <v/>
      </c>
    </row>
    <row r="771">
      <c r="B771" s="27">
        <f>'1 Data'!B760</f>
        <v/>
      </c>
      <c r="C771" s="28">
        <f>$C$12 + '1 Data'!C760*$C$13 + '1 Data'!D760*$C$14 + '1 Data'!E760*$C$15 + '1 Data'!F760*$C$16 + '1 Data'!G760*$C$17 + '1 Data'!H760*$C$18</f>
        <v/>
      </c>
      <c r="D771" s="23">
        <f>1/(1+EXP(-C771))</f>
        <v/>
      </c>
      <c r="E771" s="27">
        <f>'1 Data'!I760</f>
        <v/>
      </c>
      <c r="F771" s="29">
        <f>RANK(D771,$D$23:$D$1022)</f>
        <v/>
      </c>
      <c r="G771" s="30">
        <f>COUNTIF($D$23:$D$1022,"&lt;"&amp;D771)+(COUNTIF($D$23:$D$1022,"="&amp;D771)+1)/2</f>
        <v/>
      </c>
    </row>
    <row r="772">
      <c r="B772" s="27">
        <f>'1 Data'!B761</f>
        <v/>
      </c>
      <c r="C772" s="28">
        <f>$C$12 + '1 Data'!C761*$C$13 + '1 Data'!D761*$C$14 + '1 Data'!E761*$C$15 + '1 Data'!F761*$C$16 + '1 Data'!G761*$C$17 + '1 Data'!H761*$C$18</f>
        <v/>
      </c>
      <c r="D772" s="23">
        <f>1/(1+EXP(-C772))</f>
        <v/>
      </c>
      <c r="E772" s="27">
        <f>'1 Data'!I761</f>
        <v/>
      </c>
      <c r="F772" s="29">
        <f>RANK(D772,$D$23:$D$1022)</f>
        <v/>
      </c>
      <c r="G772" s="30">
        <f>COUNTIF($D$23:$D$1022,"&lt;"&amp;D772)+(COUNTIF($D$23:$D$1022,"="&amp;D772)+1)/2</f>
        <v/>
      </c>
    </row>
    <row r="773">
      <c r="B773" s="27">
        <f>'1 Data'!B762</f>
        <v/>
      </c>
      <c r="C773" s="28">
        <f>$C$12 + '1 Data'!C762*$C$13 + '1 Data'!D762*$C$14 + '1 Data'!E762*$C$15 + '1 Data'!F762*$C$16 + '1 Data'!G762*$C$17 + '1 Data'!H762*$C$18</f>
        <v/>
      </c>
      <c r="D773" s="23">
        <f>1/(1+EXP(-C773))</f>
        <v/>
      </c>
      <c r="E773" s="27">
        <f>'1 Data'!I762</f>
        <v/>
      </c>
      <c r="F773" s="29">
        <f>RANK(D773,$D$23:$D$1022)</f>
        <v/>
      </c>
      <c r="G773" s="30">
        <f>COUNTIF($D$23:$D$1022,"&lt;"&amp;D773)+(COUNTIF($D$23:$D$1022,"="&amp;D773)+1)/2</f>
        <v/>
      </c>
    </row>
    <row r="774">
      <c r="B774" s="27">
        <f>'1 Data'!B763</f>
        <v/>
      </c>
      <c r="C774" s="28">
        <f>$C$12 + '1 Data'!C763*$C$13 + '1 Data'!D763*$C$14 + '1 Data'!E763*$C$15 + '1 Data'!F763*$C$16 + '1 Data'!G763*$C$17 + '1 Data'!H763*$C$18</f>
        <v/>
      </c>
      <c r="D774" s="23">
        <f>1/(1+EXP(-C774))</f>
        <v/>
      </c>
      <c r="E774" s="27">
        <f>'1 Data'!I763</f>
        <v/>
      </c>
      <c r="F774" s="29">
        <f>RANK(D774,$D$23:$D$1022)</f>
        <v/>
      </c>
      <c r="G774" s="30">
        <f>COUNTIF($D$23:$D$1022,"&lt;"&amp;D774)+(COUNTIF($D$23:$D$1022,"="&amp;D774)+1)/2</f>
        <v/>
      </c>
    </row>
    <row r="775">
      <c r="B775" s="27">
        <f>'1 Data'!B764</f>
        <v/>
      </c>
      <c r="C775" s="28">
        <f>$C$12 + '1 Data'!C764*$C$13 + '1 Data'!D764*$C$14 + '1 Data'!E764*$C$15 + '1 Data'!F764*$C$16 + '1 Data'!G764*$C$17 + '1 Data'!H764*$C$18</f>
        <v/>
      </c>
      <c r="D775" s="23">
        <f>1/(1+EXP(-C775))</f>
        <v/>
      </c>
      <c r="E775" s="27">
        <f>'1 Data'!I764</f>
        <v/>
      </c>
      <c r="F775" s="29">
        <f>RANK(D775,$D$23:$D$1022)</f>
        <v/>
      </c>
      <c r="G775" s="30">
        <f>COUNTIF($D$23:$D$1022,"&lt;"&amp;D775)+(COUNTIF($D$23:$D$1022,"="&amp;D775)+1)/2</f>
        <v/>
      </c>
    </row>
    <row r="776">
      <c r="B776" s="27">
        <f>'1 Data'!B765</f>
        <v/>
      </c>
      <c r="C776" s="28">
        <f>$C$12 + '1 Data'!C765*$C$13 + '1 Data'!D765*$C$14 + '1 Data'!E765*$C$15 + '1 Data'!F765*$C$16 + '1 Data'!G765*$C$17 + '1 Data'!H765*$C$18</f>
        <v/>
      </c>
      <c r="D776" s="23">
        <f>1/(1+EXP(-C776))</f>
        <v/>
      </c>
      <c r="E776" s="27">
        <f>'1 Data'!I765</f>
        <v/>
      </c>
      <c r="F776" s="29">
        <f>RANK(D776,$D$23:$D$1022)</f>
        <v/>
      </c>
      <c r="G776" s="30">
        <f>COUNTIF($D$23:$D$1022,"&lt;"&amp;D776)+(COUNTIF($D$23:$D$1022,"="&amp;D776)+1)/2</f>
        <v/>
      </c>
    </row>
    <row r="777">
      <c r="B777" s="27">
        <f>'1 Data'!B766</f>
        <v/>
      </c>
      <c r="C777" s="28">
        <f>$C$12 + '1 Data'!C766*$C$13 + '1 Data'!D766*$C$14 + '1 Data'!E766*$C$15 + '1 Data'!F766*$C$16 + '1 Data'!G766*$C$17 + '1 Data'!H766*$C$18</f>
        <v/>
      </c>
      <c r="D777" s="23">
        <f>1/(1+EXP(-C777))</f>
        <v/>
      </c>
      <c r="E777" s="27">
        <f>'1 Data'!I766</f>
        <v/>
      </c>
      <c r="F777" s="29">
        <f>RANK(D777,$D$23:$D$1022)</f>
        <v/>
      </c>
      <c r="G777" s="30">
        <f>COUNTIF($D$23:$D$1022,"&lt;"&amp;D777)+(COUNTIF($D$23:$D$1022,"="&amp;D777)+1)/2</f>
        <v/>
      </c>
    </row>
    <row r="778">
      <c r="B778" s="27">
        <f>'1 Data'!B767</f>
        <v/>
      </c>
      <c r="C778" s="28">
        <f>$C$12 + '1 Data'!C767*$C$13 + '1 Data'!D767*$C$14 + '1 Data'!E767*$C$15 + '1 Data'!F767*$C$16 + '1 Data'!G767*$C$17 + '1 Data'!H767*$C$18</f>
        <v/>
      </c>
      <c r="D778" s="23">
        <f>1/(1+EXP(-C778))</f>
        <v/>
      </c>
      <c r="E778" s="27">
        <f>'1 Data'!I767</f>
        <v/>
      </c>
      <c r="F778" s="29">
        <f>RANK(D778,$D$23:$D$1022)</f>
        <v/>
      </c>
      <c r="G778" s="30">
        <f>COUNTIF($D$23:$D$1022,"&lt;"&amp;D778)+(COUNTIF($D$23:$D$1022,"="&amp;D778)+1)/2</f>
        <v/>
      </c>
    </row>
    <row r="779">
      <c r="B779" s="27">
        <f>'1 Data'!B768</f>
        <v/>
      </c>
      <c r="C779" s="28">
        <f>$C$12 + '1 Data'!C768*$C$13 + '1 Data'!D768*$C$14 + '1 Data'!E768*$C$15 + '1 Data'!F768*$C$16 + '1 Data'!G768*$C$17 + '1 Data'!H768*$C$18</f>
        <v/>
      </c>
      <c r="D779" s="23">
        <f>1/(1+EXP(-C779))</f>
        <v/>
      </c>
      <c r="E779" s="27">
        <f>'1 Data'!I768</f>
        <v/>
      </c>
      <c r="F779" s="29">
        <f>RANK(D779,$D$23:$D$1022)</f>
        <v/>
      </c>
      <c r="G779" s="30">
        <f>COUNTIF($D$23:$D$1022,"&lt;"&amp;D779)+(COUNTIF($D$23:$D$1022,"="&amp;D779)+1)/2</f>
        <v/>
      </c>
    </row>
    <row r="780">
      <c r="B780" s="27">
        <f>'1 Data'!B769</f>
        <v/>
      </c>
      <c r="C780" s="28">
        <f>$C$12 + '1 Data'!C769*$C$13 + '1 Data'!D769*$C$14 + '1 Data'!E769*$C$15 + '1 Data'!F769*$C$16 + '1 Data'!G769*$C$17 + '1 Data'!H769*$C$18</f>
        <v/>
      </c>
      <c r="D780" s="23">
        <f>1/(1+EXP(-C780))</f>
        <v/>
      </c>
      <c r="E780" s="27">
        <f>'1 Data'!I769</f>
        <v/>
      </c>
      <c r="F780" s="29">
        <f>RANK(D780,$D$23:$D$1022)</f>
        <v/>
      </c>
      <c r="G780" s="30">
        <f>COUNTIF($D$23:$D$1022,"&lt;"&amp;D780)+(COUNTIF($D$23:$D$1022,"="&amp;D780)+1)/2</f>
        <v/>
      </c>
    </row>
    <row r="781">
      <c r="B781" s="27">
        <f>'1 Data'!B770</f>
        <v/>
      </c>
      <c r="C781" s="28">
        <f>$C$12 + '1 Data'!C770*$C$13 + '1 Data'!D770*$C$14 + '1 Data'!E770*$C$15 + '1 Data'!F770*$C$16 + '1 Data'!G770*$C$17 + '1 Data'!H770*$C$18</f>
        <v/>
      </c>
      <c r="D781" s="23">
        <f>1/(1+EXP(-C781))</f>
        <v/>
      </c>
      <c r="E781" s="27">
        <f>'1 Data'!I770</f>
        <v/>
      </c>
      <c r="F781" s="29">
        <f>RANK(D781,$D$23:$D$1022)</f>
        <v/>
      </c>
      <c r="G781" s="30">
        <f>COUNTIF($D$23:$D$1022,"&lt;"&amp;D781)+(COUNTIF($D$23:$D$1022,"="&amp;D781)+1)/2</f>
        <v/>
      </c>
    </row>
    <row r="782">
      <c r="B782" s="27">
        <f>'1 Data'!B771</f>
        <v/>
      </c>
      <c r="C782" s="28">
        <f>$C$12 + '1 Data'!C771*$C$13 + '1 Data'!D771*$C$14 + '1 Data'!E771*$C$15 + '1 Data'!F771*$C$16 + '1 Data'!G771*$C$17 + '1 Data'!H771*$C$18</f>
        <v/>
      </c>
      <c r="D782" s="23">
        <f>1/(1+EXP(-C782))</f>
        <v/>
      </c>
      <c r="E782" s="27">
        <f>'1 Data'!I771</f>
        <v/>
      </c>
      <c r="F782" s="29">
        <f>RANK(D782,$D$23:$D$1022)</f>
        <v/>
      </c>
      <c r="G782" s="30">
        <f>COUNTIF($D$23:$D$1022,"&lt;"&amp;D782)+(COUNTIF($D$23:$D$1022,"="&amp;D782)+1)/2</f>
        <v/>
      </c>
    </row>
    <row r="783">
      <c r="B783" s="27">
        <f>'1 Data'!B772</f>
        <v/>
      </c>
      <c r="C783" s="28">
        <f>$C$12 + '1 Data'!C772*$C$13 + '1 Data'!D772*$C$14 + '1 Data'!E772*$C$15 + '1 Data'!F772*$C$16 + '1 Data'!G772*$C$17 + '1 Data'!H772*$C$18</f>
        <v/>
      </c>
      <c r="D783" s="23">
        <f>1/(1+EXP(-C783))</f>
        <v/>
      </c>
      <c r="E783" s="27">
        <f>'1 Data'!I772</f>
        <v/>
      </c>
      <c r="F783" s="29">
        <f>RANK(D783,$D$23:$D$1022)</f>
        <v/>
      </c>
      <c r="G783" s="30">
        <f>COUNTIF($D$23:$D$1022,"&lt;"&amp;D783)+(COUNTIF($D$23:$D$1022,"="&amp;D783)+1)/2</f>
        <v/>
      </c>
    </row>
    <row r="784">
      <c r="B784" s="27">
        <f>'1 Data'!B773</f>
        <v/>
      </c>
      <c r="C784" s="28">
        <f>$C$12 + '1 Data'!C773*$C$13 + '1 Data'!D773*$C$14 + '1 Data'!E773*$C$15 + '1 Data'!F773*$C$16 + '1 Data'!G773*$C$17 + '1 Data'!H773*$C$18</f>
        <v/>
      </c>
      <c r="D784" s="23">
        <f>1/(1+EXP(-C784))</f>
        <v/>
      </c>
      <c r="E784" s="27">
        <f>'1 Data'!I773</f>
        <v/>
      </c>
      <c r="F784" s="29">
        <f>RANK(D784,$D$23:$D$1022)</f>
        <v/>
      </c>
      <c r="G784" s="30">
        <f>COUNTIF($D$23:$D$1022,"&lt;"&amp;D784)+(COUNTIF($D$23:$D$1022,"="&amp;D784)+1)/2</f>
        <v/>
      </c>
    </row>
    <row r="785">
      <c r="B785" s="27">
        <f>'1 Data'!B774</f>
        <v/>
      </c>
      <c r="C785" s="28">
        <f>$C$12 + '1 Data'!C774*$C$13 + '1 Data'!D774*$C$14 + '1 Data'!E774*$C$15 + '1 Data'!F774*$C$16 + '1 Data'!G774*$C$17 + '1 Data'!H774*$C$18</f>
        <v/>
      </c>
      <c r="D785" s="23">
        <f>1/(1+EXP(-C785))</f>
        <v/>
      </c>
      <c r="E785" s="27">
        <f>'1 Data'!I774</f>
        <v/>
      </c>
      <c r="F785" s="29">
        <f>RANK(D785,$D$23:$D$1022)</f>
        <v/>
      </c>
      <c r="G785" s="30">
        <f>COUNTIF($D$23:$D$1022,"&lt;"&amp;D785)+(COUNTIF($D$23:$D$1022,"="&amp;D785)+1)/2</f>
        <v/>
      </c>
    </row>
    <row r="786">
      <c r="B786" s="27">
        <f>'1 Data'!B775</f>
        <v/>
      </c>
      <c r="C786" s="28">
        <f>$C$12 + '1 Data'!C775*$C$13 + '1 Data'!D775*$C$14 + '1 Data'!E775*$C$15 + '1 Data'!F775*$C$16 + '1 Data'!G775*$C$17 + '1 Data'!H775*$C$18</f>
        <v/>
      </c>
      <c r="D786" s="23">
        <f>1/(1+EXP(-C786))</f>
        <v/>
      </c>
      <c r="E786" s="27">
        <f>'1 Data'!I775</f>
        <v/>
      </c>
      <c r="F786" s="29">
        <f>RANK(D786,$D$23:$D$1022)</f>
        <v/>
      </c>
      <c r="G786" s="30">
        <f>COUNTIF($D$23:$D$1022,"&lt;"&amp;D786)+(COUNTIF($D$23:$D$1022,"="&amp;D786)+1)/2</f>
        <v/>
      </c>
    </row>
    <row r="787">
      <c r="B787" s="27">
        <f>'1 Data'!B776</f>
        <v/>
      </c>
      <c r="C787" s="28">
        <f>$C$12 + '1 Data'!C776*$C$13 + '1 Data'!D776*$C$14 + '1 Data'!E776*$C$15 + '1 Data'!F776*$C$16 + '1 Data'!G776*$C$17 + '1 Data'!H776*$C$18</f>
        <v/>
      </c>
      <c r="D787" s="23">
        <f>1/(1+EXP(-C787))</f>
        <v/>
      </c>
      <c r="E787" s="27">
        <f>'1 Data'!I776</f>
        <v/>
      </c>
      <c r="F787" s="29">
        <f>RANK(D787,$D$23:$D$1022)</f>
        <v/>
      </c>
      <c r="G787" s="30">
        <f>COUNTIF($D$23:$D$1022,"&lt;"&amp;D787)+(COUNTIF($D$23:$D$1022,"="&amp;D787)+1)/2</f>
        <v/>
      </c>
    </row>
    <row r="788">
      <c r="B788" s="27">
        <f>'1 Data'!B777</f>
        <v/>
      </c>
      <c r="C788" s="28">
        <f>$C$12 + '1 Data'!C777*$C$13 + '1 Data'!D777*$C$14 + '1 Data'!E777*$C$15 + '1 Data'!F777*$C$16 + '1 Data'!G777*$C$17 + '1 Data'!H777*$C$18</f>
        <v/>
      </c>
      <c r="D788" s="23">
        <f>1/(1+EXP(-C788))</f>
        <v/>
      </c>
      <c r="E788" s="27">
        <f>'1 Data'!I777</f>
        <v/>
      </c>
      <c r="F788" s="29">
        <f>RANK(D788,$D$23:$D$1022)</f>
        <v/>
      </c>
      <c r="G788" s="30">
        <f>COUNTIF($D$23:$D$1022,"&lt;"&amp;D788)+(COUNTIF($D$23:$D$1022,"="&amp;D788)+1)/2</f>
        <v/>
      </c>
    </row>
    <row r="789">
      <c r="B789" s="27">
        <f>'1 Data'!B778</f>
        <v/>
      </c>
      <c r="C789" s="28">
        <f>$C$12 + '1 Data'!C778*$C$13 + '1 Data'!D778*$C$14 + '1 Data'!E778*$C$15 + '1 Data'!F778*$C$16 + '1 Data'!G778*$C$17 + '1 Data'!H778*$C$18</f>
        <v/>
      </c>
      <c r="D789" s="23">
        <f>1/(1+EXP(-C789))</f>
        <v/>
      </c>
      <c r="E789" s="27">
        <f>'1 Data'!I778</f>
        <v/>
      </c>
      <c r="F789" s="29">
        <f>RANK(D789,$D$23:$D$1022)</f>
        <v/>
      </c>
      <c r="G789" s="30">
        <f>COUNTIF($D$23:$D$1022,"&lt;"&amp;D789)+(COUNTIF($D$23:$D$1022,"="&amp;D789)+1)/2</f>
        <v/>
      </c>
    </row>
    <row r="790">
      <c r="B790" s="27">
        <f>'1 Data'!B779</f>
        <v/>
      </c>
      <c r="C790" s="28">
        <f>$C$12 + '1 Data'!C779*$C$13 + '1 Data'!D779*$C$14 + '1 Data'!E779*$C$15 + '1 Data'!F779*$C$16 + '1 Data'!G779*$C$17 + '1 Data'!H779*$C$18</f>
        <v/>
      </c>
      <c r="D790" s="23">
        <f>1/(1+EXP(-C790))</f>
        <v/>
      </c>
      <c r="E790" s="27">
        <f>'1 Data'!I779</f>
        <v/>
      </c>
      <c r="F790" s="29">
        <f>RANK(D790,$D$23:$D$1022)</f>
        <v/>
      </c>
      <c r="G790" s="30">
        <f>COUNTIF($D$23:$D$1022,"&lt;"&amp;D790)+(COUNTIF($D$23:$D$1022,"="&amp;D790)+1)/2</f>
        <v/>
      </c>
    </row>
    <row r="791">
      <c r="B791" s="27">
        <f>'1 Data'!B780</f>
        <v/>
      </c>
      <c r="C791" s="28">
        <f>$C$12 + '1 Data'!C780*$C$13 + '1 Data'!D780*$C$14 + '1 Data'!E780*$C$15 + '1 Data'!F780*$C$16 + '1 Data'!G780*$C$17 + '1 Data'!H780*$C$18</f>
        <v/>
      </c>
      <c r="D791" s="23">
        <f>1/(1+EXP(-C791))</f>
        <v/>
      </c>
      <c r="E791" s="27">
        <f>'1 Data'!I780</f>
        <v/>
      </c>
      <c r="F791" s="29">
        <f>RANK(D791,$D$23:$D$1022)</f>
        <v/>
      </c>
      <c r="G791" s="30">
        <f>COUNTIF($D$23:$D$1022,"&lt;"&amp;D791)+(COUNTIF($D$23:$D$1022,"="&amp;D791)+1)/2</f>
        <v/>
      </c>
    </row>
    <row r="792">
      <c r="B792" s="27">
        <f>'1 Data'!B781</f>
        <v/>
      </c>
      <c r="C792" s="28">
        <f>$C$12 + '1 Data'!C781*$C$13 + '1 Data'!D781*$C$14 + '1 Data'!E781*$C$15 + '1 Data'!F781*$C$16 + '1 Data'!G781*$C$17 + '1 Data'!H781*$C$18</f>
        <v/>
      </c>
      <c r="D792" s="23">
        <f>1/(1+EXP(-C792))</f>
        <v/>
      </c>
      <c r="E792" s="27">
        <f>'1 Data'!I781</f>
        <v/>
      </c>
      <c r="F792" s="29">
        <f>RANK(D792,$D$23:$D$1022)</f>
        <v/>
      </c>
      <c r="G792" s="30">
        <f>COUNTIF($D$23:$D$1022,"&lt;"&amp;D792)+(COUNTIF($D$23:$D$1022,"="&amp;D792)+1)/2</f>
        <v/>
      </c>
    </row>
    <row r="793">
      <c r="B793" s="27">
        <f>'1 Data'!B782</f>
        <v/>
      </c>
      <c r="C793" s="28">
        <f>$C$12 + '1 Data'!C782*$C$13 + '1 Data'!D782*$C$14 + '1 Data'!E782*$C$15 + '1 Data'!F782*$C$16 + '1 Data'!G782*$C$17 + '1 Data'!H782*$C$18</f>
        <v/>
      </c>
      <c r="D793" s="23">
        <f>1/(1+EXP(-C793))</f>
        <v/>
      </c>
      <c r="E793" s="27">
        <f>'1 Data'!I782</f>
        <v/>
      </c>
      <c r="F793" s="29">
        <f>RANK(D793,$D$23:$D$1022)</f>
        <v/>
      </c>
      <c r="G793" s="30">
        <f>COUNTIF($D$23:$D$1022,"&lt;"&amp;D793)+(COUNTIF($D$23:$D$1022,"="&amp;D793)+1)/2</f>
        <v/>
      </c>
    </row>
    <row r="794">
      <c r="B794" s="27">
        <f>'1 Data'!B783</f>
        <v/>
      </c>
      <c r="C794" s="28">
        <f>$C$12 + '1 Data'!C783*$C$13 + '1 Data'!D783*$C$14 + '1 Data'!E783*$C$15 + '1 Data'!F783*$C$16 + '1 Data'!G783*$C$17 + '1 Data'!H783*$C$18</f>
        <v/>
      </c>
      <c r="D794" s="23">
        <f>1/(1+EXP(-C794))</f>
        <v/>
      </c>
      <c r="E794" s="27">
        <f>'1 Data'!I783</f>
        <v/>
      </c>
      <c r="F794" s="29">
        <f>RANK(D794,$D$23:$D$1022)</f>
        <v/>
      </c>
      <c r="G794" s="30">
        <f>COUNTIF($D$23:$D$1022,"&lt;"&amp;D794)+(COUNTIF($D$23:$D$1022,"="&amp;D794)+1)/2</f>
        <v/>
      </c>
    </row>
    <row r="795">
      <c r="B795" s="27">
        <f>'1 Data'!B784</f>
        <v/>
      </c>
      <c r="C795" s="28">
        <f>$C$12 + '1 Data'!C784*$C$13 + '1 Data'!D784*$C$14 + '1 Data'!E784*$C$15 + '1 Data'!F784*$C$16 + '1 Data'!G784*$C$17 + '1 Data'!H784*$C$18</f>
        <v/>
      </c>
      <c r="D795" s="23">
        <f>1/(1+EXP(-C795))</f>
        <v/>
      </c>
      <c r="E795" s="27">
        <f>'1 Data'!I784</f>
        <v/>
      </c>
      <c r="F795" s="29">
        <f>RANK(D795,$D$23:$D$1022)</f>
        <v/>
      </c>
      <c r="G795" s="30">
        <f>COUNTIF($D$23:$D$1022,"&lt;"&amp;D795)+(COUNTIF($D$23:$D$1022,"="&amp;D795)+1)/2</f>
        <v/>
      </c>
    </row>
    <row r="796">
      <c r="B796" s="27">
        <f>'1 Data'!B785</f>
        <v/>
      </c>
      <c r="C796" s="28">
        <f>$C$12 + '1 Data'!C785*$C$13 + '1 Data'!D785*$C$14 + '1 Data'!E785*$C$15 + '1 Data'!F785*$C$16 + '1 Data'!G785*$C$17 + '1 Data'!H785*$C$18</f>
        <v/>
      </c>
      <c r="D796" s="23">
        <f>1/(1+EXP(-C796))</f>
        <v/>
      </c>
      <c r="E796" s="27">
        <f>'1 Data'!I785</f>
        <v/>
      </c>
      <c r="F796" s="29">
        <f>RANK(D796,$D$23:$D$1022)</f>
        <v/>
      </c>
      <c r="G796" s="30">
        <f>COUNTIF($D$23:$D$1022,"&lt;"&amp;D796)+(COUNTIF($D$23:$D$1022,"="&amp;D796)+1)/2</f>
        <v/>
      </c>
    </row>
    <row r="797">
      <c r="B797" s="27">
        <f>'1 Data'!B786</f>
        <v/>
      </c>
      <c r="C797" s="28">
        <f>$C$12 + '1 Data'!C786*$C$13 + '1 Data'!D786*$C$14 + '1 Data'!E786*$C$15 + '1 Data'!F786*$C$16 + '1 Data'!G786*$C$17 + '1 Data'!H786*$C$18</f>
        <v/>
      </c>
      <c r="D797" s="23">
        <f>1/(1+EXP(-C797))</f>
        <v/>
      </c>
      <c r="E797" s="27">
        <f>'1 Data'!I786</f>
        <v/>
      </c>
      <c r="F797" s="29">
        <f>RANK(D797,$D$23:$D$1022)</f>
        <v/>
      </c>
      <c r="G797" s="30">
        <f>COUNTIF($D$23:$D$1022,"&lt;"&amp;D797)+(COUNTIF($D$23:$D$1022,"="&amp;D797)+1)/2</f>
        <v/>
      </c>
    </row>
    <row r="798">
      <c r="B798" s="27">
        <f>'1 Data'!B787</f>
        <v/>
      </c>
      <c r="C798" s="28">
        <f>$C$12 + '1 Data'!C787*$C$13 + '1 Data'!D787*$C$14 + '1 Data'!E787*$C$15 + '1 Data'!F787*$C$16 + '1 Data'!G787*$C$17 + '1 Data'!H787*$C$18</f>
        <v/>
      </c>
      <c r="D798" s="23">
        <f>1/(1+EXP(-C798))</f>
        <v/>
      </c>
      <c r="E798" s="27">
        <f>'1 Data'!I787</f>
        <v/>
      </c>
      <c r="F798" s="29">
        <f>RANK(D798,$D$23:$D$1022)</f>
        <v/>
      </c>
      <c r="G798" s="30">
        <f>COUNTIF($D$23:$D$1022,"&lt;"&amp;D798)+(COUNTIF($D$23:$D$1022,"="&amp;D798)+1)/2</f>
        <v/>
      </c>
    </row>
    <row r="799">
      <c r="B799" s="27">
        <f>'1 Data'!B788</f>
        <v/>
      </c>
      <c r="C799" s="28">
        <f>$C$12 + '1 Data'!C788*$C$13 + '1 Data'!D788*$C$14 + '1 Data'!E788*$C$15 + '1 Data'!F788*$C$16 + '1 Data'!G788*$C$17 + '1 Data'!H788*$C$18</f>
        <v/>
      </c>
      <c r="D799" s="23">
        <f>1/(1+EXP(-C799))</f>
        <v/>
      </c>
      <c r="E799" s="27">
        <f>'1 Data'!I788</f>
        <v/>
      </c>
      <c r="F799" s="29">
        <f>RANK(D799,$D$23:$D$1022)</f>
        <v/>
      </c>
      <c r="G799" s="30">
        <f>COUNTIF($D$23:$D$1022,"&lt;"&amp;D799)+(COUNTIF($D$23:$D$1022,"="&amp;D799)+1)/2</f>
        <v/>
      </c>
    </row>
    <row r="800">
      <c r="B800" s="27">
        <f>'1 Data'!B789</f>
        <v/>
      </c>
      <c r="C800" s="28">
        <f>$C$12 + '1 Data'!C789*$C$13 + '1 Data'!D789*$C$14 + '1 Data'!E789*$C$15 + '1 Data'!F789*$C$16 + '1 Data'!G789*$C$17 + '1 Data'!H789*$C$18</f>
        <v/>
      </c>
      <c r="D800" s="23">
        <f>1/(1+EXP(-C800))</f>
        <v/>
      </c>
      <c r="E800" s="27">
        <f>'1 Data'!I789</f>
        <v/>
      </c>
      <c r="F800" s="29">
        <f>RANK(D800,$D$23:$D$1022)</f>
        <v/>
      </c>
      <c r="G800" s="30">
        <f>COUNTIF($D$23:$D$1022,"&lt;"&amp;D800)+(COUNTIF($D$23:$D$1022,"="&amp;D800)+1)/2</f>
        <v/>
      </c>
    </row>
    <row r="801">
      <c r="B801" s="27">
        <f>'1 Data'!B790</f>
        <v/>
      </c>
      <c r="C801" s="28">
        <f>$C$12 + '1 Data'!C790*$C$13 + '1 Data'!D790*$C$14 + '1 Data'!E790*$C$15 + '1 Data'!F790*$C$16 + '1 Data'!G790*$C$17 + '1 Data'!H790*$C$18</f>
        <v/>
      </c>
      <c r="D801" s="23">
        <f>1/(1+EXP(-C801))</f>
        <v/>
      </c>
      <c r="E801" s="27">
        <f>'1 Data'!I790</f>
        <v/>
      </c>
      <c r="F801" s="29">
        <f>RANK(D801,$D$23:$D$1022)</f>
        <v/>
      </c>
      <c r="G801" s="30">
        <f>COUNTIF($D$23:$D$1022,"&lt;"&amp;D801)+(COUNTIF($D$23:$D$1022,"="&amp;D801)+1)/2</f>
        <v/>
      </c>
    </row>
    <row r="802">
      <c r="B802" s="27">
        <f>'1 Data'!B791</f>
        <v/>
      </c>
      <c r="C802" s="28">
        <f>$C$12 + '1 Data'!C791*$C$13 + '1 Data'!D791*$C$14 + '1 Data'!E791*$C$15 + '1 Data'!F791*$C$16 + '1 Data'!G791*$C$17 + '1 Data'!H791*$C$18</f>
        <v/>
      </c>
      <c r="D802" s="23">
        <f>1/(1+EXP(-C802))</f>
        <v/>
      </c>
      <c r="E802" s="27">
        <f>'1 Data'!I791</f>
        <v/>
      </c>
      <c r="F802" s="29">
        <f>RANK(D802,$D$23:$D$1022)</f>
        <v/>
      </c>
      <c r="G802" s="30">
        <f>COUNTIF($D$23:$D$1022,"&lt;"&amp;D802)+(COUNTIF($D$23:$D$1022,"="&amp;D802)+1)/2</f>
        <v/>
      </c>
    </row>
    <row r="803">
      <c r="B803" s="27">
        <f>'1 Data'!B792</f>
        <v/>
      </c>
      <c r="C803" s="28">
        <f>$C$12 + '1 Data'!C792*$C$13 + '1 Data'!D792*$C$14 + '1 Data'!E792*$C$15 + '1 Data'!F792*$C$16 + '1 Data'!G792*$C$17 + '1 Data'!H792*$C$18</f>
        <v/>
      </c>
      <c r="D803" s="23">
        <f>1/(1+EXP(-C803))</f>
        <v/>
      </c>
      <c r="E803" s="27">
        <f>'1 Data'!I792</f>
        <v/>
      </c>
      <c r="F803" s="29">
        <f>RANK(D803,$D$23:$D$1022)</f>
        <v/>
      </c>
      <c r="G803" s="30">
        <f>COUNTIF($D$23:$D$1022,"&lt;"&amp;D803)+(COUNTIF($D$23:$D$1022,"="&amp;D803)+1)/2</f>
        <v/>
      </c>
    </row>
    <row r="804">
      <c r="B804" s="27">
        <f>'1 Data'!B793</f>
        <v/>
      </c>
      <c r="C804" s="28">
        <f>$C$12 + '1 Data'!C793*$C$13 + '1 Data'!D793*$C$14 + '1 Data'!E793*$C$15 + '1 Data'!F793*$C$16 + '1 Data'!G793*$C$17 + '1 Data'!H793*$C$18</f>
        <v/>
      </c>
      <c r="D804" s="23">
        <f>1/(1+EXP(-C804))</f>
        <v/>
      </c>
      <c r="E804" s="27">
        <f>'1 Data'!I793</f>
        <v/>
      </c>
      <c r="F804" s="29">
        <f>RANK(D804,$D$23:$D$1022)</f>
        <v/>
      </c>
      <c r="G804" s="30">
        <f>COUNTIF($D$23:$D$1022,"&lt;"&amp;D804)+(COUNTIF($D$23:$D$1022,"="&amp;D804)+1)/2</f>
        <v/>
      </c>
    </row>
    <row r="805">
      <c r="B805" s="27">
        <f>'1 Data'!B794</f>
        <v/>
      </c>
      <c r="C805" s="28">
        <f>$C$12 + '1 Data'!C794*$C$13 + '1 Data'!D794*$C$14 + '1 Data'!E794*$C$15 + '1 Data'!F794*$C$16 + '1 Data'!G794*$C$17 + '1 Data'!H794*$C$18</f>
        <v/>
      </c>
      <c r="D805" s="23">
        <f>1/(1+EXP(-C805))</f>
        <v/>
      </c>
      <c r="E805" s="27">
        <f>'1 Data'!I794</f>
        <v/>
      </c>
      <c r="F805" s="29">
        <f>RANK(D805,$D$23:$D$1022)</f>
        <v/>
      </c>
      <c r="G805" s="30">
        <f>COUNTIF($D$23:$D$1022,"&lt;"&amp;D805)+(COUNTIF($D$23:$D$1022,"="&amp;D805)+1)/2</f>
        <v/>
      </c>
    </row>
    <row r="806">
      <c r="B806" s="27">
        <f>'1 Data'!B795</f>
        <v/>
      </c>
      <c r="C806" s="28">
        <f>$C$12 + '1 Data'!C795*$C$13 + '1 Data'!D795*$C$14 + '1 Data'!E795*$C$15 + '1 Data'!F795*$C$16 + '1 Data'!G795*$C$17 + '1 Data'!H795*$C$18</f>
        <v/>
      </c>
      <c r="D806" s="23">
        <f>1/(1+EXP(-C806))</f>
        <v/>
      </c>
      <c r="E806" s="27">
        <f>'1 Data'!I795</f>
        <v/>
      </c>
      <c r="F806" s="29">
        <f>RANK(D806,$D$23:$D$1022)</f>
        <v/>
      </c>
      <c r="G806" s="30">
        <f>COUNTIF($D$23:$D$1022,"&lt;"&amp;D806)+(COUNTIF($D$23:$D$1022,"="&amp;D806)+1)/2</f>
        <v/>
      </c>
    </row>
    <row r="807">
      <c r="B807" s="27">
        <f>'1 Data'!B796</f>
        <v/>
      </c>
      <c r="C807" s="28">
        <f>$C$12 + '1 Data'!C796*$C$13 + '1 Data'!D796*$C$14 + '1 Data'!E796*$C$15 + '1 Data'!F796*$C$16 + '1 Data'!G796*$C$17 + '1 Data'!H796*$C$18</f>
        <v/>
      </c>
      <c r="D807" s="23">
        <f>1/(1+EXP(-C807))</f>
        <v/>
      </c>
      <c r="E807" s="27">
        <f>'1 Data'!I796</f>
        <v/>
      </c>
      <c r="F807" s="29">
        <f>RANK(D807,$D$23:$D$1022)</f>
        <v/>
      </c>
      <c r="G807" s="30">
        <f>COUNTIF($D$23:$D$1022,"&lt;"&amp;D807)+(COUNTIF($D$23:$D$1022,"="&amp;D807)+1)/2</f>
        <v/>
      </c>
    </row>
    <row r="808">
      <c r="B808" s="27">
        <f>'1 Data'!B797</f>
        <v/>
      </c>
      <c r="C808" s="28">
        <f>$C$12 + '1 Data'!C797*$C$13 + '1 Data'!D797*$C$14 + '1 Data'!E797*$C$15 + '1 Data'!F797*$C$16 + '1 Data'!G797*$C$17 + '1 Data'!H797*$C$18</f>
        <v/>
      </c>
      <c r="D808" s="23">
        <f>1/(1+EXP(-C808))</f>
        <v/>
      </c>
      <c r="E808" s="27">
        <f>'1 Data'!I797</f>
        <v/>
      </c>
      <c r="F808" s="29">
        <f>RANK(D808,$D$23:$D$1022)</f>
        <v/>
      </c>
      <c r="G808" s="30">
        <f>COUNTIF($D$23:$D$1022,"&lt;"&amp;D808)+(COUNTIF($D$23:$D$1022,"="&amp;D808)+1)/2</f>
        <v/>
      </c>
    </row>
    <row r="809">
      <c r="B809" s="27">
        <f>'1 Data'!B798</f>
        <v/>
      </c>
      <c r="C809" s="28">
        <f>$C$12 + '1 Data'!C798*$C$13 + '1 Data'!D798*$C$14 + '1 Data'!E798*$C$15 + '1 Data'!F798*$C$16 + '1 Data'!G798*$C$17 + '1 Data'!H798*$C$18</f>
        <v/>
      </c>
      <c r="D809" s="23">
        <f>1/(1+EXP(-C809))</f>
        <v/>
      </c>
      <c r="E809" s="27">
        <f>'1 Data'!I798</f>
        <v/>
      </c>
      <c r="F809" s="29">
        <f>RANK(D809,$D$23:$D$1022)</f>
        <v/>
      </c>
      <c r="G809" s="30">
        <f>COUNTIF($D$23:$D$1022,"&lt;"&amp;D809)+(COUNTIF($D$23:$D$1022,"="&amp;D809)+1)/2</f>
        <v/>
      </c>
    </row>
    <row r="810">
      <c r="B810" s="27">
        <f>'1 Data'!B799</f>
        <v/>
      </c>
      <c r="C810" s="28">
        <f>$C$12 + '1 Data'!C799*$C$13 + '1 Data'!D799*$C$14 + '1 Data'!E799*$C$15 + '1 Data'!F799*$C$16 + '1 Data'!G799*$C$17 + '1 Data'!H799*$C$18</f>
        <v/>
      </c>
      <c r="D810" s="23">
        <f>1/(1+EXP(-C810))</f>
        <v/>
      </c>
      <c r="E810" s="27">
        <f>'1 Data'!I799</f>
        <v/>
      </c>
      <c r="F810" s="29">
        <f>RANK(D810,$D$23:$D$1022)</f>
        <v/>
      </c>
      <c r="G810" s="30">
        <f>COUNTIF($D$23:$D$1022,"&lt;"&amp;D810)+(COUNTIF($D$23:$D$1022,"="&amp;D810)+1)/2</f>
        <v/>
      </c>
    </row>
    <row r="811">
      <c r="B811" s="27">
        <f>'1 Data'!B800</f>
        <v/>
      </c>
      <c r="C811" s="28">
        <f>$C$12 + '1 Data'!C800*$C$13 + '1 Data'!D800*$C$14 + '1 Data'!E800*$C$15 + '1 Data'!F800*$C$16 + '1 Data'!G800*$C$17 + '1 Data'!H800*$C$18</f>
        <v/>
      </c>
      <c r="D811" s="23">
        <f>1/(1+EXP(-C811))</f>
        <v/>
      </c>
      <c r="E811" s="27">
        <f>'1 Data'!I800</f>
        <v/>
      </c>
      <c r="F811" s="29">
        <f>RANK(D811,$D$23:$D$1022)</f>
        <v/>
      </c>
      <c r="G811" s="30">
        <f>COUNTIF($D$23:$D$1022,"&lt;"&amp;D811)+(COUNTIF($D$23:$D$1022,"="&amp;D811)+1)/2</f>
        <v/>
      </c>
    </row>
    <row r="812">
      <c r="B812" s="27">
        <f>'1 Data'!B801</f>
        <v/>
      </c>
      <c r="C812" s="28">
        <f>$C$12 + '1 Data'!C801*$C$13 + '1 Data'!D801*$C$14 + '1 Data'!E801*$C$15 + '1 Data'!F801*$C$16 + '1 Data'!G801*$C$17 + '1 Data'!H801*$C$18</f>
        <v/>
      </c>
      <c r="D812" s="23">
        <f>1/(1+EXP(-C812))</f>
        <v/>
      </c>
      <c r="E812" s="27">
        <f>'1 Data'!I801</f>
        <v/>
      </c>
      <c r="F812" s="29">
        <f>RANK(D812,$D$23:$D$1022)</f>
        <v/>
      </c>
      <c r="G812" s="30">
        <f>COUNTIF($D$23:$D$1022,"&lt;"&amp;D812)+(COUNTIF($D$23:$D$1022,"="&amp;D812)+1)/2</f>
        <v/>
      </c>
    </row>
    <row r="813">
      <c r="B813" s="27">
        <f>'1 Data'!B802</f>
        <v/>
      </c>
      <c r="C813" s="28">
        <f>$C$12 + '1 Data'!C802*$C$13 + '1 Data'!D802*$C$14 + '1 Data'!E802*$C$15 + '1 Data'!F802*$C$16 + '1 Data'!G802*$C$17 + '1 Data'!H802*$C$18</f>
        <v/>
      </c>
      <c r="D813" s="23">
        <f>1/(1+EXP(-C813))</f>
        <v/>
      </c>
      <c r="E813" s="27">
        <f>'1 Data'!I802</f>
        <v/>
      </c>
      <c r="F813" s="29">
        <f>RANK(D813,$D$23:$D$1022)</f>
        <v/>
      </c>
      <c r="G813" s="30">
        <f>COUNTIF($D$23:$D$1022,"&lt;"&amp;D813)+(COUNTIF($D$23:$D$1022,"="&amp;D813)+1)/2</f>
        <v/>
      </c>
    </row>
    <row r="814">
      <c r="B814" s="27">
        <f>'1 Data'!B803</f>
        <v/>
      </c>
      <c r="C814" s="28">
        <f>$C$12 + '1 Data'!C803*$C$13 + '1 Data'!D803*$C$14 + '1 Data'!E803*$C$15 + '1 Data'!F803*$C$16 + '1 Data'!G803*$C$17 + '1 Data'!H803*$C$18</f>
        <v/>
      </c>
      <c r="D814" s="23">
        <f>1/(1+EXP(-C814))</f>
        <v/>
      </c>
      <c r="E814" s="27">
        <f>'1 Data'!I803</f>
        <v/>
      </c>
      <c r="F814" s="29">
        <f>RANK(D814,$D$23:$D$1022)</f>
        <v/>
      </c>
      <c r="G814" s="30">
        <f>COUNTIF($D$23:$D$1022,"&lt;"&amp;D814)+(COUNTIF($D$23:$D$1022,"="&amp;D814)+1)/2</f>
        <v/>
      </c>
    </row>
    <row r="815">
      <c r="B815" s="27">
        <f>'1 Data'!B804</f>
        <v/>
      </c>
      <c r="C815" s="28">
        <f>$C$12 + '1 Data'!C804*$C$13 + '1 Data'!D804*$C$14 + '1 Data'!E804*$C$15 + '1 Data'!F804*$C$16 + '1 Data'!G804*$C$17 + '1 Data'!H804*$C$18</f>
        <v/>
      </c>
      <c r="D815" s="23">
        <f>1/(1+EXP(-C815))</f>
        <v/>
      </c>
      <c r="E815" s="27">
        <f>'1 Data'!I804</f>
        <v/>
      </c>
      <c r="F815" s="29">
        <f>RANK(D815,$D$23:$D$1022)</f>
        <v/>
      </c>
      <c r="G815" s="30">
        <f>COUNTIF($D$23:$D$1022,"&lt;"&amp;D815)+(COUNTIF($D$23:$D$1022,"="&amp;D815)+1)/2</f>
        <v/>
      </c>
    </row>
    <row r="816">
      <c r="B816" s="27">
        <f>'1 Data'!B805</f>
        <v/>
      </c>
      <c r="C816" s="28">
        <f>$C$12 + '1 Data'!C805*$C$13 + '1 Data'!D805*$C$14 + '1 Data'!E805*$C$15 + '1 Data'!F805*$C$16 + '1 Data'!G805*$C$17 + '1 Data'!H805*$C$18</f>
        <v/>
      </c>
      <c r="D816" s="23">
        <f>1/(1+EXP(-C816))</f>
        <v/>
      </c>
      <c r="E816" s="27">
        <f>'1 Data'!I805</f>
        <v/>
      </c>
      <c r="F816" s="29">
        <f>RANK(D816,$D$23:$D$1022)</f>
        <v/>
      </c>
      <c r="G816" s="30">
        <f>COUNTIF($D$23:$D$1022,"&lt;"&amp;D816)+(COUNTIF($D$23:$D$1022,"="&amp;D816)+1)/2</f>
        <v/>
      </c>
    </row>
    <row r="817">
      <c r="B817" s="27">
        <f>'1 Data'!B806</f>
        <v/>
      </c>
      <c r="C817" s="28">
        <f>$C$12 + '1 Data'!C806*$C$13 + '1 Data'!D806*$C$14 + '1 Data'!E806*$C$15 + '1 Data'!F806*$C$16 + '1 Data'!G806*$C$17 + '1 Data'!H806*$C$18</f>
        <v/>
      </c>
      <c r="D817" s="23">
        <f>1/(1+EXP(-C817))</f>
        <v/>
      </c>
      <c r="E817" s="27">
        <f>'1 Data'!I806</f>
        <v/>
      </c>
      <c r="F817" s="29">
        <f>RANK(D817,$D$23:$D$1022)</f>
        <v/>
      </c>
      <c r="G817" s="30">
        <f>COUNTIF($D$23:$D$1022,"&lt;"&amp;D817)+(COUNTIF($D$23:$D$1022,"="&amp;D817)+1)/2</f>
        <v/>
      </c>
    </row>
    <row r="818">
      <c r="B818" s="27">
        <f>'1 Data'!B807</f>
        <v/>
      </c>
      <c r="C818" s="28">
        <f>$C$12 + '1 Data'!C807*$C$13 + '1 Data'!D807*$C$14 + '1 Data'!E807*$C$15 + '1 Data'!F807*$C$16 + '1 Data'!G807*$C$17 + '1 Data'!H807*$C$18</f>
        <v/>
      </c>
      <c r="D818" s="23">
        <f>1/(1+EXP(-C818))</f>
        <v/>
      </c>
      <c r="E818" s="27">
        <f>'1 Data'!I807</f>
        <v/>
      </c>
      <c r="F818" s="29">
        <f>RANK(D818,$D$23:$D$1022)</f>
        <v/>
      </c>
      <c r="G818" s="30">
        <f>COUNTIF($D$23:$D$1022,"&lt;"&amp;D818)+(COUNTIF($D$23:$D$1022,"="&amp;D818)+1)/2</f>
        <v/>
      </c>
    </row>
    <row r="819">
      <c r="B819" s="27">
        <f>'1 Data'!B808</f>
        <v/>
      </c>
      <c r="C819" s="28">
        <f>$C$12 + '1 Data'!C808*$C$13 + '1 Data'!D808*$C$14 + '1 Data'!E808*$C$15 + '1 Data'!F808*$C$16 + '1 Data'!G808*$C$17 + '1 Data'!H808*$C$18</f>
        <v/>
      </c>
      <c r="D819" s="23">
        <f>1/(1+EXP(-C819))</f>
        <v/>
      </c>
      <c r="E819" s="27">
        <f>'1 Data'!I808</f>
        <v/>
      </c>
      <c r="F819" s="29">
        <f>RANK(D819,$D$23:$D$1022)</f>
        <v/>
      </c>
      <c r="G819" s="30">
        <f>COUNTIF($D$23:$D$1022,"&lt;"&amp;D819)+(COUNTIF($D$23:$D$1022,"="&amp;D819)+1)/2</f>
        <v/>
      </c>
    </row>
    <row r="820">
      <c r="B820" s="27">
        <f>'1 Data'!B809</f>
        <v/>
      </c>
      <c r="C820" s="28">
        <f>$C$12 + '1 Data'!C809*$C$13 + '1 Data'!D809*$C$14 + '1 Data'!E809*$C$15 + '1 Data'!F809*$C$16 + '1 Data'!G809*$C$17 + '1 Data'!H809*$C$18</f>
        <v/>
      </c>
      <c r="D820" s="23">
        <f>1/(1+EXP(-C820))</f>
        <v/>
      </c>
      <c r="E820" s="27">
        <f>'1 Data'!I809</f>
        <v/>
      </c>
      <c r="F820" s="29">
        <f>RANK(D820,$D$23:$D$1022)</f>
        <v/>
      </c>
      <c r="G820" s="30">
        <f>COUNTIF($D$23:$D$1022,"&lt;"&amp;D820)+(COUNTIF($D$23:$D$1022,"="&amp;D820)+1)/2</f>
        <v/>
      </c>
    </row>
    <row r="821">
      <c r="B821" s="27">
        <f>'1 Data'!B810</f>
        <v/>
      </c>
      <c r="C821" s="28">
        <f>$C$12 + '1 Data'!C810*$C$13 + '1 Data'!D810*$C$14 + '1 Data'!E810*$C$15 + '1 Data'!F810*$C$16 + '1 Data'!G810*$C$17 + '1 Data'!H810*$C$18</f>
        <v/>
      </c>
      <c r="D821" s="23">
        <f>1/(1+EXP(-C821))</f>
        <v/>
      </c>
      <c r="E821" s="27">
        <f>'1 Data'!I810</f>
        <v/>
      </c>
      <c r="F821" s="29">
        <f>RANK(D821,$D$23:$D$1022)</f>
        <v/>
      </c>
      <c r="G821" s="30">
        <f>COUNTIF($D$23:$D$1022,"&lt;"&amp;D821)+(COUNTIF($D$23:$D$1022,"="&amp;D821)+1)/2</f>
        <v/>
      </c>
    </row>
    <row r="822">
      <c r="B822" s="27">
        <f>'1 Data'!B811</f>
        <v/>
      </c>
      <c r="C822" s="28">
        <f>$C$12 + '1 Data'!C811*$C$13 + '1 Data'!D811*$C$14 + '1 Data'!E811*$C$15 + '1 Data'!F811*$C$16 + '1 Data'!G811*$C$17 + '1 Data'!H811*$C$18</f>
        <v/>
      </c>
      <c r="D822" s="23">
        <f>1/(1+EXP(-C822))</f>
        <v/>
      </c>
      <c r="E822" s="27">
        <f>'1 Data'!I811</f>
        <v/>
      </c>
      <c r="F822" s="29">
        <f>RANK(D822,$D$23:$D$1022)</f>
        <v/>
      </c>
      <c r="G822" s="30">
        <f>COUNTIF($D$23:$D$1022,"&lt;"&amp;D822)+(COUNTIF($D$23:$D$1022,"="&amp;D822)+1)/2</f>
        <v/>
      </c>
    </row>
    <row r="823">
      <c r="B823" s="27">
        <f>'1 Data'!B812</f>
        <v/>
      </c>
      <c r="C823" s="28">
        <f>$C$12 + '1 Data'!C812*$C$13 + '1 Data'!D812*$C$14 + '1 Data'!E812*$C$15 + '1 Data'!F812*$C$16 + '1 Data'!G812*$C$17 + '1 Data'!H812*$C$18</f>
        <v/>
      </c>
      <c r="D823" s="23">
        <f>1/(1+EXP(-C823))</f>
        <v/>
      </c>
      <c r="E823" s="27">
        <f>'1 Data'!I812</f>
        <v/>
      </c>
      <c r="F823" s="29">
        <f>RANK(D823,$D$23:$D$1022)</f>
        <v/>
      </c>
      <c r="G823" s="30">
        <f>COUNTIF($D$23:$D$1022,"&lt;"&amp;D823)+(COUNTIF($D$23:$D$1022,"="&amp;D823)+1)/2</f>
        <v/>
      </c>
    </row>
    <row r="824">
      <c r="B824" s="27">
        <f>'1 Data'!B813</f>
        <v/>
      </c>
      <c r="C824" s="28">
        <f>$C$12 + '1 Data'!C813*$C$13 + '1 Data'!D813*$C$14 + '1 Data'!E813*$C$15 + '1 Data'!F813*$C$16 + '1 Data'!G813*$C$17 + '1 Data'!H813*$C$18</f>
        <v/>
      </c>
      <c r="D824" s="23">
        <f>1/(1+EXP(-C824))</f>
        <v/>
      </c>
      <c r="E824" s="27">
        <f>'1 Data'!I813</f>
        <v/>
      </c>
      <c r="F824" s="29">
        <f>RANK(D824,$D$23:$D$1022)</f>
        <v/>
      </c>
      <c r="G824" s="30">
        <f>COUNTIF($D$23:$D$1022,"&lt;"&amp;D824)+(COUNTIF($D$23:$D$1022,"="&amp;D824)+1)/2</f>
        <v/>
      </c>
    </row>
    <row r="825">
      <c r="B825" s="27">
        <f>'1 Data'!B814</f>
        <v/>
      </c>
      <c r="C825" s="28">
        <f>$C$12 + '1 Data'!C814*$C$13 + '1 Data'!D814*$C$14 + '1 Data'!E814*$C$15 + '1 Data'!F814*$C$16 + '1 Data'!G814*$C$17 + '1 Data'!H814*$C$18</f>
        <v/>
      </c>
      <c r="D825" s="23">
        <f>1/(1+EXP(-C825))</f>
        <v/>
      </c>
      <c r="E825" s="27">
        <f>'1 Data'!I814</f>
        <v/>
      </c>
      <c r="F825" s="29">
        <f>RANK(D825,$D$23:$D$1022)</f>
        <v/>
      </c>
      <c r="G825" s="30">
        <f>COUNTIF($D$23:$D$1022,"&lt;"&amp;D825)+(COUNTIF($D$23:$D$1022,"="&amp;D825)+1)/2</f>
        <v/>
      </c>
    </row>
    <row r="826">
      <c r="B826" s="27">
        <f>'1 Data'!B815</f>
        <v/>
      </c>
      <c r="C826" s="28">
        <f>$C$12 + '1 Data'!C815*$C$13 + '1 Data'!D815*$C$14 + '1 Data'!E815*$C$15 + '1 Data'!F815*$C$16 + '1 Data'!G815*$C$17 + '1 Data'!H815*$C$18</f>
        <v/>
      </c>
      <c r="D826" s="23">
        <f>1/(1+EXP(-C826))</f>
        <v/>
      </c>
      <c r="E826" s="27">
        <f>'1 Data'!I815</f>
        <v/>
      </c>
      <c r="F826" s="29">
        <f>RANK(D826,$D$23:$D$1022)</f>
        <v/>
      </c>
      <c r="G826" s="30">
        <f>COUNTIF($D$23:$D$1022,"&lt;"&amp;D826)+(COUNTIF($D$23:$D$1022,"="&amp;D826)+1)/2</f>
        <v/>
      </c>
    </row>
    <row r="827">
      <c r="B827" s="27">
        <f>'1 Data'!B816</f>
        <v/>
      </c>
      <c r="C827" s="28">
        <f>$C$12 + '1 Data'!C816*$C$13 + '1 Data'!D816*$C$14 + '1 Data'!E816*$C$15 + '1 Data'!F816*$C$16 + '1 Data'!G816*$C$17 + '1 Data'!H816*$C$18</f>
        <v/>
      </c>
      <c r="D827" s="23">
        <f>1/(1+EXP(-C827))</f>
        <v/>
      </c>
      <c r="E827" s="27">
        <f>'1 Data'!I816</f>
        <v/>
      </c>
      <c r="F827" s="29">
        <f>RANK(D827,$D$23:$D$1022)</f>
        <v/>
      </c>
      <c r="G827" s="30">
        <f>COUNTIF($D$23:$D$1022,"&lt;"&amp;D827)+(COUNTIF($D$23:$D$1022,"="&amp;D827)+1)/2</f>
        <v/>
      </c>
    </row>
    <row r="828">
      <c r="B828" s="27">
        <f>'1 Data'!B817</f>
        <v/>
      </c>
      <c r="C828" s="28">
        <f>$C$12 + '1 Data'!C817*$C$13 + '1 Data'!D817*$C$14 + '1 Data'!E817*$C$15 + '1 Data'!F817*$C$16 + '1 Data'!G817*$C$17 + '1 Data'!H817*$C$18</f>
        <v/>
      </c>
      <c r="D828" s="23">
        <f>1/(1+EXP(-C828))</f>
        <v/>
      </c>
      <c r="E828" s="27">
        <f>'1 Data'!I817</f>
        <v/>
      </c>
      <c r="F828" s="29">
        <f>RANK(D828,$D$23:$D$1022)</f>
        <v/>
      </c>
      <c r="G828" s="30">
        <f>COUNTIF($D$23:$D$1022,"&lt;"&amp;D828)+(COUNTIF($D$23:$D$1022,"="&amp;D828)+1)/2</f>
        <v/>
      </c>
    </row>
    <row r="829">
      <c r="B829" s="27">
        <f>'1 Data'!B818</f>
        <v/>
      </c>
      <c r="C829" s="28">
        <f>$C$12 + '1 Data'!C818*$C$13 + '1 Data'!D818*$C$14 + '1 Data'!E818*$C$15 + '1 Data'!F818*$C$16 + '1 Data'!G818*$C$17 + '1 Data'!H818*$C$18</f>
        <v/>
      </c>
      <c r="D829" s="23">
        <f>1/(1+EXP(-C829))</f>
        <v/>
      </c>
      <c r="E829" s="27">
        <f>'1 Data'!I818</f>
        <v/>
      </c>
      <c r="F829" s="29">
        <f>RANK(D829,$D$23:$D$1022)</f>
        <v/>
      </c>
      <c r="G829" s="30">
        <f>COUNTIF($D$23:$D$1022,"&lt;"&amp;D829)+(COUNTIF($D$23:$D$1022,"="&amp;D829)+1)/2</f>
        <v/>
      </c>
    </row>
    <row r="830">
      <c r="B830" s="27">
        <f>'1 Data'!B819</f>
        <v/>
      </c>
      <c r="C830" s="28">
        <f>$C$12 + '1 Data'!C819*$C$13 + '1 Data'!D819*$C$14 + '1 Data'!E819*$C$15 + '1 Data'!F819*$C$16 + '1 Data'!G819*$C$17 + '1 Data'!H819*$C$18</f>
        <v/>
      </c>
      <c r="D830" s="23">
        <f>1/(1+EXP(-C830))</f>
        <v/>
      </c>
      <c r="E830" s="27">
        <f>'1 Data'!I819</f>
        <v/>
      </c>
      <c r="F830" s="29">
        <f>RANK(D830,$D$23:$D$1022)</f>
        <v/>
      </c>
      <c r="G830" s="30">
        <f>COUNTIF($D$23:$D$1022,"&lt;"&amp;D830)+(COUNTIF($D$23:$D$1022,"="&amp;D830)+1)/2</f>
        <v/>
      </c>
    </row>
    <row r="831">
      <c r="B831" s="27">
        <f>'1 Data'!B820</f>
        <v/>
      </c>
      <c r="C831" s="28">
        <f>$C$12 + '1 Data'!C820*$C$13 + '1 Data'!D820*$C$14 + '1 Data'!E820*$C$15 + '1 Data'!F820*$C$16 + '1 Data'!G820*$C$17 + '1 Data'!H820*$C$18</f>
        <v/>
      </c>
      <c r="D831" s="23">
        <f>1/(1+EXP(-C831))</f>
        <v/>
      </c>
      <c r="E831" s="27">
        <f>'1 Data'!I820</f>
        <v/>
      </c>
      <c r="F831" s="29">
        <f>RANK(D831,$D$23:$D$1022)</f>
        <v/>
      </c>
      <c r="G831" s="30">
        <f>COUNTIF($D$23:$D$1022,"&lt;"&amp;D831)+(COUNTIF($D$23:$D$1022,"="&amp;D831)+1)/2</f>
        <v/>
      </c>
    </row>
    <row r="832">
      <c r="B832" s="27">
        <f>'1 Data'!B821</f>
        <v/>
      </c>
      <c r="C832" s="28">
        <f>$C$12 + '1 Data'!C821*$C$13 + '1 Data'!D821*$C$14 + '1 Data'!E821*$C$15 + '1 Data'!F821*$C$16 + '1 Data'!G821*$C$17 + '1 Data'!H821*$C$18</f>
        <v/>
      </c>
      <c r="D832" s="23">
        <f>1/(1+EXP(-C832))</f>
        <v/>
      </c>
      <c r="E832" s="27">
        <f>'1 Data'!I821</f>
        <v/>
      </c>
      <c r="F832" s="29">
        <f>RANK(D832,$D$23:$D$1022)</f>
        <v/>
      </c>
      <c r="G832" s="30">
        <f>COUNTIF($D$23:$D$1022,"&lt;"&amp;D832)+(COUNTIF($D$23:$D$1022,"="&amp;D832)+1)/2</f>
        <v/>
      </c>
    </row>
    <row r="833">
      <c r="B833" s="27">
        <f>'1 Data'!B822</f>
        <v/>
      </c>
      <c r="C833" s="28">
        <f>$C$12 + '1 Data'!C822*$C$13 + '1 Data'!D822*$C$14 + '1 Data'!E822*$C$15 + '1 Data'!F822*$C$16 + '1 Data'!G822*$C$17 + '1 Data'!H822*$C$18</f>
        <v/>
      </c>
      <c r="D833" s="23">
        <f>1/(1+EXP(-C833))</f>
        <v/>
      </c>
      <c r="E833" s="27">
        <f>'1 Data'!I822</f>
        <v/>
      </c>
      <c r="F833" s="29">
        <f>RANK(D833,$D$23:$D$1022)</f>
        <v/>
      </c>
      <c r="G833" s="30">
        <f>COUNTIF($D$23:$D$1022,"&lt;"&amp;D833)+(COUNTIF($D$23:$D$1022,"="&amp;D833)+1)/2</f>
        <v/>
      </c>
    </row>
    <row r="834">
      <c r="B834" s="27">
        <f>'1 Data'!B823</f>
        <v/>
      </c>
      <c r="C834" s="28">
        <f>$C$12 + '1 Data'!C823*$C$13 + '1 Data'!D823*$C$14 + '1 Data'!E823*$C$15 + '1 Data'!F823*$C$16 + '1 Data'!G823*$C$17 + '1 Data'!H823*$C$18</f>
        <v/>
      </c>
      <c r="D834" s="23">
        <f>1/(1+EXP(-C834))</f>
        <v/>
      </c>
      <c r="E834" s="27">
        <f>'1 Data'!I823</f>
        <v/>
      </c>
      <c r="F834" s="29">
        <f>RANK(D834,$D$23:$D$1022)</f>
        <v/>
      </c>
      <c r="G834" s="30">
        <f>COUNTIF($D$23:$D$1022,"&lt;"&amp;D834)+(COUNTIF($D$23:$D$1022,"="&amp;D834)+1)/2</f>
        <v/>
      </c>
    </row>
    <row r="835">
      <c r="B835" s="27">
        <f>'1 Data'!B824</f>
        <v/>
      </c>
      <c r="C835" s="28">
        <f>$C$12 + '1 Data'!C824*$C$13 + '1 Data'!D824*$C$14 + '1 Data'!E824*$C$15 + '1 Data'!F824*$C$16 + '1 Data'!G824*$C$17 + '1 Data'!H824*$C$18</f>
        <v/>
      </c>
      <c r="D835" s="23">
        <f>1/(1+EXP(-C835))</f>
        <v/>
      </c>
      <c r="E835" s="27">
        <f>'1 Data'!I824</f>
        <v/>
      </c>
      <c r="F835" s="29">
        <f>RANK(D835,$D$23:$D$1022)</f>
        <v/>
      </c>
      <c r="G835" s="30">
        <f>COUNTIF($D$23:$D$1022,"&lt;"&amp;D835)+(COUNTIF($D$23:$D$1022,"="&amp;D835)+1)/2</f>
        <v/>
      </c>
    </row>
    <row r="836">
      <c r="B836" s="27">
        <f>'1 Data'!B825</f>
        <v/>
      </c>
      <c r="C836" s="28">
        <f>$C$12 + '1 Data'!C825*$C$13 + '1 Data'!D825*$C$14 + '1 Data'!E825*$C$15 + '1 Data'!F825*$C$16 + '1 Data'!G825*$C$17 + '1 Data'!H825*$C$18</f>
        <v/>
      </c>
      <c r="D836" s="23">
        <f>1/(1+EXP(-C836))</f>
        <v/>
      </c>
      <c r="E836" s="27">
        <f>'1 Data'!I825</f>
        <v/>
      </c>
      <c r="F836" s="29">
        <f>RANK(D836,$D$23:$D$1022)</f>
        <v/>
      </c>
      <c r="G836" s="30">
        <f>COUNTIF($D$23:$D$1022,"&lt;"&amp;D836)+(COUNTIF($D$23:$D$1022,"="&amp;D836)+1)/2</f>
        <v/>
      </c>
    </row>
    <row r="837">
      <c r="B837" s="27">
        <f>'1 Data'!B826</f>
        <v/>
      </c>
      <c r="C837" s="28">
        <f>$C$12 + '1 Data'!C826*$C$13 + '1 Data'!D826*$C$14 + '1 Data'!E826*$C$15 + '1 Data'!F826*$C$16 + '1 Data'!G826*$C$17 + '1 Data'!H826*$C$18</f>
        <v/>
      </c>
      <c r="D837" s="23">
        <f>1/(1+EXP(-C837))</f>
        <v/>
      </c>
      <c r="E837" s="27">
        <f>'1 Data'!I826</f>
        <v/>
      </c>
      <c r="F837" s="29">
        <f>RANK(D837,$D$23:$D$1022)</f>
        <v/>
      </c>
      <c r="G837" s="30">
        <f>COUNTIF($D$23:$D$1022,"&lt;"&amp;D837)+(COUNTIF($D$23:$D$1022,"="&amp;D837)+1)/2</f>
        <v/>
      </c>
    </row>
    <row r="838">
      <c r="B838" s="27">
        <f>'1 Data'!B827</f>
        <v/>
      </c>
      <c r="C838" s="28">
        <f>$C$12 + '1 Data'!C827*$C$13 + '1 Data'!D827*$C$14 + '1 Data'!E827*$C$15 + '1 Data'!F827*$C$16 + '1 Data'!G827*$C$17 + '1 Data'!H827*$C$18</f>
        <v/>
      </c>
      <c r="D838" s="23">
        <f>1/(1+EXP(-C838))</f>
        <v/>
      </c>
      <c r="E838" s="27">
        <f>'1 Data'!I827</f>
        <v/>
      </c>
      <c r="F838" s="29">
        <f>RANK(D838,$D$23:$D$1022)</f>
        <v/>
      </c>
      <c r="G838" s="30">
        <f>COUNTIF($D$23:$D$1022,"&lt;"&amp;D838)+(COUNTIF($D$23:$D$1022,"="&amp;D838)+1)/2</f>
        <v/>
      </c>
    </row>
    <row r="839">
      <c r="B839" s="27">
        <f>'1 Data'!B828</f>
        <v/>
      </c>
      <c r="C839" s="28">
        <f>$C$12 + '1 Data'!C828*$C$13 + '1 Data'!D828*$C$14 + '1 Data'!E828*$C$15 + '1 Data'!F828*$C$16 + '1 Data'!G828*$C$17 + '1 Data'!H828*$C$18</f>
        <v/>
      </c>
      <c r="D839" s="23">
        <f>1/(1+EXP(-C839))</f>
        <v/>
      </c>
      <c r="E839" s="27">
        <f>'1 Data'!I828</f>
        <v/>
      </c>
      <c r="F839" s="29">
        <f>RANK(D839,$D$23:$D$1022)</f>
        <v/>
      </c>
      <c r="G839" s="30">
        <f>COUNTIF($D$23:$D$1022,"&lt;"&amp;D839)+(COUNTIF($D$23:$D$1022,"="&amp;D839)+1)/2</f>
        <v/>
      </c>
    </row>
    <row r="840">
      <c r="B840" s="27">
        <f>'1 Data'!B829</f>
        <v/>
      </c>
      <c r="C840" s="28">
        <f>$C$12 + '1 Data'!C829*$C$13 + '1 Data'!D829*$C$14 + '1 Data'!E829*$C$15 + '1 Data'!F829*$C$16 + '1 Data'!G829*$C$17 + '1 Data'!H829*$C$18</f>
        <v/>
      </c>
      <c r="D840" s="23">
        <f>1/(1+EXP(-C840))</f>
        <v/>
      </c>
      <c r="E840" s="27">
        <f>'1 Data'!I829</f>
        <v/>
      </c>
      <c r="F840" s="29">
        <f>RANK(D840,$D$23:$D$1022)</f>
        <v/>
      </c>
      <c r="G840" s="30">
        <f>COUNTIF($D$23:$D$1022,"&lt;"&amp;D840)+(COUNTIF($D$23:$D$1022,"="&amp;D840)+1)/2</f>
        <v/>
      </c>
    </row>
    <row r="841">
      <c r="B841" s="27">
        <f>'1 Data'!B830</f>
        <v/>
      </c>
      <c r="C841" s="28">
        <f>$C$12 + '1 Data'!C830*$C$13 + '1 Data'!D830*$C$14 + '1 Data'!E830*$C$15 + '1 Data'!F830*$C$16 + '1 Data'!G830*$C$17 + '1 Data'!H830*$C$18</f>
        <v/>
      </c>
      <c r="D841" s="23">
        <f>1/(1+EXP(-C841))</f>
        <v/>
      </c>
      <c r="E841" s="27">
        <f>'1 Data'!I830</f>
        <v/>
      </c>
      <c r="F841" s="29">
        <f>RANK(D841,$D$23:$D$1022)</f>
        <v/>
      </c>
      <c r="G841" s="30">
        <f>COUNTIF($D$23:$D$1022,"&lt;"&amp;D841)+(COUNTIF($D$23:$D$1022,"="&amp;D841)+1)/2</f>
        <v/>
      </c>
    </row>
    <row r="842">
      <c r="B842" s="27">
        <f>'1 Data'!B831</f>
        <v/>
      </c>
      <c r="C842" s="28">
        <f>$C$12 + '1 Data'!C831*$C$13 + '1 Data'!D831*$C$14 + '1 Data'!E831*$C$15 + '1 Data'!F831*$C$16 + '1 Data'!G831*$C$17 + '1 Data'!H831*$C$18</f>
        <v/>
      </c>
      <c r="D842" s="23">
        <f>1/(1+EXP(-C842))</f>
        <v/>
      </c>
      <c r="E842" s="27">
        <f>'1 Data'!I831</f>
        <v/>
      </c>
      <c r="F842" s="29">
        <f>RANK(D842,$D$23:$D$1022)</f>
        <v/>
      </c>
      <c r="G842" s="30">
        <f>COUNTIF($D$23:$D$1022,"&lt;"&amp;D842)+(COUNTIF($D$23:$D$1022,"="&amp;D842)+1)/2</f>
        <v/>
      </c>
    </row>
    <row r="843">
      <c r="B843" s="27">
        <f>'1 Data'!B832</f>
        <v/>
      </c>
      <c r="C843" s="28">
        <f>$C$12 + '1 Data'!C832*$C$13 + '1 Data'!D832*$C$14 + '1 Data'!E832*$C$15 + '1 Data'!F832*$C$16 + '1 Data'!G832*$C$17 + '1 Data'!H832*$C$18</f>
        <v/>
      </c>
      <c r="D843" s="23">
        <f>1/(1+EXP(-C843))</f>
        <v/>
      </c>
      <c r="E843" s="27">
        <f>'1 Data'!I832</f>
        <v/>
      </c>
      <c r="F843" s="29">
        <f>RANK(D843,$D$23:$D$1022)</f>
        <v/>
      </c>
      <c r="G843" s="30">
        <f>COUNTIF($D$23:$D$1022,"&lt;"&amp;D843)+(COUNTIF($D$23:$D$1022,"="&amp;D843)+1)/2</f>
        <v/>
      </c>
    </row>
    <row r="844">
      <c r="B844" s="27">
        <f>'1 Data'!B833</f>
        <v/>
      </c>
      <c r="C844" s="28">
        <f>$C$12 + '1 Data'!C833*$C$13 + '1 Data'!D833*$C$14 + '1 Data'!E833*$C$15 + '1 Data'!F833*$C$16 + '1 Data'!G833*$C$17 + '1 Data'!H833*$C$18</f>
        <v/>
      </c>
      <c r="D844" s="23">
        <f>1/(1+EXP(-C844))</f>
        <v/>
      </c>
      <c r="E844" s="27">
        <f>'1 Data'!I833</f>
        <v/>
      </c>
      <c r="F844" s="29">
        <f>RANK(D844,$D$23:$D$1022)</f>
        <v/>
      </c>
      <c r="G844" s="30">
        <f>COUNTIF($D$23:$D$1022,"&lt;"&amp;D844)+(COUNTIF($D$23:$D$1022,"="&amp;D844)+1)/2</f>
        <v/>
      </c>
    </row>
    <row r="845">
      <c r="B845" s="27">
        <f>'1 Data'!B834</f>
        <v/>
      </c>
      <c r="C845" s="28">
        <f>$C$12 + '1 Data'!C834*$C$13 + '1 Data'!D834*$C$14 + '1 Data'!E834*$C$15 + '1 Data'!F834*$C$16 + '1 Data'!G834*$C$17 + '1 Data'!H834*$C$18</f>
        <v/>
      </c>
      <c r="D845" s="23">
        <f>1/(1+EXP(-C845))</f>
        <v/>
      </c>
      <c r="E845" s="27">
        <f>'1 Data'!I834</f>
        <v/>
      </c>
      <c r="F845" s="29">
        <f>RANK(D845,$D$23:$D$1022)</f>
        <v/>
      </c>
      <c r="G845" s="30">
        <f>COUNTIF($D$23:$D$1022,"&lt;"&amp;D845)+(COUNTIF($D$23:$D$1022,"="&amp;D845)+1)/2</f>
        <v/>
      </c>
    </row>
    <row r="846">
      <c r="B846" s="27">
        <f>'1 Data'!B835</f>
        <v/>
      </c>
      <c r="C846" s="28">
        <f>$C$12 + '1 Data'!C835*$C$13 + '1 Data'!D835*$C$14 + '1 Data'!E835*$C$15 + '1 Data'!F835*$C$16 + '1 Data'!G835*$C$17 + '1 Data'!H835*$C$18</f>
        <v/>
      </c>
      <c r="D846" s="23">
        <f>1/(1+EXP(-C846))</f>
        <v/>
      </c>
      <c r="E846" s="27">
        <f>'1 Data'!I835</f>
        <v/>
      </c>
      <c r="F846" s="29">
        <f>RANK(D846,$D$23:$D$1022)</f>
        <v/>
      </c>
      <c r="G846" s="30">
        <f>COUNTIF($D$23:$D$1022,"&lt;"&amp;D846)+(COUNTIF($D$23:$D$1022,"="&amp;D846)+1)/2</f>
        <v/>
      </c>
    </row>
    <row r="847">
      <c r="B847" s="27">
        <f>'1 Data'!B836</f>
        <v/>
      </c>
      <c r="C847" s="28">
        <f>$C$12 + '1 Data'!C836*$C$13 + '1 Data'!D836*$C$14 + '1 Data'!E836*$C$15 + '1 Data'!F836*$C$16 + '1 Data'!G836*$C$17 + '1 Data'!H836*$C$18</f>
        <v/>
      </c>
      <c r="D847" s="23">
        <f>1/(1+EXP(-C847))</f>
        <v/>
      </c>
      <c r="E847" s="27">
        <f>'1 Data'!I836</f>
        <v/>
      </c>
      <c r="F847" s="29">
        <f>RANK(D847,$D$23:$D$1022)</f>
        <v/>
      </c>
      <c r="G847" s="30">
        <f>COUNTIF($D$23:$D$1022,"&lt;"&amp;D847)+(COUNTIF($D$23:$D$1022,"="&amp;D847)+1)/2</f>
        <v/>
      </c>
    </row>
    <row r="848">
      <c r="B848" s="27">
        <f>'1 Data'!B837</f>
        <v/>
      </c>
      <c r="C848" s="28">
        <f>$C$12 + '1 Data'!C837*$C$13 + '1 Data'!D837*$C$14 + '1 Data'!E837*$C$15 + '1 Data'!F837*$C$16 + '1 Data'!G837*$C$17 + '1 Data'!H837*$C$18</f>
        <v/>
      </c>
      <c r="D848" s="23">
        <f>1/(1+EXP(-C848))</f>
        <v/>
      </c>
      <c r="E848" s="27">
        <f>'1 Data'!I837</f>
        <v/>
      </c>
      <c r="F848" s="29">
        <f>RANK(D848,$D$23:$D$1022)</f>
        <v/>
      </c>
      <c r="G848" s="30">
        <f>COUNTIF($D$23:$D$1022,"&lt;"&amp;D848)+(COUNTIF($D$23:$D$1022,"="&amp;D848)+1)/2</f>
        <v/>
      </c>
    </row>
    <row r="849">
      <c r="B849" s="27">
        <f>'1 Data'!B838</f>
        <v/>
      </c>
      <c r="C849" s="28">
        <f>$C$12 + '1 Data'!C838*$C$13 + '1 Data'!D838*$C$14 + '1 Data'!E838*$C$15 + '1 Data'!F838*$C$16 + '1 Data'!G838*$C$17 + '1 Data'!H838*$C$18</f>
        <v/>
      </c>
      <c r="D849" s="23">
        <f>1/(1+EXP(-C849))</f>
        <v/>
      </c>
      <c r="E849" s="27">
        <f>'1 Data'!I838</f>
        <v/>
      </c>
      <c r="F849" s="29">
        <f>RANK(D849,$D$23:$D$1022)</f>
        <v/>
      </c>
      <c r="G849" s="30">
        <f>COUNTIF($D$23:$D$1022,"&lt;"&amp;D849)+(COUNTIF($D$23:$D$1022,"="&amp;D849)+1)/2</f>
        <v/>
      </c>
    </row>
    <row r="850">
      <c r="B850" s="27">
        <f>'1 Data'!B839</f>
        <v/>
      </c>
      <c r="C850" s="28">
        <f>$C$12 + '1 Data'!C839*$C$13 + '1 Data'!D839*$C$14 + '1 Data'!E839*$C$15 + '1 Data'!F839*$C$16 + '1 Data'!G839*$C$17 + '1 Data'!H839*$C$18</f>
        <v/>
      </c>
      <c r="D850" s="23">
        <f>1/(1+EXP(-C850))</f>
        <v/>
      </c>
      <c r="E850" s="27">
        <f>'1 Data'!I839</f>
        <v/>
      </c>
      <c r="F850" s="29">
        <f>RANK(D850,$D$23:$D$1022)</f>
        <v/>
      </c>
      <c r="G850" s="30">
        <f>COUNTIF($D$23:$D$1022,"&lt;"&amp;D850)+(COUNTIF($D$23:$D$1022,"="&amp;D850)+1)/2</f>
        <v/>
      </c>
    </row>
    <row r="851">
      <c r="B851" s="27">
        <f>'1 Data'!B840</f>
        <v/>
      </c>
      <c r="C851" s="28">
        <f>$C$12 + '1 Data'!C840*$C$13 + '1 Data'!D840*$C$14 + '1 Data'!E840*$C$15 + '1 Data'!F840*$C$16 + '1 Data'!G840*$C$17 + '1 Data'!H840*$C$18</f>
        <v/>
      </c>
      <c r="D851" s="23">
        <f>1/(1+EXP(-C851))</f>
        <v/>
      </c>
      <c r="E851" s="27">
        <f>'1 Data'!I840</f>
        <v/>
      </c>
      <c r="F851" s="29">
        <f>RANK(D851,$D$23:$D$1022)</f>
        <v/>
      </c>
      <c r="G851" s="30">
        <f>COUNTIF($D$23:$D$1022,"&lt;"&amp;D851)+(COUNTIF($D$23:$D$1022,"="&amp;D851)+1)/2</f>
        <v/>
      </c>
    </row>
    <row r="852">
      <c r="B852" s="27">
        <f>'1 Data'!B841</f>
        <v/>
      </c>
      <c r="C852" s="28">
        <f>$C$12 + '1 Data'!C841*$C$13 + '1 Data'!D841*$C$14 + '1 Data'!E841*$C$15 + '1 Data'!F841*$C$16 + '1 Data'!G841*$C$17 + '1 Data'!H841*$C$18</f>
        <v/>
      </c>
      <c r="D852" s="23">
        <f>1/(1+EXP(-C852))</f>
        <v/>
      </c>
      <c r="E852" s="27">
        <f>'1 Data'!I841</f>
        <v/>
      </c>
      <c r="F852" s="29">
        <f>RANK(D852,$D$23:$D$1022)</f>
        <v/>
      </c>
      <c r="G852" s="30">
        <f>COUNTIF($D$23:$D$1022,"&lt;"&amp;D852)+(COUNTIF($D$23:$D$1022,"="&amp;D852)+1)/2</f>
        <v/>
      </c>
    </row>
    <row r="853">
      <c r="B853" s="27">
        <f>'1 Data'!B842</f>
        <v/>
      </c>
      <c r="C853" s="28">
        <f>$C$12 + '1 Data'!C842*$C$13 + '1 Data'!D842*$C$14 + '1 Data'!E842*$C$15 + '1 Data'!F842*$C$16 + '1 Data'!G842*$C$17 + '1 Data'!H842*$C$18</f>
        <v/>
      </c>
      <c r="D853" s="23">
        <f>1/(1+EXP(-C853))</f>
        <v/>
      </c>
      <c r="E853" s="27">
        <f>'1 Data'!I842</f>
        <v/>
      </c>
      <c r="F853" s="29">
        <f>RANK(D853,$D$23:$D$1022)</f>
        <v/>
      </c>
      <c r="G853" s="30">
        <f>COUNTIF($D$23:$D$1022,"&lt;"&amp;D853)+(COUNTIF($D$23:$D$1022,"="&amp;D853)+1)/2</f>
        <v/>
      </c>
    </row>
    <row r="854">
      <c r="B854" s="27">
        <f>'1 Data'!B843</f>
        <v/>
      </c>
      <c r="C854" s="28">
        <f>$C$12 + '1 Data'!C843*$C$13 + '1 Data'!D843*$C$14 + '1 Data'!E843*$C$15 + '1 Data'!F843*$C$16 + '1 Data'!G843*$C$17 + '1 Data'!H843*$C$18</f>
        <v/>
      </c>
      <c r="D854" s="23">
        <f>1/(1+EXP(-C854))</f>
        <v/>
      </c>
      <c r="E854" s="27">
        <f>'1 Data'!I843</f>
        <v/>
      </c>
      <c r="F854" s="29">
        <f>RANK(D854,$D$23:$D$1022)</f>
        <v/>
      </c>
      <c r="G854" s="30">
        <f>COUNTIF($D$23:$D$1022,"&lt;"&amp;D854)+(COUNTIF($D$23:$D$1022,"="&amp;D854)+1)/2</f>
        <v/>
      </c>
    </row>
    <row r="855">
      <c r="B855" s="27">
        <f>'1 Data'!B844</f>
        <v/>
      </c>
      <c r="C855" s="28">
        <f>$C$12 + '1 Data'!C844*$C$13 + '1 Data'!D844*$C$14 + '1 Data'!E844*$C$15 + '1 Data'!F844*$C$16 + '1 Data'!G844*$C$17 + '1 Data'!H844*$C$18</f>
        <v/>
      </c>
      <c r="D855" s="23">
        <f>1/(1+EXP(-C855))</f>
        <v/>
      </c>
      <c r="E855" s="27">
        <f>'1 Data'!I844</f>
        <v/>
      </c>
      <c r="F855" s="29">
        <f>RANK(D855,$D$23:$D$1022)</f>
        <v/>
      </c>
      <c r="G855" s="30">
        <f>COUNTIF($D$23:$D$1022,"&lt;"&amp;D855)+(COUNTIF($D$23:$D$1022,"="&amp;D855)+1)/2</f>
        <v/>
      </c>
    </row>
    <row r="856">
      <c r="B856" s="27">
        <f>'1 Data'!B845</f>
        <v/>
      </c>
      <c r="C856" s="28">
        <f>$C$12 + '1 Data'!C845*$C$13 + '1 Data'!D845*$C$14 + '1 Data'!E845*$C$15 + '1 Data'!F845*$C$16 + '1 Data'!G845*$C$17 + '1 Data'!H845*$C$18</f>
        <v/>
      </c>
      <c r="D856" s="23">
        <f>1/(1+EXP(-C856))</f>
        <v/>
      </c>
      <c r="E856" s="27">
        <f>'1 Data'!I845</f>
        <v/>
      </c>
      <c r="F856" s="29">
        <f>RANK(D856,$D$23:$D$1022)</f>
        <v/>
      </c>
      <c r="G856" s="30">
        <f>COUNTIF($D$23:$D$1022,"&lt;"&amp;D856)+(COUNTIF($D$23:$D$1022,"="&amp;D856)+1)/2</f>
        <v/>
      </c>
    </row>
    <row r="857">
      <c r="B857" s="27">
        <f>'1 Data'!B846</f>
        <v/>
      </c>
      <c r="C857" s="28">
        <f>$C$12 + '1 Data'!C846*$C$13 + '1 Data'!D846*$C$14 + '1 Data'!E846*$C$15 + '1 Data'!F846*$C$16 + '1 Data'!G846*$C$17 + '1 Data'!H846*$C$18</f>
        <v/>
      </c>
      <c r="D857" s="23">
        <f>1/(1+EXP(-C857))</f>
        <v/>
      </c>
      <c r="E857" s="27">
        <f>'1 Data'!I846</f>
        <v/>
      </c>
      <c r="F857" s="29">
        <f>RANK(D857,$D$23:$D$1022)</f>
        <v/>
      </c>
      <c r="G857" s="30">
        <f>COUNTIF($D$23:$D$1022,"&lt;"&amp;D857)+(COUNTIF($D$23:$D$1022,"="&amp;D857)+1)/2</f>
        <v/>
      </c>
    </row>
    <row r="858">
      <c r="B858" s="27">
        <f>'1 Data'!B847</f>
        <v/>
      </c>
      <c r="C858" s="28">
        <f>$C$12 + '1 Data'!C847*$C$13 + '1 Data'!D847*$C$14 + '1 Data'!E847*$C$15 + '1 Data'!F847*$C$16 + '1 Data'!G847*$C$17 + '1 Data'!H847*$C$18</f>
        <v/>
      </c>
      <c r="D858" s="23">
        <f>1/(1+EXP(-C858))</f>
        <v/>
      </c>
      <c r="E858" s="27">
        <f>'1 Data'!I847</f>
        <v/>
      </c>
      <c r="F858" s="29">
        <f>RANK(D858,$D$23:$D$1022)</f>
        <v/>
      </c>
      <c r="G858" s="30">
        <f>COUNTIF($D$23:$D$1022,"&lt;"&amp;D858)+(COUNTIF($D$23:$D$1022,"="&amp;D858)+1)/2</f>
        <v/>
      </c>
    </row>
    <row r="859">
      <c r="B859" s="27">
        <f>'1 Data'!B848</f>
        <v/>
      </c>
      <c r="C859" s="28">
        <f>$C$12 + '1 Data'!C848*$C$13 + '1 Data'!D848*$C$14 + '1 Data'!E848*$C$15 + '1 Data'!F848*$C$16 + '1 Data'!G848*$C$17 + '1 Data'!H848*$C$18</f>
        <v/>
      </c>
      <c r="D859" s="23">
        <f>1/(1+EXP(-C859))</f>
        <v/>
      </c>
      <c r="E859" s="27">
        <f>'1 Data'!I848</f>
        <v/>
      </c>
      <c r="F859" s="29">
        <f>RANK(D859,$D$23:$D$1022)</f>
        <v/>
      </c>
      <c r="G859" s="30">
        <f>COUNTIF($D$23:$D$1022,"&lt;"&amp;D859)+(COUNTIF($D$23:$D$1022,"="&amp;D859)+1)/2</f>
        <v/>
      </c>
    </row>
    <row r="860">
      <c r="B860" s="27">
        <f>'1 Data'!B849</f>
        <v/>
      </c>
      <c r="C860" s="28">
        <f>$C$12 + '1 Data'!C849*$C$13 + '1 Data'!D849*$C$14 + '1 Data'!E849*$C$15 + '1 Data'!F849*$C$16 + '1 Data'!G849*$C$17 + '1 Data'!H849*$C$18</f>
        <v/>
      </c>
      <c r="D860" s="23">
        <f>1/(1+EXP(-C860))</f>
        <v/>
      </c>
      <c r="E860" s="27">
        <f>'1 Data'!I849</f>
        <v/>
      </c>
      <c r="F860" s="29">
        <f>RANK(D860,$D$23:$D$1022)</f>
        <v/>
      </c>
      <c r="G860" s="30">
        <f>COUNTIF($D$23:$D$1022,"&lt;"&amp;D860)+(COUNTIF($D$23:$D$1022,"="&amp;D860)+1)/2</f>
        <v/>
      </c>
    </row>
    <row r="861">
      <c r="B861" s="27">
        <f>'1 Data'!B850</f>
        <v/>
      </c>
      <c r="C861" s="28">
        <f>$C$12 + '1 Data'!C850*$C$13 + '1 Data'!D850*$C$14 + '1 Data'!E850*$C$15 + '1 Data'!F850*$C$16 + '1 Data'!G850*$C$17 + '1 Data'!H850*$C$18</f>
        <v/>
      </c>
      <c r="D861" s="23">
        <f>1/(1+EXP(-C861))</f>
        <v/>
      </c>
      <c r="E861" s="27">
        <f>'1 Data'!I850</f>
        <v/>
      </c>
      <c r="F861" s="29">
        <f>RANK(D861,$D$23:$D$1022)</f>
        <v/>
      </c>
      <c r="G861" s="30">
        <f>COUNTIF($D$23:$D$1022,"&lt;"&amp;D861)+(COUNTIF($D$23:$D$1022,"="&amp;D861)+1)/2</f>
        <v/>
      </c>
    </row>
    <row r="862">
      <c r="B862" s="27">
        <f>'1 Data'!B851</f>
        <v/>
      </c>
      <c r="C862" s="28">
        <f>$C$12 + '1 Data'!C851*$C$13 + '1 Data'!D851*$C$14 + '1 Data'!E851*$C$15 + '1 Data'!F851*$C$16 + '1 Data'!G851*$C$17 + '1 Data'!H851*$C$18</f>
        <v/>
      </c>
      <c r="D862" s="23">
        <f>1/(1+EXP(-C862))</f>
        <v/>
      </c>
      <c r="E862" s="27">
        <f>'1 Data'!I851</f>
        <v/>
      </c>
      <c r="F862" s="29">
        <f>RANK(D862,$D$23:$D$1022)</f>
        <v/>
      </c>
      <c r="G862" s="30">
        <f>COUNTIF($D$23:$D$1022,"&lt;"&amp;D862)+(COUNTIF($D$23:$D$1022,"="&amp;D862)+1)/2</f>
        <v/>
      </c>
    </row>
    <row r="863">
      <c r="B863" s="27">
        <f>'1 Data'!B852</f>
        <v/>
      </c>
      <c r="C863" s="28">
        <f>$C$12 + '1 Data'!C852*$C$13 + '1 Data'!D852*$C$14 + '1 Data'!E852*$C$15 + '1 Data'!F852*$C$16 + '1 Data'!G852*$C$17 + '1 Data'!H852*$C$18</f>
        <v/>
      </c>
      <c r="D863" s="23">
        <f>1/(1+EXP(-C863))</f>
        <v/>
      </c>
      <c r="E863" s="27">
        <f>'1 Data'!I852</f>
        <v/>
      </c>
      <c r="F863" s="29">
        <f>RANK(D863,$D$23:$D$1022)</f>
        <v/>
      </c>
      <c r="G863" s="30">
        <f>COUNTIF($D$23:$D$1022,"&lt;"&amp;D863)+(COUNTIF($D$23:$D$1022,"="&amp;D863)+1)/2</f>
        <v/>
      </c>
    </row>
    <row r="864">
      <c r="B864" s="27">
        <f>'1 Data'!B853</f>
        <v/>
      </c>
      <c r="C864" s="28">
        <f>$C$12 + '1 Data'!C853*$C$13 + '1 Data'!D853*$C$14 + '1 Data'!E853*$C$15 + '1 Data'!F853*$C$16 + '1 Data'!G853*$C$17 + '1 Data'!H853*$C$18</f>
        <v/>
      </c>
      <c r="D864" s="23">
        <f>1/(1+EXP(-C864))</f>
        <v/>
      </c>
      <c r="E864" s="27">
        <f>'1 Data'!I853</f>
        <v/>
      </c>
      <c r="F864" s="29">
        <f>RANK(D864,$D$23:$D$1022)</f>
        <v/>
      </c>
      <c r="G864" s="30">
        <f>COUNTIF($D$23:$D$1022,"&lt;"&amp;D864)+(COUNTIF($D$23:$D$1022,"="&amp;D864)+1)/2</f>
        <v/>
      </c>
    </row>
    <row r="865">
      <c r="B865" s="27">
        <f>'1 Data'!B854</f>
        <v/>
      </c>
      <c r="C865" s="28">
        <f>$C$12 + '1 Data'!C854*$C$13 + '1 Data'!D854*$C$14 + '1 Data'!E854*$C$15 + '1 Data'!F854*$C$16 + '1 Data'!G854*$C$17 + '1 Data'!H854*$C$18</f>
        <v/>
      </c>
      <c r="D865" s="23">
        <f>1/(1+EXP(-C865))</f>
        <v/>
      </c>
      <c r="E865" s="27">
        <f>'1 Data'!I854</f>
        <v/>
      </c>
      <c r="F865" s="29">
        <f>RANK(D865,$D$23:$D$1022)</f>
        <v/>
      </c>
      <c r="G865" s="30">
        <f>COUNTIF($D$23:$D$1022,"&lt;"&amp;D865)+(COUNTIF($D$23:$D$1022,"="&amp;D865)+1)/2</f>
        <v/>
      </c>
    </row>
    <row r="866">
      <c r="B866" s="27">
        <f>'1 Data'!B855</f>
        <v/>
      </c>
      <c r="C866" s="28">
        <f>$C$12 + '1 Data'!C855*$C$13 + '1 Data'!D855*$C$14 + '1 Data'!E855*$C$15 + '1 Data'!F855*$C$16 + '1 Data'!G855*$C$17 + '1 Data'!H855*$C$18</f>
        <v/>
      </c>
      <c r="D866" s="23">
        <f>1/(1+EXP(-C866))</f>
        <v/>
      </c>
      <c r="E866" s="27">
        <f>'1 Data'!I855</f>
        <v/>
      </c>
      <c r="F866" s="29">
        <f>RANK(D866,$D$23:$D$1022)</f>
        <v/>
      </c>
      <c r="G866" s="30">
        <f>COUNTIF($D$23:$D$1022,"&lt;"&amp;D866)+(COUNTIF($D$23:$D$1022,"="&amp;D866)+1)/2</f>
        <v/>
      </c>
    </row>
    <row r="867">
      <c r="B867" s="27">
        <f>'1 Data'!B856</f>
        <v/>
      </c>
      <c r="C867" s="28">
        <f>$C$12 + '1 Data'!C856*$C$13 + '1 Data'!D856*$C$14 + '1 Data'!E856*$C$15 + '1 Data'!F856*$C$16 + '1 Data'!G856*$C$17 + '1 Data'!H856*$C$18</f>
        <v/>
      </c>
      <c r="D867" s="23">
        <f>1/(1+EXP(-C867))</f>
        <v/>
      </c>
      <c r="E867" s="27">
        <f>'1 Data'!I856</f>
        <v/>
      </c>
      <c r="F867" s="29">
        <f>RANK(D867,$D$23:$D$1022)</f>
        <v/>
      </c>
      <c r="G867" s="30">
        <f>COUNTIF($D$23:$D$1022,"&lt;"&amp;D867)+(COUNTIF($D$23:$D$1022,"="&amp;D867)+1)/2</f>
        <v/>
      </c>
    </row>
    <row r="868">
      <c r="B868" s="27">
        <f>'1 Data'!B857</f>
        <v/>
      </c>
      <c r="C868" s="28">
        <f>$C$12 + '1 Data'!C857*$C$13 + '1 Data'!D857*$C$14 + '1 Data'!E857*$C$15 + '1 Data'!F857*$C$16 + '1 Data'!G857*$C$17 + '1 Data'!H857*$C$18</f>
        <v/>
      </c>
      <c r="D868" s="23">
        <f>1/(1+EXP(-C868))</f>
        <v/>
      </c>
      <c r="E868" s="27">
        <f>'1 Data'!I857</f>
        <v/>
      </c>
      <c r="F868" s="29">
        <f>RANK(D868,$D$23:$D$1022)</f>
        <v/>
      </c>
      <c r="G868" s="30">
        <f>COUNTIF($D$23:$D$1022,"&lt;"&amp;D868)+(COUNTIF($D$23:$D$1022,"="&amp;D868)+1)/2</f>
        <v/>
      </c>
    </row>
    <row r="869">
      <c r="B869" s="27">
        <f>'1 Data'!B858</f>
        <v/>
      </c>
      <c r="C869" s="28">
        <f>$C$12 + '1 Data'!C858*$C$13 + '1 Data'!D858*$C$14 + '1 Data'!E858*$C$15 + '1 Data'!F858*$C$16 + '1 Data'!G858*$C$17 + '1 Data'!H858*$C$18</f>
        <v/>
      </c>
      <c r="D869" s="23">
        <f>1/(1+EXP(-C869))</f>
        <v/>
      </c>
      <c r="E869" s="27">
        <f>'1 Data'!I858</f>
        <v/>
      </c>
      <c r="F869" s="29">
        <f>RANK(D869,$D$23:$D$1022)</f>
        <v/>
      </c>
      <c r="G869" s="30">
        <f>COUNTIF($D$23:$D$1022,"&lt;"&amp;D869)+(COUNTIF($D$23:$D$1022,"="&amp;D869)+1)/2</f>
        <v/>
      </c>
    </row>
    <row r="870">
      <c r="B870" s="27">
        <f>'1 Data'!B859</f>
        <v/>
      </c>
      <c r="C870" s="28">
        <f>$C$12 + '1 Data'!C859*$C$13 + '1 Data'!D859*$C$14 + '1 Data'!E859*$C$15 + '1 Data'!F859*$C$16 + '1 Data'!G859*$C$17 + '1 Data'!H859*$C$18</f>
        <v/>
      </c>
      <c r="D870" s="23">
        <f>1/(1+EXP(-C870))</f>
        <v/>
      </c>
      <c r="E870" s="27">
        <f>'1 Data'!I859</f>
        <v/>
      </c>
      <c r="F870" s="29">
        <f>RANK(D870,$D$23:$D$1022)</f>
        <v/>
      </c>
      <c r="G870" s="30">
        <f>COUNTIF($D$23:$D$1022,"&lt;"&amp;D870)+(COUNTIF($D$23:$D$1022,"="&amp;D870)+1)/2</f>
        <v/>
      </c>
    </row>
    <row r="871">
      <c r="B871" s="27">
        <f>'1 Data'!B860</f>
        <v/>
      </c>
      <c r="C871" s="28">
        <f>$C$12 + '1 Data'!C860*$C$13 + '1 Data'!D860*$C$14 + '1 Data'!E860*$C$15 + '1 Data'!F860*$C$16 + '1 Data'!G860*$C$17 + '1 Data'!H860*$C$18</f>
        <v/>
      </c>
      <c r="D871" s="23">
        <f>1/(1+EXP(-C871))</f>
        <v/>
      </c>
      <c r="E871" s="27">
        <f>'1 Data'!I860</f>
        <v/>
      </c>
      <c r="F871" s="29">
        <f>RANK(D871,$D$23:$D$1022)</f>
        <v/>
      </c>
      <c r="G871" s="30">
        <f>COUNTIF($D$23:$D$1022,"&lt;"&amp;D871)+(COUNTIF($D$23:$D$1022,"="&amp;D871)+1)/2</f>
        <v/>
      </c>
    </row>
    <row r="872">
      <c r="B872" s="27">
        <f>'1 Data'!B861</f>
        <v/>
      </c>
      <c r="C872" s="28">
        <f>$C$12 + '1 Data'!C861*$C$13 + '1 Data'!D861*$C$14 + '1 Data'!E861*$C$15 + '1 Data'!F861*$C$16 + '1 Data'!G861*$C$17 + '1 Data'!H861*$C$18</f>
        <v/>
      </c>
      <c r="D872" s="23">
        <f>1/(1+EXP(-C872))</f>
        <v/>
      </c>
      <c r="E872" s="27">
        <f>'1 Data'!I861</f>
        <v/>
      </c>
      <c r="F872" s="29">
        <f>RANK(D872,$D$23:$D$1022)</f>
        <v/>
      </c>
      <c r="G872" s="30">
        <f>COUNTIF($D$23:$D$1022,"&lt;"&amp;D872)+(COUNTIF($D$23:$D$1022,"="&amp;D872)+1)/2</f>
        <v/>
      </c>
    </row>
    <row r="873">
      <c r="B873" s="27">
        <f>'1 Data'!B862</f>
        <v/>
      </c>
      <c r="C873" s="28">
        <f>$C$12 + '1 Data'!C862*$C$13 + '1 Data'!D862*$C$14 + '1 Data'!E862*$C$15 + '1 Data'!F862*$C$16 + '1 Data'!G862*$C$17 + '1 Data'!H862*$C$18</f>
        <v/>
      </c>
      <c r="D873" s="23">
        <f>1/(1+EXP(-C873))</f>
        <v/>
      </c>
      <c r="E873" s="27">
        <f>'1 Data'!I862</f>
        <v/>
      </c>
      <c r="F873" s="29">
        <f>RANK(D873,$D$23:$D$1022)</f>
        <v/>
      </c>
      <c r="G873" s="30">
        <f>COUNTIF($D$23:$D$1022,"&lt;"&amp;D873)+(COUNTIF($D$23:$D$1022,"="&amp;D873)+1)/2</f>
        <v/>
      </c>
    </row>
    <row r="874">
      <c r="B874" s="27">
        <f>'1 Data'!B863</f>
        <v/>
      </c>
      <c r="C874" s="28">
        <f>$C$12 + '1 Data'!C863*$C$13 + '1 Data'!D863*$C$14 + '1 Data'!E863*$C$15 + '1 Data'!F863*$C$16 + '1 Data'!G863*$C$17 + '1 Data'!H863*$C$18</f>
        <v/>
      </c>
      <c r="D874" s="23">
        <f>1/(1+EXP(-C874))</f>
        <v/>
      </c>
      <c r="E874" s="27">
        <f>'1 Data'!I863</f>
        <v/>
      </c>
      <c r="F874" s="29">
        <f>RANK(D874,$D$23:$D$1022)</f>
        <v/>
      </c>
      <c r="G874" s="30">
        <f>COUNTIF($D$23:$D$1022,"&lt;"&amp;D874)+(COUNTIF($D$23:$D$1022,"="&amp;D874)+1)/2</f>
        <v/>
      </c>
    </row>
    <row r="875">
      <c r="B875" s="27">
        <f>'1 Data'!B864</f>
        <v/>
      </c>
      <c r="C875" s="28">
        <f>$C$12 + '1 Data'!C864*$C$13 + '1 Data'!D864*$C$14 + '1 Data'!E864*$C$15 + '1 Data'!F864*$C$16 + '1 Data'!G864*$C$17 + '1 Data'!H864*$C$18</f>
        <v/>
      </c>
      <c r="D875" s="23">
        <f>1/(1+EXP(-C875))</f>
        <v/>
      </c>
      <c r="E875" s="27">
        <f>'1 Data'!I864</f>
        <v/>
      </c>
      <c r="F875" s="29">
        <f>RANK(D875,$D$23:$D$1022)</f>
        <v/>
      </c>
      <c r="G875" s="30">
        <f>COUNTIF($D$23:$D$1022,"&lt;"&amp;D875)+(COUNTIF($D$23:$D$1022,"="&amp;D875)+1)/2</f>
        <v/>
      </c>
    </row>
    <row r="876">
      <c r="B876" s="27">
        <f>'1 Data'!B865</f>
        <v/>
      </c>
      <c r="C876" s="28">
        <f>$C$12 + '1 Data'!C865*$C$13 + '1 Data'!D865*$C$14 + '1 Data'!E865*$C$15 + '1 Data'!F865*$C$16 + '1 Data'!G865*$C$17 + '1 Data'!H865*$C$18</f>
        <v/>
      </c>
      <c r="D876" s="23">
        <f>1/(1+EXP(-C876))</f>
        <v/>
      </c>
      <c r="E876" s="27">
        <f>'1 Data'!I865</f>
        <v/>
      </c>
      <c r="F876" s="29">
        <f>RANK(D876,$D$23:$D$1022)</f>
        <v/>
      </c>
      <c r="G876" s="30">
        <f>COUNTIF($D$23:$D$1022,"&lt;"&amp;D876)+(COUNTIF($D$23:$D$1022,"="&amp;D876)+1)/2</f>
        <v/>
      </c>
    </row>
    <row r="877">
      <c r="B877" s="27">
        <f>'1 Data'!B866</f>
        <v/>
      </c>
      <c r="C877" s="28">
        <f>$C$12 + '1 Data'!C866*$C$13 + '1 Data'!D866*$C$14 + '1 Data'!E866*$C$15 + '1 Data'!F866*$C$16 + '1 Data'!G866*$C$17 + '1 Data'!H866*$C$18</f>
        <v/>
      </c>
      <c r="D877" s="23">
        <f>1/(1+EXP(-C877))</f>
        <v/>
      </c>
      <c r="E877" s="27">
        <f>'1 Data'!I866</f>
        <v/>
      </c>
      <c r="F877" s="29">
        <f>RANK(D877,$D$23:$D$1022)</f>
        <v/>
      </c>
      <c r="G877" s="30">
        <f>COUNTIF($D$23:$D$1022,"&lt;"&amp;D877)+(COUNTIF($D$23:$D$1022,"="&amp;D877)+1)/2</f>
        <v/>
      </c>
    </row>
    <row r="878">
      <c r="B878" s="27">
        <f>'1 Data'!B867</f>
        <v/>
      </c>
      <c r="C878" s="28">
        <f>$C$12 + '1 Data'!C867*$C$13 + '1 Data'!D867*$C$14 + '1 Data'!E867*$C$15 + '1 Data'!F867*$C$16 + '1 Data'!G867*$C$17 + '1 Data'!H867*$C$18</f>
        <v/>
      </c>
      <c r="D878" s="23">
        <f>1/(1+EXP(-C878))</f>
        <v/>
      </c>
      <c r="E878" s="27">
        <f>'1 Data'!I867</f>
        <v/>
      </c>
      <c r="F878" s="29">
        <f>RANK(D878,$D$23:$D$1022)</f>
        <v/>
      </c>
      <c r="G878" s="30">
        <f>COUNTIF($D$23:$D$1022,"&lt;"&amp;D878)+(COUNTIF($D$23:$D$1022,"="&amp;D878)+1)/2</f>
        <v/>
      </c>
    </row>
    <row r="879">
      <c r="B879" s="27">
        <f>'1 Data'!B868</f>
        <v/>
      </c>
      <c r="C879" s="28">
        <f>$C$12 + '1 Data'!C868*$C$13 + '1 Data'!D868*$C$14 + '1 Data'!E868*$C$15 + '1 Data'!F868*$C$16 + '1 Data'!G868*$C$17 + '1 Data'!H868*$C$18</f>
        <v/>
      </c>
      <c r="D879" s="23">
        <f>1/(1+EXP(-C879))</f>
        <v/>
      </c>
      <c r="E879" s="27">
        <f>'1 Data'!I868</f>
        <v/>
      </c>
      <c r="F879" s="29">
        <f>RANK(D879,$D$23:$D$1022)</f>
        <v/>
      </c>
      <c r="G879" s="30">
        <f>COUNTIF($D$23:$D$1022,"&lt;"&amp;D879)+(COUNTIF($D$23:$D$1022,"="&amp;D879)+1)/2</f>
        <v/>
      </c>
    </row>
    <row r="880">
      <c r="B880" s="27">
        <f>'1 Data'!B869</f>
        <v/>
      </c>
      <c r="C880" s="28">
        <f>$C$12 + '1 Data'!C869*$C$13 + '1 Data'!D869*$C$14 + '1 Data'!E869*$C$15 + '1 Data'!F869*$C$16 + '1 Data'!G869*$C$17 + '1 Data'!H869*$C$18</f>
        <v/>
      </c>
      <c r="D880" s="23">
        <f>1/(1+EXP(-C880))</f>
        <v/>
      </c>
      <c r="E880" s="27">
        <f>'1 Data'!I869</f>
        <v/>
      </c>
      <c r="F880" s="29">
        <f>RANK(D880,$D$23:$D$1022)</f>
        <v/>
      </c>
      <c r="G880" s="30">
        <f>COUNTIF($D$23:$D$1022,"&lt;"&amp;D880)+(COUNTIF($D$23:$D$1022,"="&amp;D880)+1)/2</f>
        <v/>
      </c>
    </row>
    <row r="881">
      <c r="B881" s="27">
        <f>'1 Data'!B870</f>
        <v/>
      </c>
      <c r="C881" s="28">
        <f>$C$12 + '1 Data'!C870*$C$13 + '1 Data'!D870*$C$14 + '1 Data'!E870*$C$15 + '1 Data'!F870*$C$16 + '1 Data'!G870*$C$17 + '1 Data'!H870*$C$18</f>
        <v/>
      </c>
      <c r="D881" s="23">
        <f>1/(1+EXP(-C881))</f>
        <v/>
      </c>
      <c r="E881" s="27">
        <f>'1 Data'!I870</f>
        <v/>
      </c>
      <c r="F881" s="29">
        <f>RANK(D881,$D$23:$D$1022)</f>
        <v/>
      </c>
      <c r="G881" s="30">
        <f>COUNTIF($D$23:$D$1022,"&lt;"&amp;D881)+(COUNTIF($D$23:$D$1022,"="&amp;D881)+1)/2</f>
        <v/>
      </c>
    </row>
    <row r="882">
      <c r="B882" s="27">
        <f>'1 Data'!B871</f>
        <v/>
      </c>
      <c r="C882" s="28">
        <f>$C$12 + '1 Data'!C871*$C$13 + '1 Data'!D871*$C$14 + '1 Data'!E871*$C$15 + '1 Data'!F871*$C$16 + '1 Data'!G871*$C$17 + '1 Data'!H871*$C$18</f>
        <v/>
      </c>
      <c r="D882" s="23">
        <f>1/(1+EXP(-C882))</f>
        <v/>
      </c>
      <c r="E882" s="27">
        <f>'1 Data'!I871</f>
        <v/>
      </c>
      <c r="F882" s="29">
        <f>RANK(D882,$D$23:$D$1022)</f>
        <v/>
      </c>
      <c r="G882" s="30">
        <f>COUNTIF($D$23:$D$1022,"&lt;"&amp;D882)+(COUNTIF($D$23:$D$1022,"="&amp;D882)+1)/2</f>
        <v/>
      </c>
    </row>
    <row r="883">
      <c r="B883" s="27">
        <f>'1 Data'!B872</f>
        <v/>
      </c>
      <c r="C883" s="28">
        <f>$C$12 + '1 Data'!C872*$C$13 + '1 Data'!D872*$C$14 + '1 Data'!E872*$C$15 + '1 Data'!F872*$C$16 + '1 Data'!G872*$C$17 + '1 Data'!H872*$C$18</f>
        <v/>
      </c>
      <c r="D883" s="23">
        <f>1/(1+EXP(-C883))</f>
        <v/>
      </c>
      <c r="E883" s="27">
        <f>'1 Data'!I872</f>
        <v/>
      </c>
      <c r="F883" s="29">
        <f>RANK(D883,$D$23:$D$1022)</f>
        <v/>
      </c>
      <c r="G883" s="30">
        <f>COUNTIF($D$23:$D$1022,"&lt;"&amp;D883)+(COUNTIF($D$23:$D$1022,"="&amp;D883)+1)/2</f>
        <v/>
      </c>
    </row>
    <row r="884">
      <c r="B884" s="27">
        <f>'1 Data'!B873</f>
        <v/>
      </c>
      <c r="C884" s="28">
        <f>$C$12 + '1 Data'!C873*$C$13 + '1 Data'!D873*$C$14 + '1 Data'!E873*$C$15 + '1 Data'!F873*$C$16 + '1 Data'!G873*$C$17 + '1 Data'!H873*$C$18</f>
        <v/>
      </c>
      <c r="D884" s="23">
        <f>1/(1+EXP(-C884))</f>
        <v/>
      </c>
      <c r="E884" s="27">
        <f>'1 Data'!I873</f>
        <v/>
      </c>
      <c r="F884" s="29">
        <f>RANK(D884,$D$23:$D$1022)</f>
        <v/>
      </c>
      <c r="G884" s="30">
        <f>COUNTIF($D$23:$D$1022,"&lt;"&amp;D884)+(COUNTIF($D$23:$D$1022,"="&amp;D884)+1)/2</f>
        <v/>
      </c>
    </row>
    <row r="885">
      <c r="B885" s="27">
        <f>'1 Data'!B874</f>
        <v/>
      </c>
      <c r="C885" s="28">
        <f>$C$12 + '1 Data'!C874*$C$13 + '1 Data'!D874*$C$14 + '1 Data'!E874*$C$15 + '1 Data'!F874*$C$16 + '1 Data'!G874*$C$17 + '1 Data'!H874*$C$18</f>
        <v/>
      </c>
      <c r="D885" s="23">
        <f>1/(1+EXP(-C885))</f>
        <v/>
      </c>
      <c r="E885" s="27">
        <f>'1 Data'!I874</f>
        <v/>
      </c>
      <c r="F885" s="29">
        <f>RANK(D885,$D$23:$D$1022)</f>
        <v/>
      </c>
      <c r="G885" s="30">
        <f>COUNTIF($D$23:$D$1022,"&lt;"&amp;D885)+(COUNTIF($D$23:$D$1022,"="&amp;D885)+1)/2</f>
        <v/>
      </c>
    </row>
    <row r="886">
      <c r="B886" s="27">
        <f>'1 Data'!B875</f>
        <v/>
      </c>
      <c r="C886" s="28">
        <f>$C$12 + '1 Data'!C875*$C$13 + '1 Data'!D875*$C$14 + '1 Data'!E875*$C$15 + '1 Data'!F875*$C$16 + '1 Data'!G875*$C$17 + '1 Data'!H875*$C$18</f>
        <v/>
      </c>
      <c r="D886" s="23">
        <f>1/(1+EXP(-C886))</f>
        <v/>
      </c>
      <c r="E886" s="27">
        <f>'1 Data'!I875</f>
        <v/>
      </c>
      <c r="F886" s="29">
        <f>RANK(D886,$D$23:$D$1022)</f>
        <v/>
      </c>
      <c r="G886" s="30">
        <f>COUNTIF($D$23:$D$1022,"&lt;"&amp;D886)+(COUNTIF($D$23:$D$1022,"="&amp;D886)+1)/2</f>
        <v/>
      </c>
    </row>
    <row r="887">
      <c r="B887" s="27">
        <f>'1 Data'!B876</f>
        <v/>
      </c>
      <c r="C887" s="28">
        <f>$C$12 + '1 Data'!C876*$C$13 + '1 Data'!D876*$C$14 + '1 Data'!E876*$C$15 + '1 Data'!F876*$C$16 + '1 Data'!G876*$C$17 + '1 Data'!H876*$C$18</f>
        <v/>
      </c>
      <c r="D887" s="23">
        <f>1/(1+EXP(-C887))</f>
        <v/>
      </c>
      <c r="E887" s="27">
        <f>'1 Data'!I876</f>
        <v/>
      </c>
      <c r="F887" s="29">
        <f>RANK(D887,$D$23:$D$1022)</f>
        <v/>
      </c>
      <c r="G887" s="30">
        <f>COUNTIF($D$23:$D$1022,"&lt;"&amp;D887)+(COUNTIF($D$23:$D$1022,"="&amp;D887)+1)/2</f>
        <v/>
      </c>
    </row>
    <row r="888">
      <c r="B888" s="27">
        <f>'1 Data'!B877</f>
        <v/>
      </c>
      <c r="C888" s="28">
        <f>$C$12 + '1 Data'!C877*$C$13 + '1 Data'!D877*$C$14 + '1 Data'!E877*$C$15 + '1 Data'!F877*$C$16 + '1 Data'!G877*$C$17 + '1 Data'!H877*$C$18</f>
        <v/>
      </c>
      <c r="D888" s="23">
        <f>1/(1+EXP(-C888))</f>
        <v/>
      </c>
      <c r="E888" s="27">
        <f>'1 Data'!I877</f>
        <v/>
      </c>
      <c r="F888" s="29">
        <f>RANK(D888,$D$23:$D$1022)</f>
        <v/>
      </c>
      <c r="G888" s="30">
        <f>COUNTIF($D$23:$D$1022,"&lt;"&amp;D888)+(COUNTIF($D$23:$D$1022,"="&amp;D888)+1)/2</f>
        <v/>
      </c>
    </row>
    <row r="889">
      <c r="B889" s="27">
        <f>'1 Data'!B878</f>
        <v/>
      </c>
      <c r="C889" s="28">
        <f>$C$12 + '1 Data'!C878*$C$13 + '1 Data'!D878*$C$14 + '1 Data'!E878*$C$15 + '1 Data'!F878*$C$16 + '1 Data'!G878*$C$17 + '1 Data'!H878*$C$18</f>
        <v/>
      </c>
      <c r="D889" s="23">
        <f>1/(1+EXP(-C889))</f>
        <v/>
      </c>
      <c r="E889" s="27">
        <f>'1 Data'!I878</f>
        <v/>
      </c>
      <c r="F889" s="29">
        <f>RANK(D889,$D$23:$D$1022)</f>
        <v/>
      </c>
      <c r="G889" s="30">
        <f>COUNTIF($D$23:$D$1022,"&lt;"&amp;D889)+(COUNTIF($D$23:$D$1022,"="&amp;D889)+1)/2</f>
        <v/>
      </c>
    </row>
    <row r="890">
      <c r="B890" s="27">
        <f>'1 Data'!B879</f>
        <v/>
      </c>
      <c r="C890" s="28">
        <f>$C$12 + '1 Data'!C879*$C$13 + '1 Data'!D879*$C$14 + '1 Data'!E879*$C$15 + '1 Data'!F879*$C$16 + '1 Data'!G879*$C$17 + '1 Data'!H879*$C$18</f>
        <v/>
      </c>
      <c r="D890" s="23">
        <f>1/(1+EXP(-C890))</f>
        <v/>
      </c>
      <c r="E890" s="27">
        <f>'1 Data'!I879</f>
        <v/>
      </c>
      <c r="F890" s="29">
        <f>RANK(D890,$D$23:$D$1022)</f>
        <v/>
      </c>
      <c r="G890" s="30">
        <f>COUNTIF($D$23:$D$1022,"&lt;"&amp;D890)+(COUNTIF($D$23:$D$1022,"="&amp;D890)+1)/2</f>
        <v/>
      </c>
    </row>
    <row r="891">
      <c r="B891" s="27">
        <f>'1 Data'!B880</f>
        <v/>
      </c>
      <c r="C891" s="28">
        <f>$C$12 + '1 Data'!C880*$C$13 + '1 Data'!D880*$C$14 + '1 Data'!E880*$C$15 + '1 Data'!F880*$C$16 + '1 Data'!G880*$C$17 + '1 Data'!H880*$C$18</f>
        <v/>
      </c>
      <c r="D891" s="23">
        <f>1/(1+EXP(-C891))</f>
        <v/>
      </c>
      <c r="E891" s="27">
        <f>'1 Data'!I880</f>
        <v/>
      </c>
      <c r="F891" s="29">
        <f>RANK(D891,$D$23:$D$1022)</f>
        <v/>
      </c>
      <c r="G891" s="30">
        <f>COUNTIF($D$23:$D$1022,"&lt;"&amp;D891)+(COUNTIF($D$23:$D$1022,"="&amp;D891)+1)/2</f>
        <v/>
      </c>
    </row>
    <row r="892">
      <c r="B892" s="27">
        <f>'1 Data'!B881</f>
        <v/>
      </c>
      <c r="C892" s="28">
        <f>$C$12 + '1 Data'!C881*$C$13 + '1 Data'!D881*$C$14 + '1 Data'!E881*$C$15 + '1 Data'!F881*$C$16 + '1 Data'!G881*$C$17 + '1 Data'!H881*$C$18</f>
        <v/>
      </c>
      <c r="D892" s="23">
        <f>1/(1+EXP(-C892))</f>
        <v/>
      </c>
      <c r="E892" s="27">
        <f>'1 Data'!I881</f>
        <v/>
      </c>
      <c r="F892" s="29">
        <f>RANK(D892,$D$23:$D$1022)</f>
        <v/>
      </c>
      <c r="G892" s="30">
        <f>COUNTIF($D$23:$D$1022,"&lt;"&amp;D892)+(COUNTIF($D$23:$D$1022,"="&amp;D892)+1)/2</f>
        <v/>
      </c>
    </row>
    <row r="893">
      <c r="B893" s="27">
        <f>'1 Data'!B882</f>
        <v/>
      </c>
      <c r="C893" s="28">
        <f>$C$12 + '1 Data'!C882*$C$13 + '1 Data'!D882*$C$14 + '1 Data'!E882*$C$15 + '1 Data'!F882*$C$16 + '1 Data'!G882*$C$17 + '1 Data'!H882*$C$18</f>
        <v/>
      </c>
      <c r="D893" s="23">
        <f>1/(1+EXP(-C893))</f>
        <v/>
      </c>
      <c r="E893" s="27">
        <f>'1 Data'!I882</f>
        <v/>
      </c>
      <c r="F893" s="29">
        <f>RANK(D893,$D$23:$D$1022)</f>
        <v/>
      </c>
      <c r="G893" s="30">
        <f>COUNTIF($D$23:$D$1022,"&lt;"&amp;D893)+(COUNTIF($D$23:$D$1022,"="&amp;D893)+1)/2</f>
        <v/>
      </c>
    </row>
    <row r="894">
      <c r="B894" s="27">
        <f>'1 Data'!B883</f>
        <v/>
      </c>
      <c r="C894" s="28">
        <f>$C$12 + '1 Data'!C883*$C$13 + '1 Data'!D883*$C$14 + '1 Data'!E883*$C$15 + '1 Data'!F883*$C$16 + '1 Data'!G883*$C$17 + '1 Data'!H883*$C$18</f>
        <v/>
      </c>
      <c r="D894" s="23">
        <f>1/(1+EXP(-C894))</f>
        <v/>
      </c>
      <c r="E894" s="27">
        <f>'1 Data'!I883</f>
        <v/>
      </c>
      <c r="F894" s="29">
        <f>RANK(D894,$D$23:$D$1022)</f>
        <v/>
      </c>
      <c r="G894" s="30">
        <f>COUNTIF($D$23:$D$1022,"&lt;"&amp;D894)+(COUNTIF($D$23:$D$1022,"="&amp;D894)+1)/2</f>
        <v/>
      </c>
    </row>
    <row r="895">
      <c r="B895" s="27">
        <f>'1 Data'!B884</f>
        <v/>
      </c>
      <c r="C895" s="28">
        <f>$C$12 + '1 Data'!C884*$C$13 + '1 Data'!D884*$C$14 + '1 Data'!E884*$C$15 + '1 Data'!F884*$C$16 + '1 Data'!G884*$C$17 + '1 Data'!H884*$C$18</f>
        <v/>
      </c>
      <c r="D895" s="23">
        <f>1/(1+EXP(-C895))</f>
        <v/>
      </c>
      <c r="E895" s="27">
        <f>'1 Data'!I884</f>
        <v/>
      </c>
      <c r="F895" s="29">
        <f>RANK(D895,$D$23:$D$1022)</f>
        <v/>
      </c>
      <c r="G895" s="30">
        <f>COUNTIF($D$23:$D$1022,"&lt;"&amp;D895)+(COUNTIF($D$23:$D$1022,"="&amp;D895)+1)/2</f>
        <v/>
      </c>
    </row>
    <row r="896">
      <c r="B896" s="27">
        <f>'1 Data'!B885</f>
        <v/>
      </c>
      <c r="C896" s="28">
        <f>$C$12 + '1 Data'!C885*$C$13 + '1 Data'!D885*$C$14 + '1 Data'!E885*$C$15 + '1 Data'!F885*$C$16 + '1 Data'!G885*$C$17 + '1 Data'!H885*$C$18</f>
        <v/>
      </c>
      <c r="D896" s="23">
        <f>1/(1+EXP(-C896))</f>
        <v/>
      </c>
      <c r="E896" s="27">
        <f>'1 Data'!I885</f>
        <v/>
      </c>
      <c r="F896" s="29">
        <f>RANK(D896,$D$23:$D$1022)</f>
        <v/>
      </c>
      <c r="G896" s="30">
        <f>COUNTIF($D$23:$D$1022,"&lt;"&amp;D896)+(COUNTIF($D$23:$D$1022,"="&amp;D896)+1)/2</f>
        <v/>
      </c>
    </row>
    <row r="897">
      <c r="B897" s="27">
        <f>'1 Data'!B886</f>
        <v/>
      </c>
      <c r="C897" s="28">
        <f>$C$12 + '1 Data'!C886*$C$13 + '1 Data'!D886*$C$14 + '1 Data'!E886*$C$15 + '1 Data'!F886*$C$16 + '1 Data'!G886*$C$17 + '1 Data'!H886*$C$18</f>
        <v/>
      </c>
      <c r="D897" s="23">
        <f>1/(1+EXP(-C897))</f>
        <v/>
      </c>
      <c r="E897" s="27">
        <f>'1 Data'!I886</f>
        <v/>
      </c>
      <c r="F897" s="29">
        <f>RANK(D897,$D$23:$D$1022)</f>
        <v/>
      </c>
      <c r="G897" s="30">
        <f>COUNTIF($D$23:$D$1022,"&lt;"&amp;D897)+(COUNTIF($D$23:$D$1022,"="&amp;D897)+1)/2</f>
        <v/>
      </c>
    </row>
    <row r="898">
      <c r="B898" s="27">
        <f>'1 Data'!B887</f>
        <v/>
      </c>
      <c r="C898" s="28">
        <f>$C$12 + '1 Data'!C887*$C$13 + '1 Data'!D887*$C$14 + '1 Data'!E887*$C$15 + '1 Data'!F887*$C$16 + '1 Data'!G887*$C$17 + '1 Data'!H887*$C$18</f>
        <v/>
      </c>
      <c r="D898" s="23">
        <f>1/(1+EXP(-C898))</f>
        <v/>
      </c>
      <c r="E898" s="27">
        <f>'1 Data'!I887</f>
        <v/>
      </c>
      <c r="F898" s="29">
        <f>RANK(D898,$D$23:$D$1022)</f>
        <v/>
      </c>
      <c r="G898" s="30">
        <f>COUNTIF($D$23:$D$1022,"&lt;"&amp;D898)+(COUNTIF($D$23:$D$1022,"="&amp;D898)+1)/2</f>
        <v/>
      </c>
    </row>
    <row r="899">
      <c r="B899" s="27">
        <f>'1 Data'!B888</f>
        <v/>
      </c>
      <c r="C899" s="28">
        <f>$C$12 + '1 Data'!C888*$C$13 + '1 Data'!D888*$C$14 + '1 Data'!E888*$C$15 + '1 Data'!F888*$C$16 + '1 Data'!G888*$C$17 + '1 Data'!H888*$C$18</f>
        <v/>
      </c>
      <c r="D899" s="23">
        <f>1/(1+EXP(-C899))</f>
        <v/>
      </c>
      <c r="E899" s="27">
        <f>'1 Data'!I888</f>
        <v/>
      </c>
      <c r="F899" s="29">
        <f>RANK(D899,$D$23:$D$1022)</f>
        <v/>
      </c>
      <c r="G899" s="30">
        <f>COUNTIF($D$23:$D$1022,"&lt;"&amp;D899)+(COUNTIF($D$23:$D$1022,"="&amp;D899)+1)/2</f>
        <v/>
      </c>
    </row>
    <row r="900">
      <c r="B900" s="27">
        <f>'1 Data'!B889</f>
        <v/>
      </c>
      <c r="C900" s="28">
        <f>$C$12 + '1 Data'!C889*$C$13 + '1 Data'!D889*$C$14 + '1 Data'!E889*$C$15 + '1 Data'!F889*$C$16 + '1 Data'!G889*$C$17 + '1 Data'!H889*$C$18</f>
        <v/>
      </c>
      <c r="D900" s="23">
        <f>1/(1+EXP(-C900))</f>
        <v/>
      </c>
      <c r="E900" s="27">
        <f>'1 Data'!I889</f>
        <v/>
      </c>
      <c r="F900" s="29">
        <f>RANK(D900,$D$23:$D$1022)</f>
        <v/>
      </c>
      <c r="G900" s="30">
        <f>COUNTIF($D$23:$D$1022,"&lt;"&amp;D900)+(COUNTIF($D$23:$D$1022,"="&amp;D900)+1)/2</f>
        <v/>
      </c>
    </row>
    <row r="901">
      <c r="B901" s="27">
        <f>'1 Data'!B890</f>
        <v/>
      </c>
      <c r="C901" s="28">
        <f>$C$12 + '1 Data'!C890*$C$13 + '1 Data'!D890*$C$14 + '1 Data'!E890*$C$15 + '1 Data'!F890*$C$16 + '1 Data'!G890*$C$17 + '1 Data'!H890*$C$18</f>
        <v/>
      </c>
      <c r="D901" s="23">
        <f>1/(1+EXP(-C901))</f>
        <v/>
      </c>
      <c r="E901" s="27">
        <f>'1 Data'!I890</f>
        <v/>
      </c>
      <c r="F901" s="29">
        <f>RANK(D901,$D$23:$D$1022)</f>
        <v/>
      </c>
      <c r="G901" s="30">
        <f>COUNTIF($D$23:$D$1022,"&lt;"&amp;D901)+(COUNTIF($D$23:$D$1022,"="&amp;D901)+1)/2</f>
        <v/>
      </c>
    </row>
    <row r="902">
      <c r="B902" s="27">
        <f>'1 Data'!B891</f>
        <v/>
      </c>
      <c r="C902" s="28">
        <f>$C$12 + '1 Data'!C891*$C$13 + '1 Data'!D891*$C$14 + '1 Data'!E891*$C$15 + '1 Data'!F891*$C$16 + '1 Data'!G891*$C$17 + '1 Data'!H891*$C$18</f>
        <v/>
      </c>
      <c r="D902" s="23">
        <f>1/(1+EXP(-C902))</f>
        <v/>
      </c>
      <c r="E902" s="27">
        <f>'1 Data'!I891</f>
        <v/>
      </c>
      <c r="F902" s="29">
        <f>RANK(D902,$D$23:$D$1022)</f>
        <v/>
      </c>
      <c r="G902" s="30">
        <f>COUNTIF($D$23:$D$1022,"&lt;"&amp;D902)+(COUNTIF($D$23:$D$1022,"="&amp;D902)+1)/2</f>
        <v/>
      </c>
    </row>
    <row r="903">
      <c r="B903" s="27">
        <f>'1 Data'!B892</f>
        <v/>
      </c>
      <c r="C903" s="28">
        <f>$C$12 + '1 Data'!C892*$C$13 + '1 Data'!D892*$C$14 + '1 Data'!E892*$C$15 + '1 Data'!F892*$C$16 + '1 Data'!G892*$C$17 + '1 Data'!H892*$C$18</f>
        <v/>
      </c>
      <c r="D903" s="23">
        <f>1/(1+EXP(-C903))</f>
        <v/>
      </c>
      <c r="E903" s="27">
        <f>'1 Data'!I892</f>
        <v/>
      </c>
      <c r="F903" s="29">
        <f>RANK(D903,$D$23:$D$1022)</f>
        <v/>
      </c>
      <c r="G903" s="30">
        <f>COUNTIF($D$23:$D$1022,"&lt;"&amp;D903)+(COUNTIF($D$23:$D$1022,"="&amp;D903)+1)/2</f>
        <v/>
      </c>
    </row>
    <row r="904">
      <c r="B904" s="27">
        <f>'1 Data'!B893</f>
        <v/>
      </c>
      <c r="C904" s="28">
        <f>$C$12 + '1 Data'!C893*$C$13 + '1 Data'!D893*$C$14 + '1 Data'!E893*$C$15 + '1 Data'!F893*$C$16 + '1 Data'!G893*$C$17 + '1 Data'!H893*$C$18</f>
        <v/>
      </c>
      <c r="D904" s="23">
        <f>1/(1+EXP(-C904))</f>
        <v/>
      </c>
      <c r="E904" s="27">
        <f>'1 Data'!I893</f>
        <v/>
      </c>
      <c r="F904" s="29">
        <f>RANK(D904,$D$23:$D$1022)</f>
        <v/>
      </c>
      <c r="G904" s="30">
        <f>COUNTIF($D$23:$D$1022,"&lt;"&amp;D904)+(COUNTIF($D$23:$D$1022,"="&amp;D904)+1)/2</f>
        <v/>
      </c>
    </row>
    <row r="905">
      <c r="B905" s="27">
        <f>'1 Data'!B894</f>
        <v/>
      </c>
      <c r="C905" s="28">
        <f>$C$12 + '1 Data'!C894*$C$13 + '1 Data'!D894*$C$14 + '1 Data'!E894*$C$15 + '1 Data'!F894*$C$16 + '1 Data'!G894*$C$17 + '1 Data'!H894*$C$18</f>
        <v/>
      </c>
      <c r="D905" s="23">
        <f>1/(1+EXP(-C905))</f>
        <v/>
      </c>
      <c r="E905" s="27">
        <f>'1 Data'!I894</f>
        <v/>
      </c>
      <c r="F905" s="29">
        <f>RANK(D905,$D$23:$D$1022)</f>
        <v/>
      </c>
      <c r="G905" s="30">
        <f>COUNTIF($D$23:$D$1022,"&lt;"&amp;D905)+(COUNTIF($D$23:$D$1022,"="&amp;D905)+1)/2</f>
        <v/>
      </c>
    </row>
    <row r="906">
      <c r="B906" s="27">
        <f>'1 Data'!B895</f>
        <v/>
      </c>
      <c r="C906" s="28">
        <f>$C$12 + '1 Data'!C895*$C$13 + '1 Data'!D895*$C$14 + '1 Data'!E895*$C$15 + '1 Data'!F895*$C$16 + '1 Data'!G895*$C$17 + '1 Data'!H895*$C$18</f>
        <v/>
      </c>
      <c r="D906" s="23">
        <f>1/(1+EXP(-C906))</f>
        <v/>
      </c>
      <c r="E906" s="27">
        <f>'1 Data'!I895</f>
        <v/>
      </c>
      <c r="F906" s="29">
        <f>RANK(D906,$D$23:$D$1022)</f>
        <v/>
      </c>
      <c r="G906" s="30">
        <f>COUNTIF($D$23:$D$1022,"&lt;"&amp;D906)+(COUNTIF($D$23:$D$1022,"="&amp;D906)+1)/2</f>
        <v/>
      </c>
    </row>
    <row r="907">
      <c r="B907" s="27">
        <f>'1 Data'!B896</f>
        <v/>
      </c>
      <c r="C907" s="28">
        <f>$C$12 + '1 Data'!C896*$C$13 + '1 Data'!D896*$C$14 + '1 Data'!E896*$C$15 + '1 Data'!F896*$C$16 + '1 Data'!G896*$C$17 + '1 Data'!H896*$C$18</f>
        <v/>
      </c>
      <c r="D907" s="23">
        <f>1/(1+EXP(-C907))</f>
        <v/>
      </c>
      <c r="E907" s="27">
        <f>'1 Data'!I896</f>
        <v/>
      </c>
      <c r="F907" s="29">
        <f>RANK(D907,$D$23:$D$1022)</f>
        <v/>
      </c>
      <c r="G907" s="30">
        <f>COUNTIF($D$23:$D$1022,"&lt;"&amp;D907)+(COUNTIF($D$23:$D$1022,"="&amp;D907)+1)/2</f>
        <v/>
      </c>
    </row>
    <row r="908">
      <c r="B908" s="27">
        <f>'1 Data'!B897</f>
        <v/>
      </c>
      <c r="C908" s="28">
        <f>$C$12 + '1 Data'!C897*$C$13 + '1 Data'!D897*$C$14 + '1 Data'!E897*$C$15 + '1 Data'!F897*$C$16 + '1 Data'!G897*$C$17 + '1 Data'!H897*$C$18</f>
        <v/>
      </c>
      <c r="D908" s="23">
        <f>1/(1+EXP(-C908))</f>
        <v/>
      </c>
      <c r="E908" s="27">
        <f>'1 Data'!I897</f>
        <v/>
      </c>
      <c r="F908" s="29">
        <f>RANK(D908,$D$23:$D$1022)</f>
        <v/>
      </c>
      <c r="G908" s="30">
        <f>COUNTIF($D$23:$D$1022,"&lt;"&amp;D908)+(COUNTIF($D$23:$D$1022,"="&amp;D908)+1)/2</f>
        <v/>
      </c>
    </row>
    <row r="909">
      <c r="B909" s="27">
        <f>'1 Data'!B898</f>
        <v/>
      </c>
      <c r="C909" s="28">
        <f>$C$12 + '1 Data'!C898*$C$13 + '1 Data'!D898*$C$14 + '1 Data'!E898*$C$15 + '1 Data'!F898*$C$16 + '1 Data'!G898*$C$17 + '1 Data'!H898*$C$18</f>
        <v/>
      </c>
      <c r="D909" s="23">
        <f>1/(1+EXP(-C909))</f>
        <v/>
      </c>
      <c r="E909" s="27">
        <f>'1 Data'!I898</f>
        <v/>
      </c>
      <c r="F909" s="29">
        <f>RANK(D909,$D$23:$D$1022)</f>
        <v/>
      </c>
      <c r="G909" s="30">
        <f>COUNTIF($D$23:$D$1022,"&lt;"&amp;D909)+(COUNTIF($D$23:$D$1022,"="&amp;D909)+1)/2</f>
        <v/>
      </c>
    </row>
    <row r="910">
      <c r="B910" s="27">
        <f>'1 Data'!B899</f>
        <v/>
      </c>
      <c r="C910" s="28">
        <f>$C$12 + '1 Data'!C899*$C$13 + '1 Data'!D899*$C$14 + '1 Data'!E899*$C$15 + '1 Data'!F899*$C$16 + '1 Data'!G899*$C$17 + '1 Data'!H899*$C$18</f>
        <v/>
      </c>
      <c r="D910" s="23">
        <f>1/(1+EXP(-C910))</f>
        <v/>
      </c>
      <c r="E910" s="27">
        <f>'1 Data'!I899</f>
        <v/>
      </c>
      <c r="F910" s="29">
        <f>RANK(D910,$D$23:$D$1022)</f>
        <v/>
      </c>
      <c r="G910" s="30">
        <f>COUNTIF($D$23:$D$1022,"&lt;"&amp;D910)+(COUNTIF($D$23:$D$1022,"="&amp;D910)+1)/2</f>
        <v/>
      </c>
    </row>
    <row r="911">
      <c r="B911" s="27">
        <f>'1 Data'!B900</f>
        <v/>
      </c>
      <c r="C911" s="28">
        <f>$C$12 + '1 Data'!C900*$C$13 + '1 Data'!D900*$C$14 + '1 Data'!E900*$C$15 + '1 Data'!F900*$C$16 + '1 Data'!G900*$C$17 + '1 Data'!H900*$C$18</f>
        <v/>
      </c>
      <c r="D911" s="23">
        <f>1/(1+EXP(-C911))</f>
        <v/>
      </c>
      <c r="E911" s="27">
        <f>'1 Data'!I900</f>
        <v/>
      </c>
      <c r="F911" s="29">
        <f>RANK(D911,$D$23:$D$1022)</f>
        <v/>
      </c>
      <c r="G911" s="30">
        <f>COUNTIF($D$23:$D$1022,"&lt;"&amp;D911)+(COUNTIF($D$23:$D$1022,"="&amp;D911)+1)/2</f>
        <v/>
      </c>
    </row>
    <row r="912">
      <c r="B912" s="27">
        <f>'1 Data'!B901</f>
        <v/>
      </c>
      <c r="C912" s="28">
        <f>$C$12 + '1 Data'!C901*$C$13 + '1 Data'!D901*$C$14 + '1 Data'!E901*$C$15 + '1 Data'!F901*$C$16 + '1 Data'!G901*$C$17 + '1 Data'!H901*$C$18</f>
        <v/>
      </c>
      <c r="D912" s="23">
        <f>1/(1+EXP(-C912))</f>
        <v/>
      </c>
      <c r="E912" s="27">
        <f>'1 Data'!I901</f>
        <v/>
      </c>
      <c r="F912" s="29">
        <f>RANK(D912,$D$23:$D$1022)</f>
        <v/>
      </c>
      <c r="G912" s="30">
        <f>COUNTIF($D$23:$D$1022,"&lt;"&amp;D912)+(COUNTIF($D$23:$D$1022,"="&amp;D912)+1)/2</f>
        <v/>
      </c>
    </row>
    <row r="913">
      <c r="B913" s="27">
        <f>'1 Data'!B902</f>
        <v/>
      </c>
      <c r="C913" s="28">
        <f>$C$12 + '1 Data'!C902*$C$13 + '1 Data'!D902*$C$14 + '1 Data'!E902*$C$15 + '1 Data'!F902*$C$16 + '1 Data'!G902*$C$17 + '1 Data'!H902*$C$18</f>
        <v/>
      </c>
      <c r="D913" s="23">
        <f>1/(1+EXP(-C913))</f>
        <v/>
      </c>
      <c r="E913" s="27">
        <f>'1 Data'!I902</f>
        <v/>
      </c>
      <c r="F913" s="29">
        <f>RANK(D913,$D$23:$D$1022)</f>
        <v/>
      </c>
      <c r="G913" s="30">
        <f>COUNTIF($D$23:$D$1022,"&lt;"&amp;D913)+(COUNTIF($D$23:$D$1022,"="&amp;D913)+1)/2</f>
        <v/>
      </c>
    </row>
    <row r="914">
      <c r="B914" s="27">
        <f>'1 Data'!B903</f>
        <v/>
      </c>
      <c r="C914" s="28">
        <f>$C$12 + '1 Data'!C903*$C$13 + '1 Data'!D903*$C$14 + '1 Data'!E903*$C$15 + '1 Data'!F903*$C$16 + '1 Data'!G903*$C$17 + '1 Data'!H903*$C$18</f>
        <v/>
      </c>
      <c r="D914" s="23">
        <f>1/(1+EXP(-C914))</f>
        <v/>
      </c>
      <c r="E914" s="27">
        <f>'1 Data'!I903</f>
        <v/>
      </c>
      <c r="F914" s="29">
        <f>RANK(D914,$D$23:$D$1022)</f>
        <v/>
      </c>
      <c r="G914" s="30">
        <f>COUNTIF($D$23:$D$1022,"&lt;"&amp;D914)+(COUNTIF($D$23:$D$1022,"="&amp;D914)+1)/2</f>
        <v/>
      </c>
    </row>
    <row r="915">
      <c r="B915" s="27">
        <f>'1 Data'!B904</f>
        <v/>
      </c>
      <c r="C915" s="28">
        <f>$C$12 + '1 Data'!C904*$C$13 + '1 Data'!D904*$C$14 + '1 Data'!E904*$C$15 + '1 Data'!F904*$C$16 + '1 Data'!G904*$C$17 + '1 Data'!H904*$C$18</f>
        <v/>
      </c>
      <c r="D915" s="23">
        <f>1/(1+EXP(-C915))</f>
        <v/>
      </c>
      <c r="E915" s="27">
        <f>'1 Data'!I904</f>
        <v/>
      </c>
      <c r="F915" s="29">
        <f>RANK(D915,$D$23:$D$1022)</f>
        <v/>
      </c>
      <c r="G915" s="30">
        <f>COUNTIF($D$23:$D$1022,"&lt;"&amp;D915)+(COUNTIF($D$23:$D$1022,"="&amp;D915)+1)/2</f>
        <v/>
      </c>
    </row>
    <row r="916">
      <c r="B916" s="27">
        <f>'1 Data'!B905</f>
        <v/>
      </c>
      <c r="C916" s="28">
        <f>$C$12 + '1 Data'!C905*$C$13 + '1 Data'!D905*$C$14 + '1 Data'!E905*$C$15 + '1 Data'!F905*$C$16 + '1 Data'!G905*$C$17 + '1 Data'!H905*$C$18</f>
        <v/>
      </c>
      <c r="D916" s="23">
        <f>1/(1+EXP(-C916))</f>
        <v/>
      </c>
      <c r="E916" s="27">
        <f>'1 Data'!I905</f>
        <v/>
      </c>
      <c r="F916" s="29">
        <f>RANK(D916,$D$23:$D$1022)</f>
        <v/>
      </c>
      <c r="G916" s="30">
        <f>COUNTIF($D$23:$D$1022,"&lt;"&amp;D916)+(COUNTIF($D$23:$D$1022,"="&amp;D916)+1)/2</f>
        <v/>
      </c>
    </row>
    <row r="917">
      <c r="B917" s="27">
        <f>'1 Data'!B906</f>
        <v/>
      </c>
      <c r="C917" s="28">
        <f>$C$12 + '1 Data'!C906*$C$13 + '1 Data'!D906*$C$14 + '1 Data'!E906*$C$15 + '1 Data'!F906*$C$16 + '1 Data'!G906*$C$17 + '1 Data'!H906*$C$18</f>
        <v/>
      </c>
      <c r="D917" s="23">
        <f>1/(1+EXP(-C917))</f>
        <v/>
      </c>
      <c r="E917" s="27">
        <f>'1 Data'!I906</f>
        <v/>
      </c>
      <c r="F917" s="29">
        <f>RANK(D917,$D$23:$D$1022)</f>
        <v/>
      </c>
      <c r="G917" s="30">
        <f>COUNTIF($D$23:$D$1022,"&lt;"&amp;D917)+(COUNTIF($D$23:$D$1022,"="&amp;D917)+1)/2</f>
        <v/>
      </c>
    </row>
    <row r="918">
      <c r="B918" s="27">
        <f>'1 Data'!B907</f>
        <v/>
      </c>
      <c r="C918" s="28">
        <f>$C$12 + '1 Data'!C907*$C$13 + '1 Data'!D907*$C$14 + '1 Data'!E907*$C$15 + '1 Data'!F907*$C$16 + '1 Data'!G907*$C$17 + '1 Data'!H907*$C$18</f>
        <v/>
      </c>
      <c r="D918" s="23">
        <f>1/(1+EXP(-C918))</f>
        <v/>
      </c>
      <c r="E918" s="27">
        <f>'1 Data'!I907</f>
        <v/>
      </c>
      <c r="F918" s="29">
        <f>RANK(D918,$D$23:$D$1022)</f>
        <v/>
      </c>
      <c r="G918" s="30">
        <f>COUNTIF($D$23:$D$1022,"&lt;"&amp;D918)+(COUNTIF($D$23:$D$1022,"="&amp;D918)+1)/2</f>
        <v/>
      </c>
    </row>
    <row r="919">
      <c r="B919" s="27">
        <f>'1 Data'!B908</f>
        <v/>
      </c>
      <c r="C919" s="28">
        <f>$C$12 + '1 Data'!C908*$C$13 + '1 Data'!D908*$C$14 + '1 Data'!E908*$C$15 + '1 Data'!F908*$C$16 + '1 Data'!G908*$C$17 + '1 Data'!H908*$C$18</f>
        <v/>
      </c>
      <c r="D919" s="23">
        <f>1/(1+EXP(-C919))</f>
        <v/>
      </c>
      <c r="E919" s="27">
        <f>'1 Data'!I908</f>
        <v/>
      </c>
      <c r="F919" s="29">
        <f>RANK(D919,$D$23:$D$1022)</f>
        <v/>
      </c>
      <c r="G919" s="30">
        <f>COUNTIF($D$23:$D$1022,"&lt;"&amp;D919)+(COUNTIF($D$23:$D$1022,"="&amp;D919)+1)/2</f>
        <v/>
      </c>
    </row>
    <row r="920">
      <c r="B920" s="27">
        <f>'1 Data'!B909</f>
        <v/>
      </c>
      <c r="C920" s="28">
        <f>$C$12 + '1 Data'!C909*$C$13 + '1 Data'!D909*$C$14 + '1 Data'!E909*$C$15 + '1 Data'!F909*$C$16 + '1 Data'!G909*$C$17 + '1 Data'!H909*$C$18</f>
        <v/>
      </c>
      <c r="D920" s="23">
        <f>1/(1+EXP(-C920))</f>
        <v/>
      </c>
      <c r="E920" s="27">
        <f>'1 Data'!I909</f>
        <v/>
      </c>
      <c r="F920" s="29">
        <f>RANK(D920,$D$23:$D$1022)</f>
        <v/>
      </c>
      <c r="G920" s="30">
        <f>COUNTIF($D$23:$D$1022,"&lt;"&amp;D920)+(COUNTIF($D$23:$D$1022,"="&amp;D920)+1)/2</f>
        <v/>
      </c>
    </row>
    <row r="921">
      <c r="B921" s="27">
        <f>'1 Data'!B910</f>
        <v/>
      </c>
      <c r="C921" s="28">
        <f>$C$12 + '1 Data'!C910*$C$13 + '1 Data'!D910*$C$14 + '1 Data'!E910*$C$15 + '1 Data'!F910*$C$16 + '1 Data'!G910*$C$17 + '1 Data'!H910*$C$18</f>
        <v/>
      </c>
      <c r="D921" s="23">
        <f>1/(1+EXP(-C921))</f>
        <v/>
      </c>
      <c r="E921" s="27">
        <f>'1 Data'!I910</f>
        <v/>
      </c>
      <c r="F921" s="29">
        <f>RANK(D921,$D$23:$D$1022)</f>
        <v/>
      </c>
      <c r="G921" s="30">
        <f>COUNTIF($D$23:$D$1022,"&lt;"&amp;D921)+(COUNTIF($D$23:$D$1022,"="&amp;D921)+1)/2</f>
        <v/>
      </c>
    </row>
    <row r="922">
      <c r="B922" s="27">
        <f>'1 Data'!B911</f>
        <v/>
      </c>
      <c r="C922" s="28">
        <f>$C$12 + '1 Data'!C911*$C$13 + '1 Data'!D911*$C$14 + '1 Data'!E911*$C$15 + '1 Data'!F911*$C$16 + '1 Data'!G911*$C$17 + '1 Data'!H911*$C$18</f>
        <v/>
      </c>
      <c r="D922" s="23">
        <f>1/(1+EXP(-C922))</f>
        <v/>
      </c>
      <c r="E922" s="27">
        <f>'1 Data'!I911</f>
        <v/>
      </c>
      <c r="F922" s="29">
        <f>RANK(D922,$D$23:$D$1022)</f>
        <v/>
      </c>
      <c r="G922" s="30">
        <f>COUNTIF($D$23:$D$1022,"&lt;"&amp;D922)+(COUNTIF($D$23:$D$1022,"="&amp;D922)+1)/2</f>
        <v/>
      </c>
    </row>
    <row r="923">
      <c r="B923" s="27">
        <f>'1 Data'!B912</f>
        <v/>
      </c>
      <c r="C923" s="28">
        <f>$C$12 + '1 Data'!C912*$C$13 + '1 Data'!D912*$C$14 + '1 Data'!E912*$C$15 + '1 Data'!F912*$C$16 + '1 Data'!G912*$C$17 + '1 Data'!H912*$C$18</f>
        <v/>
      </c>
      <c r="D923" s="23">
        <f>1/(1+EXP(-C923))</f>
        <v/>
      </c>
      <c r="E923" s="27">
        <f>'1 Data'!I912</f>
        <v/>
      </c>
      <c r="F923" s="29">
        <f>RANK(D923,$D$23:$D$1022)</f>
        <v/>
      </c>
      <c r="G923" s="30">
        <f>COUNTIF($D$23:$D$1022,"&lt;"&amp;D923)+(COUNTIF($D$23:$D$1022,"="&amp;D923)+1)/2</f>
        <v/>
      </c>
    </row>
    <row r="924">
      <c r="B924" s="27">
        <f>'1 Data'!B913</f>
        <v/>
      </c>
      <c r="C924" s="28">
        <f>$C$12 + '1 Data'!C913*$C$13 + '1 Data'!D913*$C$14 + '1 Data'!E913*$C$15 + '1 Data'!F913*$C$16 + '1 Data'!G913*$C$17 + '1 Data'!H913*$C$18</f>
        <v/>
      </c>
      <c r="D924" s="23">
        <f>1/(1+EXP(-C924))</f>
        <v/>
      </c>
      <c r="E924" s="27">
        <f>'1 Data'!I913</f>
        <v/>
      </c>
      <c r="F924" s="29">
        <f>RANK(D924,$D$23:$D$1022)</f>
        <v/>
      </c>
      <c r="G924" s="30">
        <f>COUNTIF($D$23:$D$1022,"&lt;"&amp;D924)+(COUNTIF($D$23:$D$1022,"="&amp;D924)+1)/2</f>
        <v/>
      </c>
    </row>
    <row r="925">
      <c r="B925" s="27">
        <f>'1 Data'!B914</f>
        <v/>
      </c>
      <c r="C925" s="28">
        <f>$C$12 + '1 Data'!C914*$C$13 + '1 Data'!D914*$C$14 + '1 Data'!E914*$C$15 + '1 Data'!F914*$C$16 + '1 Data'!G914*$C$17 + '1 Data'!H914*$C$18</f>
        <v/>
      </c>
      <c r="D925" s="23">
        <f>1/(1+EXP(-C925))</f>
        <v/>
      </c>
      <c r="E925" s="27">
        <f>'1 Data'!I914</f>
        <v/>
      </c>
      <c r="F925" s="29">
        <f>RANK(D925,$D$23:$D$1022)</f>
        <v/>
      </c>
      <c r="G925" s="30">
        <f>COUNTIF($D$23:$D$1022,"&lt;"&amp;D925)+(COUNTIF($D$23:$D$1022,"="&amp;D925)+1)/2</f>
        <v/>
      </c>
    </row>
    <row r="926">
      <c r="B926" s="27">
        <f>'1 Data'!B915</f>
        <v/>
      </c>
      <c r="C926" s="28">
        <f>$C$12 + '1 Data'!C915*$C$13 + '1 Data'!D915*$C$14 + '1 Data'!E915*$C$15 + '1 Data'!F915*$C$16 + '1 Data'!G915*$C$17 + '1 Data'!H915*$C$18</f>
        <v/>
      </c>
      <c r="D926" s="23">
        <f>1/(1+EXP(-C926))</f>
        <v/>
      </c>
      <c r="E926" s="27">
        <f>'1 Data'!I915</f>
        <v/>
      </c>
      <c r="F926" s="29">
        <f>RANK(D926,$D$23:$D$1022)</f>
        <v/>
      </c>
      <c r="G926" s="30">
        <f>COUNTIF($D$23:$D$1022,"&lt;"&amp;D926)+(COUNTIF($D$23:$D$1022,"="&amp;D926)+1)/2</f>
        <v/>
      </c>
    </row>
    <row r="927">
      <c r="B927" s="27">
        <f>'1 Data'!B916</f>
        <v/>
      </c>
      <c r="C927" s="28">
        <f>$C$12 + '1 Data'!C916*$C$13 + '1 Data'!D916*$C$14 + '1 Data'!E916*$C$15 + '1 Data'!F916*$C$16 + '1 Data'!G916*$C$17 + '1 Data'!H916*$C$18</f>
        <v/>
      </c>
      <c r="D927" s="23">
        <f>1/(1+EXP(-C927))</f>
        <v/>
      </c>
      <c r="E927" s="27">
        <f>'1 Data'!I916</f>
        <v/>
      </c>
      <c r="F927" s="29">
        <f>RANK(D927,$D$23:$D$1022)</f>
        <v/>
      </c>
      <c r="G927" s="30">
        <f>COUNTIF($D$23:$D$1022,"&lt;"&amp;D927)+(COUNTIF($D$23:$D$1022,"="&amp;D927)+1)/2</f>
        <v/>
      </c>
    </row>
    <row r="928">
      <c r="B928" s="27">
        <f>'1 Data'!B917</f>
        <v/>
      </c>
      <c r="C928" s="28">
        <f>$C$12 + '1 Data'!C917*$C$13 + '1 Data'!D917*$C$14 + '1 Data'!E917*$C$15 + '1 Data'!F917*$C$16 + '1 Data'!G917*$C$17 + '1 Data'!H917*$C$18</f>
        <v/>
      </c>
      <c r="D928" s="23">
        <f>1/(1+EXP(-C928))</f>
        <v/>
      </c>
      <c r="E928" s="27">
        <f>'1 Data'!I917</f>
        <v/>
      </c>
      <c r="F928" s="29">
        <f>RANK(D928,$D$23:$D$1022)</f>
        <v/>
      </c>
      <c r="G928" s="30">
        <f>COUNTIF($D$23:$D$1022,"&lt;"&amp;D928)+(COUNTIF($D$23:$D$1022,"="&amp;D928)+1)/2</f>
        <v/>
      </c>
    </row>
    <row r="929">
      <c r="B929" s="27">
        <f>'1 Data'!B918</f>
        <v/>
      </c>
      <c r="C929" s="28">
        <f>$C$12 + '1 Data'!C918*$C$13 + '1 Data'!D918*$C$14 + '1 Data'!E918*$C$15 + '1 Data'!F918*$C$16 + '1 Data'!G918*$C$17 + '1 Data'!H918*$C$18</f>
        <v/>
      </c>
      <c r="D929" s="23">
        <f>1/(1+EXP(-C929))</f>
        <v/>
      </c>
      <c r="E929" s="27">
        <f>'1 Data'!I918</f>
        <v/>
      </c>
      <c r="F929" s="29">
        <f>RANK(D929,$D$23:$D$1022)</f>
        <v/>
      </c>
      <c r="G929" s="30">
        <f>COUNTIF($D$23:$D$1022,"&lt;"&amp;D929)+(COUNTIF($D$23:$D$1022,"="&amp;D929)+1)/2</f>
        <v/>
      </c>
    </row>
    <row r="930">
      <c r="B930" s="27">
        <f>'1 Data'!B919</f>
        <v/>
      </c>
      <c r="C930" s="28">
        <f>$C$12 + '1 Data'!C919*$C$13 + '1 Data'!D919*$C$14 + '1 Data'!E919*$C$15 + '1 Data'!F919*$C$16 + '1 Data'!G919*$C$17 + '1 Data'!H919*$C$18</f>
        <v/>
      </c>
      <c r="D930" s="23">
        <f>1/(1+EXP(-C930))</f>
        <v/>
      </c>
      <c r="E930" s="27">
        <f>'1 Data'!I919</f>
        <v/>
      </c>
      <c r="F930" s="29">
        <f>RANK(D930,$D$23:$D$1022)</f>
        <v/>
      </c>
      <c r="G930" s="30">
        <f>COUNTIF($D$23:$D$1022,"&lt;"&amp;D930)+(COUNTIF($D$23:$D$1022,"="&amp;D930)+1)/2</f>
        <v/>
      </c>
    </row>
    <row r="931">
      <c r="B931" s="27">
        <f>'1 Data'!B920</f>
        <v/>
      </c>
      <c r="C931" s="28">
        <f>$C$12 + '1 Data'!C920*$C$13 + '1 Data'!D920*$C$14 + '1 Data'!E920*$C$15 + '1 Data'!F920*$C$16 + '1 Data'!G920*$C$17 + '1 Data'!H920*$C$18</f>
        <v/>
      </c>
      <c r="D931" s="23">
        <f>1/(1+EXP(-C931))</f>
        <v/>
      </c>
      <c r="E931" s="27">
        <f>'1 Data'!I920</f>
        <v/>
      </c>
      <c r="F931" s="29">
        <f>RANK(D931,$D$23:$D$1022)</f>
        <v/>
      </c>
      <c r="G931" s="30">
        <f>COUNTIF($D$23:$D$1022,"&lt;"&amp;D931)+(COUNTIF($D$23:$D$1022,"="&amp;D931)+1)/2</f>
        <v/>
      </c>
    </row>
    <row r="932">
      <c r="B932" s="27">
        <f>'1 Data'!B921</f>
        <v/>
      </c>
      <c r="C932" s="28">
        <f>$C$12 + '1 Data'!C921*$C$13 + '1 Data'!D921*$C$14 + '1 Data'!E921*$C$15 + '1 Data'!F921*$C$16 + '1 Data'!G921*$C$17 + '1 Data'!H921*$C$18</f>
        <v/>
      </c>
      <c r="D932" s="23">
        <f>1/(1+EXP(-C932))</f>
        <v/>
      </c>
      <c r="E932" s="27">
        <f>'1 Data'!I921</f>
        <v/>
      </c>
      <c r="F932" s="29">
        <f>RANK(D932,$D$23:$D$1022)</f>
        <v/>
      </c>
      <c r="G932" s="30">
        <f>COUNTIF($D$23:$D$1022,"&lt;"&amp;D932)+(COUNTIF($D$23:$D$1022,"="&amp;D932)+1)/2</f>
        <v/>
      </c>
    </row>
    <row r="933">
      <c r="B933" s="27">
        <f>'1 Data'!B922</f>
        <v/>
      </c>
      <c r="C933" s="28">
        <f>$C$12 + '1 Data'!C922*$C$13 + '1 Data'!D922*$C$14 + '1 Data'!E922*$C$15 + '1 Data'!F922*$C$16 + '1 Data'!G922*$C$17 + '1 Data'!H922*$C$18</f>
        <v/>
      </c>
      <c r="D933" s="23">
        <f>1/(1+EXP(-C933))</f>
        <v/>
      </c>
      <c r="E933" s="27">
        <f>'1 Data'!I922</f>
        <v/>
      </c>
      <c r="F933" s="29">
        <f>RANK(D933,$D$23:$D$1022)</f>
        <v/>
      </c>
      <c r="G933" s="30">
        <f>COUNTIF($D$23:$D$1022,"&lt;"&amp;D933)+(COUNTIF($D$23:$D$1022,"="&amp;D933)+1)/2</f>
        <v/>
      </c>
    </row>
    <row r="934">
      <c r="B934" s="27">
        <f>'1 Data'!B923</f>
        <v/>
      </c>
      <c r="C934" s="28">
        <f>$C$12 + '1 Data'!C923*$C$13 + '1 Data'!D923*$C$14 + '1 Data'!E923*$C$15 + '1 Data'!F923*$C$16 + '1 Data'!G923*$C$17 + '1 Data'!H923*$C$18</f>
        <v/>
      </c>
      <c r="D934" s="23">
        <f>1/(1+EXP(-C934))</f>
        <v/>
      </c>
      <c r="E934" s="27">
        <f>'1 Data'!I923</f>
        <v/>
      </c>
      <c r="F934" s="29">
        <f>RANK(D934,$D$23:$D$1022)</f>
        <v/>
      </c>
      <c r="G934" s="30">
        <f>COUNTIF($D$23:$D$1022,"&lt;"&amp;D934)+(COUNTIF($D$23:$D$1022,"="&amp;D934)+1)/2</f>
        <v/>
      </c>
    </row>
    <row r="935">
      <c r="B935" s="27">
        <f>'1 Data'!B924</f>
        <v/>
      </c>
      <c r="C935" s="28">
        <f>$C$12 + '1 Data'!C924*$C$13 + '1 Data'!D924*$C$14 + '1 Data'!E924*$C$15 + '1 Data'!F924*$C$16 + '1 Data'!G924*$C$17 + '1 Data'!H924*$C$18</f>
        <v/>
      </c>
      <c r="D935" s="23">
        <f>1/(1+EXP(-C935))</f>
        <v/>
      </c>
      <c r="E935" s="27">
        <f>'1 Data'!I924</f>
        <v/>
      </c>
      <c r="F935" s="29">
        <f>RANK(D935,$D$23:$D$1022)</f>
        <v/>
      </c>
      <c r="G935" s="30">
        <f>COUNTIF($D$23:$D$1022,"&lt;"&amp;D935)+(COUNTIF($D$23:$D$1022,"="&amp;D935)+1)/2</f>
        <v/>
      </c>
    </row>
    <row r="936">
      <c r="B936" s="27">
        <f>'1 Data'!B925</f>
        <v/>
      </c>
      <c r="C936" s="28">
        <f>$C$12 + '1 Data'!C925*$C$13 + '1 Data'!D925*$C$14 + '1 Data'!E925*$C$15 + '1 Data'!F925*$C$16 + '1 Data'!G925*$C$17 + '1 Data'!H925*$C$18</f>
        <v/>
      </c>
      <c r="D936" s="23">
        <f>1/(1+EXP(-C936))</f>
        <v/>
      </c>
      <c r="E936" s="27">
        <f>'1 Data'!I925</f>
        <v/>
      </c>
      <c r="F936" s="29">
        <f>RANK(D936,$D$23:$D$1022)</f>
        <v/>
      </c>
      <c r="G936" s="30">
        <f>COUNTIF($D$23:$D$1022,"&lt;"&amp;D936)+(COUNTIF($D$23:$D$1022,"="&amp;D936)+1)/2</f>
        <v/>
      </c>
    </row>
    <row r="937">
      <c r="B937" s="27">
        <f>'1 Data'!B926</f>
        <v/>
      </c>
      <c r="C937" s="28">
        <f>$C$12 + '1 Data'!C926*$C$13 + '1 Data'!D926*$C$14 + '1 Data'!E926*$C$15 + '1 Data'!F926*$C$16 + '1 Data'!G926*$C$17 + '1 Data'!H926*$C$18</f>
        <v/>
      </c>
      <c r="D937" s="23">
        <f>1/(1+EXP(-C937))</f>
        <v/>
      </c>
      <c r="E937" s="27">
        <f>'1 Data'!I926</f>
        <v/>
      </c>
      <c r="F937" s="29">
        <f>RANK(D937,$D$23:$D$1022)</f>
        <v/>
      </c>
      <c r="G937" s="30">
        <f>COUNTIF($D$23:$D$1022,"&lt;"&amp;D937)+(COUNTIF($D$23:$D$1022,"="&amp;D937)+1)/2</f>
        <v/>
      </c>
    </row>
    <row r="938">
      <c r="B938" s="27">
        <f>'1 Data'!B927</f>
        <v/>
      </c>
      <c r="C938" s="28">
        <f>$C$12 + '1 Data'!C927*$C$13 + '1 Data'!D927*$C$14 + '1 Data'!E927*$C$15 + '1 Data'!F927*$C$16 + '1 Data'!G927*$C$17 + '1 Data'!H927*$C$18</f>
        <v/>
      </c>
      <c r="D938" s="23">
        <f>1/(1+EXP(-C938))</f>
        <v/>
      </c>
      <c r="E938" s="27">
        <f>'1 Data'!I927</f>
        <v/>
      </c>
      <c r="F938" s="29">
        <f>RANK(D938,$D$23:$D$1022)</f>
        <v/>
      </c>
      <c r="G938" s="30">
        <f>COUNTIF($D$23:$D$1022,"&lt;"&amp;D938)+(COUNTIF($D$23:$D$1022,"="&amp;D938)+1)/2</f>
        <v/>
      </c>
    </row>
    <row r="939">
      <c r="B939" s="27">
        <f>'1 Data'!B928</f>
        <v/>
      </c>
      <c r="C939" s="28">
        <f>$C$12 + '1 Data'!C928*$C$13 + '1 Data'!D928*$C$14 + '1 Data'!E928*$C$15 + '1 Data'!F928*$C$16 + '1 Data'!G928*$C$17 + '1 Data'!H928*$C$18</f>
        <v/>
      </c>
      <c r="D939" s="23">
        <f>1/(1+EXP(-C939))</f>
        <v/>
      </c>
      <c r="E939" s="27">
        <f>'1 Data'!I928</f>
        <v/>
      </c>
      <c r="F939" s="29">
        <f>RANK(D939,$D$23:$D$1022)</f>
        <v/>
      </c>
      <c r="G939" s="30">
        <f>COUNTIF($D$23:$D$1022,"&lt;"&amp;D939)+(COUNTIF($D$23:$D$1022,"="&amp;D939)+1)/2</f>
        <v/>
      </c>
    </row>
    <row r="940">
      <c r="B940" s="27">
        <f>'1 Data'!B929</f>
        <v/>
      </c>
      <c r="C940" s="28">
        <f>$C$12 + '1 Data'!C929*$C$13 + '1 Data'!D929*$C$14 + '1 Data'!E929*$C$15 + '1 Data'!F929*$C$16 + '1 Data'!G929*$C$17 + '1 Data'!H929*$C$18</f>
        <v/>
      </c>
      <c r="D940" s="23">
        <f>1/(1+EXP(-C940))</f>
        <v/>
      </c>
      <c r="E940" s="27">
        <f>'1 Data'!I929</f>
        <v/>
      </c>
      <c r="F940" s="29">
        <f>RANK(D940,$D$23:$D$1022)</f>
        <v/>
      </c>
      <c r="G940" s="30">
        <f>COUNTIF($D$23:$D$1022,"&lt;"&amp;D940)+(COUNTIF($D$23:$D$1022,"="&amp;D940)+1)/2</f>
        <v/>
      </c>
    </row>
    <row r="941">
      <c r="B941" s="27">
        <f>'1 Data'!B930</f>
        <v/>
      </c>
      <c r="C941" s="28">
        <f>$C$12 + '1 Data'!C930*$C$13 + '1 Data'!D930*$C$14 + '1 Data'!E930*$C$15 + '1 Data'!F930*$C$16 + '1 Data'!G930*$C$17 + '1 Data'!H930*$C$18</f>
        <v/>
      </c>
      <c r="D941" s="23">
        <f>1/(1+EXP(-C941))</f>
        <v/>
      </c>
      <c r="E941" s="27">
        <f>'1 Data'!I930</f>
        <v/>
      </c>
      <c r="F941" s="29">
        <f>RANK(D941,$D$23:$D$1022)</f>
        <v/>
      </c>
      <c r="G941" s="30">
        <f>COUNTIF($D$23:$D$1022,"&lt;"&amp;D941)+(COUNTIF($D$23:$D$1022,"="&amp;D941)+1)/2</f>
        <v/>
      </c>
    </row>
    <row r="942">
      <c r="B942" s="27">
        <f>'1 Data'!B931</f>
        <v/>
      </c>
      <c r="C942" s="28">
        <f>$C$12 + '1 Data'!C931*$C$13 + '1 Data'!D931*$C$14 + '1 Data'!E931*$C$15 + '1 Data'!F931*$C$16 + '1 Data'!G931*$C$17 + '1 Data'!H931*$C$18</f>
        <v/>
      </c>
      <c r="D942" s="23">
        <f>1/(1+EXP(-C942))</f>
        <v/>
      </c>
      <c r="E942" s="27">
        <f>'1 Data'!I931</f>
        <v/>
      </c>
      <c r="F942" s="29">
        <f>RANK(D942,$D$23:$D$1022)</f>
        <v/>
      </c>
      <c r="G942" s="30">
        <f>COUNTIF($D$23:$D$1022,"&lt;"&amp;D942)+(COUNTIF($D$23:$D$1022,"="&amp;D942)+1)/2</f>
        <v/>
      </c>
    </row>
    <row r="943">
      <c r="B943" s="27">
        <f>'1 Data'!B932</f>
        <v/>
      </c>
      <c r="C943" s="28">
        <f>$C$12 + '1 Data'!C932*$C$13 + '1 Data'!D932*$C$14 + '1 Data'!E932*$C$15 + '1 Data'!F932*$C$16 + '1 Data'!G932*$C$17 + '1 Data'!H932*$C$18</f>
        <v/>
      </c>
      <c r="D943" s="23">
        <f>1/(1+EXP(-C943))</f>
        <v/>
      </c>
      <c r="E943" s="27">
        <f>'1 Data'!I932</f>
        <v/>
      </c>
      <c r="F943" s="29">
        <f>RANK(D943,$D$23:$D$1022)</f>
        <v/>
      </c>
      <c r="G943" s="30">
        <f>COUNTIF($D$23:$D$1022,"&lt;"&amp;D943)+(COUNTIF($D$23:$D$1022,"="&amp;D943)+1)/2</f>
        <v/>
      </c>
    </row>
    <row r="944">
      <c r="B944" s="27">
        <f>'1 Data'!B933</f>
        <v/>
      </c>
      <c r="C944" s="28">
        <f>$C$12 + '1 Data'!C933*$C$13 + '1 Data'!D933*$C$14 + '1 Data'!E933*$C$15 + '1 Data'!F933*$C$16 + '1 Data'!G933*$C$17 + '1 Data'!H933*$C$18</f>
        <v/>
      </c>
      <c r="D944" s="23">
        <f>1/(1+EXP(-C944))</f>
        <v/>
      </c>
      <c r="E944" s="27">
        <f>'1 Data'!I933</f>
        <v/>
      </c>
      <c r="F944" s="29">
        <f>RANK(D944,$D$23:$D$1022)</f>
        <v/>
      </c>
      <c r="G944" s="30">
        <f>COUNTIF($D$23:$D$1022,"&lt;"&amp;D944)+(COUNTIF($D$23:$D$1022,"="&amp;D944)+1)/2</f>
        <v/>
      </c>
    </row>
    <row r="945">
      <c r="B945" s="27">
        <f>'1 Data'!B934</f>
        <v/>
      </c>
      <c r="C945" s="28">
        <f>$C$12 + '1 Data'!C934*$C$13 + '1 Data'!D934*$C$14 + '1 Data'!E934*$C$15 + '1 Data'!F934*$C$16 + '1 Data'!G934*$C$17 + '1 Data'!H934*$C$18</f>
        <v/>
      </c>
      <c r="D945" s="23">
        <f>1/(1+EXP(-C945))</f>
        <v/>
      </c>
      <c r="E945" s="27">
        <f>'1 Data'!I934</f>
        <v/>
      </c>
      <c r="F945" s="29">
        <f>RANK(D945,$D$23:$D$1022)</f>
        <v/>
      </c>
      <c r="G945" s="30">
        <f>COUNTIF($D$23:$D$1022,"&lt;"&amp;D945)+(COUNTIF($D$23:$D$1022,"="&amp;D945)+1)/2</f>
        <v/>
      </c>
    </row>
    <row r="946">
      <c r="B946" s="27">
        <f>'1 Data'!B935</f>
        <v/>
      </c>
      <c r="C946" s="28">
        <f>$C$12 + '1 Data'!C935*$C$13 + '1 Data'!D935*$C$14 + '1 Data'!E935*$C$15 + '1 Data'!F935*$C$16 + '1 Data'!G935*$C$17 + '1 Data'!H935*$C$18</f>
        <v/>
      </c>
      <c r="D946" s="23">
        <f>1/(1+EXP(-C946))</f>
        <v/>
      </c>
      <c r="E946" s="27">
        <f>'1 Data'!I935</f>
        <v/>
      </c>
      <c r="F946" s="29">
        <f>RANK(D946,$D$23:$D$1022)</f>
        <v/>
      </c>
      <c r="G946" s="30">
        <f>COUNTIF($D$23:$D$1022,"&lt;"&amp;D946)+(COUNTIF($D$23:$D$1022,"="&amp;D946)+1)/2</f>
        <v/>
      </c>
    </row>
    <row r="947">
      <c r="B947" s="27">
        <f>'1 Data'!B936</f>
        <v/>
      </c>
      <c r="C947" s="28">
        <f>$C$12 + '1 Data'!C936*$C$13 + '1 Data'!D936*$C$14 + '1 Data'!E936*$C$15 + '1 Data'!F936*$C$16 + '1 Data'!G936*$C$17 + '1 Data'!H936*$C$18</f>
        <v/>
      </c>
      <c r="D947" s="23">
        <f>1/(1+EXP(-C947))</f>
        <v/>
      </c>
      <c r="E947" s="27">
        <f>'1 Data'!I936</f>
        <v/>
      </c>
      <c r="F947" s="29">
        <f>RANK(D947,$D$23:$D$1022)</f>
        <v/>
      </c>
      <c r="G947" s="30">
        <f>COUNTIF($D$23:$D$1022,"&lt;"&amp;D947)+(COUNTIF($D$23:$D$1022,"="&amp;D947)+1)/2</f>
        <v/>
      </c>
    </row>
    <row r="948">
      <c r="B948" s="27">
        <f>'1 Data'!B937</f>
        <v/>
      </c>
      <c r="C948" s="28">
        <f>$C$12 + '1 Data'!C937*$C$13 + '1 Data'!D937*$C$14 + '1 Data'!E937*$C$15 + '1 Data'!F937*$C$16 + '1 Data'!G937*$C$17 + '1 Data'!H937*$C$18</f>
        <v/>
      </c>
      <c r="D948" s="23">
        <f>1/(1+EXP(-C948))</f>
        <v/>
      </c>
      <c r="E948" s="27">
        <f>'1 Data'!I937</f>
        <v/>
      </c>
      <c r="F948" s="29">
        <f>RANK(D948,$D$23:$D$1022)</f>
        <v/>
      </c>
      <c r="G948" s="30">
        <f>COUNTIF($D$23:$D$1022,"&lt;"&amp;D948)+(COUNTIF($D$23:$D$1022,"="&amp;D948)+1)/2</f>
        <v/>
      </c>
    </row>
    <row r="949">
      <c r="B949" s="27">
        <f>'1 Data'!B938</f>
        <v/>
      </c>
      <c r="C949" s="28">
        <f>$C$12 + '1 Data'!C938*$C$13 + '1 Data'!D938*$C$14 + '1 Data'!E938*$C$15 + '1 Data'!F938*$C$16 + '1 Data'!G938*$C$17 + '1 Data'!H938*$C$18</f>
        <v/>
      </c>
      <c r="D949" s="23">
        <f>1/(1+EXP(-C949))</f>
        <v/>
      </c>
      <c r="E949" s="27">
        <f>'1 Data'!I938</f>
        <v/>
      </c>
      <c r="F949" s="29">
        <f>RANK(D949,$D$23:$D$1022)</f>
        <v/>
      </c>
      <c r="G949" s="30">
        <f>COUNTIF($D$23:$D$1022,"&lt;"&amp;D949)+(COUNTIF($D$23:$D$1022,"="&amp;D949)+1)/2</f>
        <v/>
      </c>
    </row>
    <row r="950">
      <c r="B950" s="27">
        <f>'1 Data'!B939</f>
        <v/>
      </c>
      <c r="C950" s="28">
        <f>$C$12 + '1 Data'!C939*$C$13 + '1 Data'!D939*$C$14 + '1 Data'!E939*$C$15 + '1 Data'!F939*$C$16 + '1 Data'!G939*$C$17 + '1 Data'!H939*$C$18</f>
        <v/>
      </c>
      <c r="D950" s="23">
        <f>1/(1+EXP(-C950))</f>
        <v/>
      </c>
      <c r="E950" s="27">
        <f>'1 Data'!I939</f>
        <v/>
      </c>
      <c r="F950" s="29">
        <f>RANK(D950,$D$23:$D$1022)</f>
        <v/>
      </c>
      <c r="G950" s="30">
        <f>COUNTIF($D$23:$D$1022,"&lt;"&amp;D950)+(COUNTIF($D$23:$D$1022,"="&amp;D950)+1)/2</f>
        <v/>
      </c>
    </row>
    <row r="951">
      <c r="B951" s="27">
        <f>'1 Data'!B940</f>
        <v/>
      </c>
      <c r="C951" s="28">
        <f>$C$12 + '1 Data'!C940*$C$13 + '1 Data'!D940*$C$14 + '1 Data'!E940*$C$15 + '1 Data'!F940*$C$16 + '1 Data'!G940*$C$17 + '1 Data'!H940*$C$18</f>
        <v/>
      </c>
      <c r="D951" s="23">
        <f>1/(1+EXP(-C951))</f>
        <v/>
      </c>
      <c r="E951" s="27">
        <f>'1 Data'!I940</f>
        <v/>
      </c>
      <c r="F951" s="29">
        <f>RANK(D951,$D$23:$D$1022)</f>
        <v/>
      </c>
      <c r="G951" s="30">
        <f>COUNTIF($D$23:$D$1022,"&lt;"&amp;D951)+(COUNTIF($D$23:$D$1022,"="&amp;D951)+1)/2</f>
        <v/>
      </c>
    </row>
    <row r="952">
      <c r="B952" s="27">
        <f>'1 Data'!B941</f>
        <v/>
      </c>
      <c r="C952" s="28">
        <f>$C$12 + '1 Data'!C941*$C$13 + '1 Data'!D941*$C$14 + '1 Data'!E941*$C$15 + '1 Data'!F941*$C$16 + '1 Data'!G941*$C$17 + '1 Data'!H941*$C$18</f>
        <v/>
      </c>
      <c r="D952" s="23">
        <f>1/(1+EXP(-C952))</f>
        <v/>
      </c>
      <c r="E952" s="27">
        <f>'1 Data'!I941</f>
        <v/>
      </c>
      <c r="F952" s="29">
        <f>RANK(D952,$D$23:$D$1022)</f>
        <v/>
      </c>
      <c r="G952" s="30">
        <f>COUNTIF($D$23:$D$1022,"&lt;"&amp;D952)+(COUNTIF($D$23:$D$1022,"="&amp;D952)+1)/2</f>
        <v/>
      </c>
    </row>
    <row r="953">
      <c r="B953" s="27">
        <f>'1 Data'!B942</f>
        <v/>
      </c>
      <c r="C953" s="28">
        <f>$C$12 + '1 Data'!C942*$C$13 + '1 Data'!D942*$C$14 + '1 Data'!E942*$C$15 + '1 Data'!F942*$C$16 + '1 Data'!G942*$C$17 + '1 Data'!H942*$C$18</f>
        <v/>
      </c>
      <c r="D953" s="23">
        <f>1/(1+EXP(-C953))</f>
        <v/>
      </c>
      <c r="E953" s="27">
        <f>'1 Data'!I942</f>
        <v/>
      </c>
      <c r="F953" s="29">
        <f>RANK(D953,$D$23:$D$1022)</f>
        <v/>
      </c>
      <c r="G953" s="30">
        <f>COUNTIF($D$23:$D$1022,"&lt;"&amp;D953)+(COUNTIF($D$23:$D$1022,"="&amp;D953)+1)/2</f>
        <v/>
      </c>
    </row>
    <row r="954">
      <c r="B954" s="27">
        <f>'1 Data'!B943</f>
        <v/>
      </c>
      <c r="C954" s="28">
        <f>$C$12 + '1 Data'!C943*$C$13 + '1 Data'!D943*$C$14 + '1 Data'!E943*$C$15 + '1 Data'!F943*$C$16 + '1 Data'!G943*$C$17 + '1 Data'!H943*$C$18</f>
        <v/>
      </c>
      <c r="D954" s="23">
        <f>1/(1+EXP(-C954))</f>
        <v/>
      </c>
      <c r="E954" s="27">
        <f>'1 Data'!I943</f>
        <v/>
      </c>
      <c r="F954" s="29">
        <f>RANK(D954,$D$23:$D$1022)</f>
        <v/>
      </c>
      <c r="G954" s="30">
        <f>COUNTIF($D$23:$D$1022,"&lt;"&amp;D954)+(COUNTIF($D$23:$D$1022,"="&amp;D954)+1)/2</f>
        <v/>
      </c>
    </row>
    <row r="955">
      <c r="B955" s="27">
        <f>'1 Data'!B944</f>
        <v/>
      </c>
      <c r="C955" s="28">
        <f>$C$12 + '1 Data'!C944*$C$13 + '1 Data'!D944*$C$14 + '1 Data'!E944*$C$15 + '1 Data'!F944*$C$16 + '1 Data'!G944*$C$17 + '1 Data'!H944*$C$18</f>
        <v/>
      </c>
      <c r="D955" s="23">
        <f>1/(1+EXP(-C955))</f>
        <v/>
      </c>
      <c r="E955" s="27">
        <f>'1 Data'!I944</f>
        <v/>
      </c>
      <c r="F955" s="29">
        <f>RANK(D955,$D$23:$D$1022)</f>
        <v/>
      </c>
      <c r="G955" s="30">
        <f>COUNTIF($D$23:$D$1022,"&lt;"&amp;D955)+(COUNTIF($D$23:$D$1022,"="&amp;D955)+1)/2</f>
        <v/>
      </c>
    </row>
    <row r="956">
      <c r="B956" s="27">
        <f>'1 Data'!B945</f>
        <v/>
      </c>
      <c r="C956" s="28">
        <f>$C$12 + '1 Data'!C945*$C$13 + '1 Data'!D945*$C$14 + '1 Data'!E945*$C$15 + '1 Data'!F945*$C$16 + '1 Data'!G945*$C$17 + '1 Data'!H945*$C$18</f>
        <v/>
      </c>
      <c r="D956" s="23">
        <f>1/(1+EXP(-C956))</f>
        <v/>
      </c>
      <c r="E956" s="27">
        <f>'1 Data'!I945</f>
        <v/>
      </c>
      <c r="F956" s="29">
        <f>RANK(D956,$D$23:$D$1022)</f>
        <v/>
      </c>
      <c r="G956" s="30">
        <f>COUNTIF($D$23:$D$1022,"&lt;"&amp;D956)+(COUNTIF($D$23:$D$1022,"="&amp;D956)+1)/2</f>
        <v/>
      </c>
    </row>
    <row r="957">
      <c r="B957" s="27">
        <f>'1 Data'!B946</f>
        <v/>
      </c>
      <c r="C957" s="28">
        <f>$C$12 + '1 Data'!C946*$C$13 + '1 Data'!D946*$C$14 + '1 Data'!E946*$C$15 + '1 Data'!F946*$C$16 + '1 Data'!G946*$C$17 + '1 Data'!H946*$C$18</f>
        <v/>
      </c>
      <c r="D957" s="23">
        <f>1/(1+EXP(-C957))</f>
        <v/>
      </c>
      <c r="E957" s="27">
        <f>'1 Data'!I946</f>
        <v/>
      </c>
      <c r="F957" s="29">
        <f>RANK(D957,$D$23:$D$1022)</f>
        <v/>
      </c>
      <c r="G957" s="30">
        <f>COUNTIF($D$23:$D$1022,"&lt;"&amp;D957)+(COUNTIF($D$23:$D$1022,"="&amp;D957)+1)/2</f>
        <v/>
      </c>
    </row>
    <row r="958">
      <c r="B958" s="27">
        <f>'1 Data'!B947</f>
        <v/>
      </c>
      <c r="C958" s="28">
        <f>$C$12 + '1 Data'!C947*$C$13 + '1 Data'!D947*$C$14 + '1 Data'!E947*$C$15 + '1 Data'!F947*$C$16 + '1 Data'!G947*$C$17 + '1 Data'!H947*$C$18</f>
        <v/>
      </c>
      <c r="D958" s="23">
        <f>1/(1+EXP(-C958))</f>
        <v/>
      </c>
      <c r="E958" s="27">
        <f>'1 Data'!I947</f>
        <v/>
      </c>
      <c r="F958" s="29">
        <f>RANK(D958,$D$23:$D$1022)</f>
        <v/>
      </c>
      <c r="G958" s="30">
        <f>COUNTIF($D$23:$D$1022,"&lt;"&amp;D958)+(COUNTIF($D$23:$D$1022,"="&amp;D958)+1)/2</f>
        <v/>
      </c>
    </row>
    <row r="959">
      <c r="B959" s="27">
        <f>'1 Data'!B948</f>
        <v/>
      </c>
      <c r="C959" s="28">
        <f>$C$12 + '1 Data'!C948*$C$13 + '1 Data'!D948*$C$14 + '1 Data'!E948*$C$15 + '1 Data'!F948*$C$16 + '1 Data'!G948*$C$17 + '1 Data'!H948*$C$18</f>
        <v/>
      </c>
      <c r="D959" s="23">
        <f>1/(1+EXP(-C959))</f>
        <v/>
      </c>
      <c r="E959" s="27">
        <f>'1 Data'!I948</f>
        <v/>
      </c>
      <c r="F959" s="29">
        <f>RANK(D959,$D$23:$D$1022)</f>
        <v/>
      </c>
      <c r="G959" s="30">
        <f>COUNTIF($D$23:$D$1022,"&lt;"&amp;D959)+(COUNTIF($D$23:$D$1022,"="&amp;D959)+1)/2</f>
        <v/>
      </c>
    </row>
    <row r="960">
      <c r="B960" s="27">
        <f>'1 Data'!B949</f>
        <v/>
      </c>
      <c r="C960" s="28">
        <f>$C$12 + '1 Data'!C949*$C$13 + '1 Data'!D949*$C$14 + '1 Data'!E949*$C$15 + '1 Data'!F949*$C$16 + '1 Data'!G949*$C$17 + '1 Data'!H949*$C$18</f>
        <v/>
      </c>
      <c r="D960" s="23">
        <f>1/(1+EXP(-C960))</f>
        <v/>
      </c>
      <c r="E960" s="27">
        <f>'1 Data'!I949</f>
        <v/>
      </c>
      <c r="F960" s="29">
        <f>RANK(D960,$D$23:$D$1022)</f>
        <v/>
      </c>
      <c r="G960" s="30">
        <f>COUNTIF($D$23:$D$1022,"&lt;"&amp;D960)+(COUNTIF($D$23:$D$1022,"="&amp;D960)+1)/2</f>
        <v/>
      </c>
    </row>
    <row r="961">
      <c r="B961" s="27">
        <f>'1 Data'!B950</f>
        <v/>
      </c>
      <c r="C961" s="28">
        <f>$C$12 + '1 Data'!C950*$C$13 + '1 Data'!D950*$C$14 + '1 Data'!E950*$C$15 + '1 Data'!F950*$C$16 + '1 Data'!G950*$C$17 + '1 Data'!H950*$C$18</f>
        <v/>
      </c>
      <c r="D961" s="23">
        <f>1/(1+EXP(-C961))</f>
        <v/>
      </c>
      <c r="E961" s="27">
        <f>'1 Data'!I950</f>
        <v/>
      </c>
      <c r="F961" s="29">
        <f>RANK(D961,$D$23:$D$1022)</f>
        <v/>
      </c>
      <c r="G961" s="30">
        <f>COUNTIF($D$23:$D$1022,"&lt;"&amp;D961)+(COUNTIF($D$23:$D$1022,"="&amp;D961)+1)/2</f>
        <v/>
      </c>
    </row>
    <row r="962">
      <c r="B962" s="27">
        <f>'1 Data'!B951</f>
        <v/>
      </c>
      <c r="C962" s="28">
        <f>$C$12 + '1 Data'!C951*$C$13 + '1 Data'!D951*$C$14 + '1 Data'!E951*$C$15 + '1 Data'!F951*$C$16 + '1 Data'!G951*$C$17 + '1 Data'!H951*$C$18</f>
        <v/>
      </c>
      <c r="D962" s="23">
        <f>1/(1+EXP(-C962))</f>
        <v/>
      </c>
      <c r="E962" s="27">
        <f>'1 Data'!I951</f>
        <v/>
      </c>
      <c r="F962" s="29">
        <f>RANK(D962,$D$23:$D$1022)</f>
        <v/>
      </c>
      <c r="G962" s="30">
        <f>COUNTIF($D$23:$D$1022,"&lt;"&amp;D962)+(COUNTIF($D$23:$D$1022,"="&amp;D962)+1)/2</f>
        <v/>
      </c>
    </row>
    <row r="963">
      <c r="B963" s="27">
        <f>'1 Data'!B952</f>
        <v/>
      </c>
      <c r="C963" s="28">
        <f>$C$12 + '1 Data'!C952*$C$13 + '1 Data'!D952*$C$14 + '1 Data'!E952*$C$15 + '1 Data'!F952*$C$16 + '1 Data'!G952*$C$17 + '1 Data'!H952*$C$18</f>
        <v/>
      </c>
      <c r="D963" s="23">
        <f>1/(1+EXP(-C963))</f>
        <v/>
      </c>
      <c r="E963" s="27">
        <f>'1 Data'!I952</f>
        <v/>
      </c>
      <c r="F963" s="29">
        <f>RANK(D963,$D$23:$D$1022)</f>
        <v/>
      </c>
      <c r="G963" s="30">
        <f>COUNTIF($D$23:$D$1022,"&lt;"&amp;D963)+(COUNTIF($D$23:$D$1022,"="&amp;D963)+1)/2</f>
        <v/>
      </c>
    </row>
    <row r="964">
      <c r="B964" s="27">
        <f>'1 Data'!B953</f>
        <v/>
      </c>
      <c r="C964" s="28">
        <f>$C$12 + '1 Data'!C953*$C$13 + '1 Data'!D953*$C$14 + '1 Data'!E953*$C$15 + '1 Data'!F953*$C$16 + '1 Data'!G953*$C$17 + '1 Data'!H953*$C$18</f>
        <v/>
      </c>
      <c r="D964" s="23">
        <f>1/(1+EXP(-C964))</f>
        <v/>
      </c>
      <c r="E964" s="27">
        <f>'1 Data'!I953</f>
        <v/>
      </c>
      <c r="F964" s="29">
        <f>RANK(D964,$D$23:$D$1022)</f>
        <v/>
      </c>
      <c r="G964" s="30">
        <f>COUNTIF($D$23:$D$1022,"&lt;"&amp;D964)+(COUNTIF($D$23:$D$1022,"="&amp;D964)+1)/2</f>
        <v/>
      </c>
    </row>
    <row r="965">
      <c r="B965" s="27">
        <f>'1 Data'!B954</f>
        <v/>
      </c>
      <c r="C965" s="28">
        <f>$C$12 + '1 Data'!C954*$C$13 + '1 Data'!D954*$C$14 + '1 Data'!E954*$C$15 + '1 Data'!F954*$C$16 + '1 Data'!G954*$C$17 + '1 Data'!H954*$C$18</f>
        <v/>
      </c>
      <c r="D965" s="23">
        <f>1/(1+EXP(-C965))</f>
        <v/>
      </c>
      <c r="E965" s="27">
        <f>'1 Data'!I954</f>
        <v/>
      </c>
      <c r="F965" s="29">
        <f>RANK(D965,$D$23:$D$1022)</f>
        <v/>
      </c>
      <c r="G965" s="30">
        <f>COUNTIF($D$23:$D$1022,"&lt;"&amp;D965)+(COUNTIF($D$23:$D$1022,"="&amp;D965)+1)/2</f>
        <v/>
      </c>
    </row>
    <row r="966">
      <c r="B966" s="27">
        <f>'1 Data'!B955</f>
        <v/>
      </c>
      <c r="C966" s="28">
        <f>$C$12 + '1 Data'!C955*$C$13 + '1 Data'!D955*$C$14 + '1 Data'!E955*$C$15 + '1 Data'!F955*$C$16 + '1 Data'!G955*$C$17 + '1 Data'!H955*$C$18</f>
        <v/>
      </c>
      <c r="D966" s="23">
        <f>1/(1+EXP(-C966))</f>
        <v/>
      </c>
      <c r="E966" s="27">
        <f>'1 Data'!I955</f>
        <v/>
      </c>
      <c r="F966" s="29">
        <f>RANK(D966,$D$23:$D$1022)</f>
        <v/>
      </c>
      <c r="G966" s="30">
        <f>COUNTIF($D$23:$D$1022,"&lt;"&amp;D966)+(COUNTIF($D$23:$D$1022,"="&amp;D966)+1)/2</f>
        <v/>
      </c>
    </row>
    <row r="967">
      <c r="B967" s="27">
        <f>'1 Data'!B956</f>
        <v/>
      </c>
      <c r="C967" s="28">
        <f>$C$12 + '1 Data'!C956*$C$13 + '1 Data'!D956*$C$14 + '1 Data'!E956*$C$15 + '1 Data'!F956*$C$16 + '1 Data'!G956*$C$17 + '1 Data'!H956*$C$18</f>
        <v/>
      </c>
      <c r="D967" s="23">
        <f>1/(1+EXP(-C967))</f>
        <v/>
      </c>
      <c r="E967" s="27">
        <f>'1 Data'!I956</f>
        <v/>
      </c>
      <c r="F967" s="29">
        <f>RANK(D967,$D$23:$D$1022)</f>
        <v/>
      </c>
      <c r="G967" s="30">
        <f>COUNTIF($D$23:$D$1022,"&lt;"&amp;D967)+(COUNTIF($D$23:$D$1022,"="&amp;D967)+1)/2</f>
        <v/>
      </c>
    </row>
    <row r="968">
      <c r="B968" s="27">
        <f>'1 Data'!B957</f>
        <v/>
      </c>
      <c r="C968" s="28">
        <f>$C$12 + '1 Data'!C957*$C$13 + '1 Data'!D957*$C$14 + '1 Data'!E957*$C$15 + '1 Data'!F957*$C$16 + '1 Data'!G957*$C$17 + '1 Data'!H957*$C$18</f>
        <v/>
      </c>
      <c r="D968" s="23">
        <f>1/(1+EXP(-C968))</f>
        <v/>
      </c>
      <c r="E968" s="27">
        <f>'1 Data'!I957</f>
        <v/>
      </c>
      <c r="F968" s="29">
        <f>RANK(D968,$D$23:$D$1022)</f>
        <v/>
      </c>
      <c r="G968" s="30">
        <f>COUNTIF($D$23:$D$1022,"&lt;"&amp;D968)+(COUNTIF($D$23:$D$1022,"="&amp;D968)+1)/2</f>
        <v/>
      </c>
    </row>
    <row r="969">
      <c r="B969" s="27">
        <f>'1 Data'!B958</f>
        <v/>
      </c>
      <c r="C969" s="28">
        <f>$C$12 + '1 Data'!C958*$C$13 + '1 Data'!D958*$C$14 + '1 Data'!E958*$C$15 + '1 Data'!F958*$C$16 + '1 Data'!G958*$C$17 + '1 Data'!H958*$C$18</f>
        <v/>
      </c>
      <c r="D969" s="23">
        <f>1/(1+EXP(-C969))</f>
        <v/>
      </c>
      <c r="E969" s="27">
        <f>'1 Data'!I958</f>
        <v/>
      </c>
      <c r="F969" s="29">
        <f>RANK(D969,$D$23:$D$1022)</f>
        <v/>
      </c>
      <c r="G969" s="30">
        <f>COUNTIF($D$23:$D$1022,"&lt;"&amp;D969)+(COUNTIF($D$23:$D$1022,"="&amp;D969)+1)/2</f>
        <v/>
      </c>
    </row>
    <row r="970">
      <c r="B970" s="27">
        <f>'1 Data'!B959</f>
        <v/>
      </c>
      <c r="C970" s="28">
        <f>$C$12 + '1 Data'!C959*$C$13 + '1 Data'!D959*$C$14 + '1 Data'!E959*$C$15 + '1 Data'!F959*$C$16 + '1 Data'!G959*$C$17 + '1 Data'!H959*$C$18</f>
        <v/>
      </c>
      <c r="D970" s="23">
        <f>1/(1+EXP(-C970))</f>
        <v/>
      </c>
      <c r="E970" s="27">
        <f>'1 Data'!I959</f>
        <v/>
      </c>
      <c r="F970" s="29">
        <f>RANK(D970,$D$23:$D$1022)</f>
        <v/>
      </c>
      <c r="G970" s="30">
        <f>COUNTIF($D$23:$D$1022,"&lt;"&amp;D970)+(COUNTIF($D$23:$D$1022,"="&amp;D970)+1)/2</f>
        <v/>
      </c>
    </row>
    <row r="971">
      <c r="B971" s="27">
        <f>'1 Data'!B960</f>
        <v/>
      </c>
      <c r="C971" s="28">
        <f>$C$12 + '1 Data'!C960*$C$13 + '1 Data'!D960*$C$14 + '1 Data'!E960*$C$15 + '1 Data'!F960*$C$16 + '1 Data'!G960*$C$17 + '1 Data'!H960*$C$18</f>
        <v/>
      </c>
      <c r="D971" s="23">
        <f>1/(1+EXP(-C971))</f>
        <v/>
      </c>
      <c r="E971" s="27">
        <f>'1 Data'!I960</f>
        <v/>
      </c>
      <c r="F971" s="29">
        <f>RANK(D971,$D$23:$D$1022)</f>
        <v/>
      </c>
      <c r="G971" s="30">
        <f>COUNTIF($D$23:$D$1022,"&lt;"&amp;D971)+(COUNTIF($D$23:$D$1022,"="&amp;D971)+1)/2</f>
        <v/>
      </c>
    </row>
    <row r="972">
      <c r="B972" s="27">
        <f>'1 Data'!B961</f>
        <v/>
      </c>
      <c r="C972" s="28">
        <f>$C$12 + '1 Data'!C961*$C$13 + '1 Data'!D961*$C$14 + '1 Data'!E961*$C$15 + '1 Data'!F961*$C$16 + '1 Data'!G961*$C$17 + '1 Data'!H961*$C$18</f>
        <v/>
      </c>
      <c r="D972" s="23">
        <f>1/(1+EXP(-C972))</f>
        <v/>
      </c>
      <c r="E972" s="27">
        <f>'1 Data'!I961</f>
        <v/>
      </c>
      <c r="F972" s="29">
        <f>RANK(D972,$D$23:$D$1022)</f>
        <v/>
      </c>
      <c r="G972" s="30">
        <f>COUNTIF($D$23:$D$1022,"&lt;"&amp;D972)+(COUNTIF($D$23:$D$1022,"="&amp;D972)+1)/2</f>
        <v/>
      </c>
    </row>
    <row r="973">
      <c r="B973" s="27">
        <f>'1 Data'!B962</f>
        <v/>
      </c>
      <c r="C973" s="28">
        <f>$C$12 + '1 Data'!C962*$C$13 + '1 Data'!D962*$C$14 + '1 Data'!E962*$C$15 + '1 Data'!F962*$C$16 + '1 Data'!G962*$C$17 + '1 Data'!H962*$C$18</f>
        <v/>
      </c>
      <c r="D973" s="23">
        <f>1/(1+EXP(-C973))</f>
        <v/>
      </c>
      <c r="E973" s="27">
        <f>'1 Data'!I962</f>
        <v/>
      </c>
      <c r="F973" s="29">
        <f>RANK(D973,$D$23:$D$1022)</f>
        <v/>
      </c>
      <c r="G973" s="30">
        <f>COUNTIF($D$23:$D$1022,"&lt;"&amp;D973)+(COUNTIF($D$23:$D$1022,"="&amp;D973)+1)/2</f>
        <v/>
      </c>
    </row>
    <row r="974">
      <c r="B974" s="27">
        <f>'1 Data'!B963</f>
        <v/>
      </c>
      <c r="C974" s="28">
        <f>$C$12 + '1 Data'!C963*$C$13 + '1 Data'!D963*$C$14 + '1 Data'!E963*$C$15 + '1 Data'!F963*$C$16 + '1 Data'!G963*$C$17 + '1 Data'!H963*$C$18</f>
        <v/>
      </c>
      <c r="D974" s="23">
        <f>1/(1+EXP(-C974))</f>
        <v/>
      </c>
      <c r="E974" s="27">
        <f>'1 Data'!I963</f>
        <v/>
      </c>
      <c r="F974" s="29">
        <f>RANK(D974,$D$23:$D$1022)</f>
        <v/>
      </c>
      <c r="G974" s="30">
        <f>COUNTIF($D$23:$D$1022,"&lt;"&amp;D974)+(COUNTIF($D$23:$D$1022,"="&amp;D974)+1)/2</f>
        <v/>
      </c>
    </row>
    <row r="975">
      <c r="B975" s="27">
        <f>'1 Data'!B964</f>
        <v/>
      </c>
      <c r="C975" s="28">
        <f>$C$12 + '1 Data'!C964*$C$13 + '1 Data'!D964*$C$14 + '1 Data'!E964*$C$15 + '1 Data'!F964*$C$16 + '1 Data'!G964*$C$17 + '1 Data'!H964*$C$18</f>
        <v/>
      </c>
      <c r="D975" s="23">
        <f>1/(1+EXP(-C975))</f>
        <v/>
      </c>
      <c r="E975" s="27">
        <f>'1 Data'!I964</f>
        <v/>
      </c>
      <c r="F975" s="29">
        <f>RANK(D975,$D$23:$D$1022)</f>
        <v/>
      </c>
      <c r="G975" s="30">
        <f>COUNTIF($D$23:$D$1022,"&lt;"&amp;D975)+(COUNTIF($D$23:$D$1022,"="&amp;D975)+1)/2</f>
        <v/>
      </c>
    </row>
    <row r="976">
      <c r="B976" s="27">
        <f>'1 Data'!B965</f>
        <v/>
      </c>
      <c r="C976" s="28">
        <f>$C$12 + '1 Data'!C965*$C$13 + '1 Data'!D965*$C$14 + '1 Data'!E965*$C$15 + '1 Data'!F965*$C$16 + '1 Data'!G965*$C$17 + '1 Data'!H965*$C$18</f>
        <v/>
      </c>
      <c r="D976" s="23">
        <f>1/(1+EXP(-C976))</f>
        <v/>
      </c>
      <c r="E976" s="27">
        <f>'1 Data'!I965</f>
        <v/>
      </c>
      <c r="F976" s="29">
        <f>RANK(D976,$D$23:$D$1022)</f>
        <v/>
      </c>
      <c r="G976" s="30">
        <f>COUNTIF($D$23:$D$1022,"&lt;"&amp;D976)+(COUNTIF($D$23:$D$1022,"="&amp;D976)+1)/2</f>
        <v/>
      </c>
    </row>
    <row r="977">
      <c r="B977" s="27">
        <f>'1 Data'!B966</f>
        <v/>
      </c>
      <c r="C977" s="28">
        <f>$C$12 + '1 Data'!C966*$C$13 + '1 Data'!D966*$C$14 + '1 Data'!E966*$C$15 + '1 Data'!F966*$C$16 + '1 Data'!G966*$C$17 + '1 Data'!H966*$C$18</f>
        <v/>
      </c>
      <c r="D977" s="23">
        <f>1/(1+EXP(-C977))</f>
        <v/>
      </c>
      <c r="E977" s="27">
        <f>'1 Data'!I966</f>
        <v/>
      </c>
      <c r="F977" s="29">
        <f>RANK(D977,$D$23:$D$1022)</f>
        <v/>
      </c>
      <c r="G977" s="30">
        <f>COUNTIF($D$23:$D$1022,"&lt;"&amp;D977)+(COUNTIF($D$23:$D$1022,"="&amp;D977)+1)/2</f>
        <v/>
      </c>
    </row>
    <row r="978">
      <c r="B978" s="27">
        <f>'1 Data'!B967</f>
        <v/>
      </c>
      <c r="C978" s="28">
        <f>$C$12 + '1 Data'!C967*$C$13 + '1 Data'!D967*$C$14 + '1 Data'!E967*$C$15 + '1 Data'!F967*$C$16 + '1 Data'!G967*$C$17 + '1 Data'!H967*$C$18</f>
        <v/>
      </c>
      <c r="D978" s="23">
        <f>1/(1+EXP(-C978))</f>
        <v/>
      </c>
      <c r="E978" s="27">
        <f>'1 Data'!I967</f>
        <v/>
      </c>
      <c r="F978" s="29">
        <f>RANK(D978,$D$23:$D$1022)</f>
        <v/>
      </c>
      <c r="G978" s="30">
        <f>COUNTIF($D$23:$D$1022,"&lt;"&amp;D978)+(COUNTIF($D$23:$D$1022,"="&amp;D978)+1)/2</f>
        <v/>
      </c>
    </row>
    <row r="979">
      <c r="B979" s="27">
        <f>'1 Data'!B968</f>
        <v/>
      </c>
      <c r="C979" s="28">
        <f>$C$12 + '1 Data'!C968*$C$13 + '1 Data'!D968*$C$14 + '1 Data'!E968*$C$15 + '1 Data'!F968*$C$16 + '1 Data'!G968*$C$17 + '1 Data'!H968*$C$18</f>
        <v/>
      </c>
      <c r="D979" s="23">
        <f>1/(1+EXP(-C979))</f>
        <v/>
      </c>
      <c r="E979" s="27">
        <f>'1 Data'!I968</f>
        <v/>
      </c>
      <c r="F979" s="29">
        <f>RANK(D979,$D$23:$D$1022)</f>
        <v/>
      </c>
      <c r="G979" s="30">
        <f>COUNTIF($D$23:$D$1022,"&lt;"&amp;D979)+(COUNTIF($D$23:$D$1022,"="&amp;D979)+1)/2</f>
        <v/>
      </c>
    </row>
    <row r="980">
      <c r="B980" s="27">
        <f>'1 Data'!B969</f>
        <v/>
      </c>
      <c r="C980" s="28">
        <f>$C$12 + '1 Data'!C969*$C$13 + '1 Data'!D969*$C$14 + '1 Data'!E969*$C$15 + '1 Data'!F969*$C$16 + '1 Data'!G969*$C$17 + '1 Data'!H969*$C$18</f>
        <v/>
      </c>
      <c r="D980" s="23">
        <f>1/(1+EXP(-C980))</f>
        <v/>
      </c>
      <c r="E980" s="27">
        <f>'1 Data'!I969</f>
        <v/>
      </c>
      <c r="F980" s="29">
        <f>RANK(D980,$D$23:$D$1022)</f>
        <v/>
      </c>
      <c r="G980" s="30">
        <f>COUNTIF($D$23:$D$1022,"&lt;"&amp;D980)+(COUNTIF($D$23:$D$1022,"="&amp;D980)+1)/2</f>
        <v/>
      </c>
    </row>
    <row r="981">
      <c r="B981" s="27">
        <f>'1 Data'!B970</f>
        <v/>
      </c>
      <c r="C981" s="28">
        <f>$C$12 + '1 Data'!C970*$C$13 + '1 Data'!D970*$C$14 + '1 Data'!E970*$C$15 + '1 Data'!F970*$C$16 + '1 Data'!G970*$C$17 + '1 Data'!H970*$C$18</f>
        <v/>
      </c>
      <c r="D981" s="23">
        <f>1/(1+EXP(-C981))</f>
        <v/>
      </c>
      <c r="E981" s="27">
        <f>'1 Data'!I970</f>
        <v/>
      </c>
      <c r="F981" s="29">
        <f>RANK(D981,$D$23:$D$1022)</f>
        <v/>
      </c>
      <c r="G981" s="30">
        <f>COUNTIF($D$23:$D$1022,"&lt;"&amp;D981)+(COUNTIF($D$23:$D$1022,"="&amp;D981)+1)/2</f>
        <v/>
      </c>
    </row>
    <row r="982">
      <c r="B982" s="27">
        <f>'1 Data'!B971</f>
        <v/>
      </c>
      <c r="C982" s="28">
        <f>$C$12 + '1 Data'!C971*$C$13 + '1 Data'!D971*$C$14 + '1 Data'!E971*$C$15 + '1 Data'!F971*$C$16 + '1 Data'!G971*$C$17 + '1 Data'!H971*$C$18</f>
        <v/>
      </c>
      <c r="D982" s="23">
        <f>1/(1+EXP(-C982))</f>
        <v/>
      </c>
      <c r="E982" s="27">
        <f>'1 Data'!I971</f>
        <v/>
      </c>
      <c r="F982" s="29">
        <f>RANK(D982,$D$23:$D$1022)</f>
        <v/>
      </c>
      <c r="G982" s="30">
        <f>COUNTIF($D$23:$D$1022,"&lt;"&amp;D982)+(COUNTIF($D$23:$D$1022,"="&amp;D982)+1)/2</f>
        <v/>
      </c>
    </row>
    <row r="983">
      <c r="B983" s="27">
        <f>'1 Data'!B972</f>
        <v/>
      </c>
      <c r="C983" s="28">
        <f>$C$12 + '1 Data'!C972*$C$13 + '1 Data'!D972*$C$14 + '1 Data'!E972*$C$15 + '1 Data'!F972*$C$16 + '1 Data'!G972*$C$17 + '1 Data'!H972*$C$18</f>
        <v/>
      </c>
      <c r="D983" s="23">
        <f>1/(1+EXP(-C983))</f>
        <v/>
      </c>
      <c r="E983" s="27">
        <f>'1 Data'!I972</f>
        <v/>
      </c>
      <c r="F983" s="29">
        <f>RANK(D983,$D$23:$D$1022)</f>
        <v/>
      </c>
      <c r="G983" s="30">
        <f>COUNTIF($D$23:$D$1022,"&lt;"&amp;D983)+(COUNTIF($D$23:$D$1022,"="&amp;D983)+1)/2</f>
        <v/>
      </c>
    </row>
    <row r="984">
      <c r="B984" s="27">
        <f>'1 Data'!B973</f>
        <v/>
      </c>
      <c r="C984" s="28">
        <f>$C$12 + '1 Data'!C973*$C$13 + '1 Data'!D973*$C$14 + '1 Data'!E973*$C$15 + '1 Data'!F973*$C$16 + '1 Data'!G973*$C$17 + '1 Data'!H973*$C$18</f>
        <v/>
      </c>
      <c r="D984" s="23">
        <f>1/(1+EXP(-C984))</f>
        <v/>
      </c>
      <c r="E984" s="27">
        <f>'1 Data'!I973</f>
        <v/>
      </c>
      <c r="F984" s="29">
        <f>RANK(D984,$D$23:$D$1022)</f>
        <v/>
      </c>
      <c r="G984" s="30">
        <f>COUNTIF($D$23:$D$1022,"&lt;"&amp;D984)+(COUNTIF($D$23:$D$1022,"="&amp;D984)+1)/2</f>
        <v/>
      </c>
    </row>
    <row r="985">
      <c r="B985" s="27">
        <f>'1 Data'!B974</f>
        <v/>
      </c>
      <c r="C985" s="28">
        <f>$C$12 + '1 Data'!C974*$C$13 + '1 Data'!D974*$C$14 + '1 Data'!E974*$C$15 + '1 Data'!F974*$C$16 + '1 Data'!G974*$C$17 + '1 Data'!H974*$C$18</f>
        <v/>
      </c>
      <c r="D985" s="23">
        <f>1/(1+EXP(-C985))</f>
        <v/>
      </c>
      <c r="E985" s="27">
        <f>'1 Data'!I974</f>
        <v/>
      </c>
      <c r="F985" s="29">
        <f>RANK(D985,$D$23:$D$1022)</f>
        <v/>
      </c>
      <c r="G985" s="30">
        <f>COUNTIF($D$23:$D$1022,"&lt;"&amp;D985)+(COUNTIF($D$23:$D$1022,"="&amp;D985)+1)/2</f>
        <v/>
      </c>
    </row>
    <row r="986">
      <c r="B986" s="27">
        <f>'1 Data'!B975</f>
        <v/>
      </c>
      <c r="C986" s="28">
        <f>$C$12 + '1 Data'!C975*$C$13 + '1 Data'!D975*$C$14 + '1 Data'!E975*$C$15 + '1 Data'!F975*$C$16 + '1 Data'!G975*$C$17 + '1 Data'!H975*$C$18</f>
        <v/>
      </c>
      <c r="D986" s="23">
        <f>1/(1+EXP(-C986))</f>
        <v/>
      </c>
      <c r="E986" s="27">
        <f>'1 Data'!I975</f>
        <v/>
      </c>
      <c r="F986" s="29">
        <f>RANK(D986,$D$23:$D$1022)</f>
        <v/>
      </c>
      <c r="G986" s="30">
        <f>COUNTIF($D$23:$D$1022,"&lt;"&amp;D986)+(COUNTIF($D$23:$D$1022,"="&amp;D986)+1)/2</f>
        <v/>
      </c>
    </row>
    <row r="987">
      <c r="B987" s="27">
        <f>'1 Data'!B976</f>
        <v/>
      </c>
      <c r="C987" s="28">
        <f>$C$12 + '1 Data'!C976*$C$13 + '1 Data'!D976*$C$14 + '1 Data'!E976*$C$15 + '1 Data'!F976*$C$16 + '1 Data'!G976*$C$17 + '1 Data'!H976*$C$18</f>
        <v/>
      </c>
      <c r="D987" s="23">
        <f>1/(1+EXP(-C987))</f>
        <v/>
      </c>
      <c r="E987" s="27">
        <f>'1 Data'!I976</f>
        <v/>
      </c>
      <c r="F987" s="29">
        <f>RANK(D987,$D$23:$D$1022)</f>
        <v/>
      </c>
      <c r="G987" s="30">
        <f>COUNTIF($D$23:$D$1022,"&lt;"&amp;D987)+(COUNTIF($D$23:$D$1022,"="&amp;D987)+1)/2</f>
        <v/>
      </c>
    </row>
    <row r="988">
      <c r="B988" s="27">
        <f>'1 Data'!B977</f>
        <v/>
      </c>
      <c r="C988" s="28">
        <f>$C$12 + '1 Data'!C977*$C$13 + '1 Data'!D977*$C$14 + '1 Data'!E977*$C$15 + '1 Data'!F977*$C$16 + '1 Data'!G977*$C$17 + '1 Data'!H977*$C$18</f>
        <v/>
      </c>
      <c r="D988" s="23">
        <f>1/(1+EXP(-C988))</f>
        <v/>
      </c>
      <c r="E988" s="27">
        <f>'1 Data'!I977</f>
        <v/>
      </c>
      <c r="F988" s="29">
        <f>RANK(D988,$D$23:$D$1022)</f>
        <v/>
      </c>
      <c r="G988" s="30">
        <f>COUNTIF($D$23:$D$1022,"&lt;"&amp;D988)+(COUNTIF($D$23:$D$1022,"="&amp;D988)+1)/2</f>
        <v/>
      </c>
    </row>
    <row r="989">
      <c r="B989" s="27">
        <f>'1 Data'!B978</f>
        <v/>
      </c>
      <c r="C989" s="28">
        <f>$C$12 + '1 Data'!C978*$C$13 + '1 Data'!D978*$C$14 + '1 Data'!E978*$C$15 + '1 Data'!F978*$C$16 + '1 Data'!G978*$C$17 + '1 Data'!H978*$C$18</f>
        <v/>
      </c>
      <c r="D989" s="23">
        <f>1/(1+EXP(-C989))</f>
        <v/>
      </c>
      <c r="E989" s="27">
        <f>'1 Data'!I978</f>
        <v/>
      </c>
      <c r="F989" s="29">
        <f>RANK(D989,$D$23:$D$1022)</f>
        <v/>
      </c>
      <c r="G989" s="30">
        <f>COUNTIF($D$23:$D$1022,"&lt;"&amp;D989)+(COUNTIF($D$23:$D$1022,"="&amp;D989)+1)/2</f>
        <v/>
      </c>
    </row>
    <row r="990">
      <c r="B990" s="27">
        <f>'1 Data'!B979</f>
        <v/>
      </c>
      <c r="C990" s="28">
        <f>$C$12 + '1 Data'!C979*$C$13 + '1 Data'!D979*$C$14 + '1 Data'!E979*$C$15 + '1 Data'!F979*$C$16 + '1 Data'!G979*$C$17 + '1 Data'!H979*$C$18</f>
        <v/>
      </c>
      <c r="D990" s="23">
        <f>1/(1+EXP(-C990))</f>
        <v/>
      </c>
      <c r="E990" s="27">
        <f>'1 Data'!I979</f>
        <v/>
      </c>
      <c r="F990" s="29">
        <f>RANK(D990,$D$23:$D$1022)</f>
        <v/>
      </c>
      <c r="G990" s="30">
        <f>COUNTIF($D$23:$D$1022,"&lt;"&amp;D990)+(COUNTIF($D$23:$D$1022,"="&amp;D990)+1)/2</f>
        <v/>
      </c>
    </row>
    <row r="991">
      <c r="B991" s="27">
        <f>'1 Data'!B980</f>
        <v/>
      </c>
      <c r="C991" s="28">
        <f>$C$12 + '1 Data'!C980*$C$13 + '1 Data'!D980*$C$14 + '1 Data'!E980*$C$15 + '1 Data'!F980*$C$16 + '1 Data'!G980*$C$17 + '1 Data'!H980*$C$18</f>
        <v/>
      </c>
      <c r="D991" s="23">
        <f>1/(1+EXP(-C991))</f>
        <v/>
      </c>
      <c r="E991" s="27">
        <f>'1 Data'!I980</f>
        <v/>
      </c>
      <c r="F991" s="29">
        <f>RANK(D991,$D$23:$D$1022)</f>
        <v/>
      </c>
      <c r="G991" s="30">
        <f>COUNTIF($D$23:$D$1022,"&lt;"&amp;D991)+(COUNTIF($D$23:$D$1022,"="&amp;D991)+1)/2</f>
        <v/>
      </c>
    </row>
    <row r="992">
      <c r="B992" s="27">
        <f>'1 Data'!B981</f>
        <v/>
      </c>
      <c r="C992" s="28">
        <f>$C$12 + '1 Data'!C981*$C$13 + '1 Data'!D981*$C$14 + '1 Data'!E981*$C$15 + '1 Data'!F981*$C$16 + '1 Data'!G981*$C$17 + '1 Data'!H981*$C$18</f>
        <v/>
      </c>
      <c r="D992" s="23">
        <f>1/(1+EXP(-C992))</f>
        <v/>
      </c>
      <c r="E992" s="27">
        <f>'1 Data'!I981</f>
        <v/>
      </c>
      <c r="F992" s="29">
        <f>RANK(D992,$D$23:$D$1022)</f>
        <v/>
      </c>
      <c r="G992" s="30">
        <f>COUNTIF($D$23:$D$1022,"&lt;"&amp;D992)+(COUNTIF($D$23:$D$1022,"="&amp;D992)+1)/2</f>
        <v/>
      </c>
    </row>
    <row r="993">
      <c r="B993" s="27">
        <f>'1 Data'!B982</f>
        <v/>
      </c>
      <c r="C993" s="28">
        <f>$C$12 + '1 Data'!C982*$C$13 + '1 Data'!D982*$C$14 + '1 Data'!E982*$C$15 + '1 Data'!F982*$C$16 + '1 Data'!G982*$C$17 + '1 Data'!H982*$C$18</f>
        <v/>
      </c>
      <c r="D993" s="23">
        <f>1/(1+EXP(-C993))</f>
        <v/>
      </c>
      <c r="E993" s="27">
        <f>'1 Data'!I982</f>
        <v/>
      </c>
      <c r="F993" s="29">
        <f>RANK(D993,$D$23:$D$1022)</f>
        <v/>
      </c>
      <c r="G993" s="30">
        <f>COUNTIF($D$23:$D$1022,"&lt;"&amp;D993)+(COUNTIF($D$23:$D$1022,"="&amp;D993)+1)/2</f>
        <v/>
      </c>
    </row>
    <row r="994">
      <c r="B994" s="27">
        <f>'1 Data'!B983</f>
        <v/>
      </c>
      <c r="C994" s="28">
        <f>$C$12 + '1 Data'!C983*$C$13 + '1 Data'!D983*$C$14 + '1 Data'!E983*$C$15 + '1 Data'!F983*$C$16 + '1 Data'!G983*$C$17 + '1 Data'!H983*$C$18</f>
        <v/>
      </c>
      <c r="D994" s="23">
        <f>1/(1+EXP(-C994))</f>
        <v/>
      </c>
      <c r="E994" s="27">
        <f>'1 Data'!I983</f>
        <v/>
      </c>
      <c r="F994" s="29">
        <f>RANK(D994,$D$23:$D$1022)</f>
        <v/>
      </c>
      <c r="G994" s="30">
        <f>COUNTIF($D$23:$D$1022,"&lt;"&amp;D994)+(COUNTIF($D$23:$D$1022,"="&amp;D994)+1)/2</f>
        <v/>
      </c>
    </row>
    <row r="995">
      <c r="B995" s="27">
        <f>'1 Data'!B984</f>
        <v/>
      </c>
      <c r="C995" s="28">
        <f>$C$12 + '1 Data'!C984*$C$13 + '1 Data'!D984*$C$14 + '1 Data'!E984*$C$15 + '1 Data'!F984*$C$16 + '1 Data'!G984*$C$17 + '1 Data'!H984*$C$18</f>
        <v/>
      </c>
      <c r="D995" s="23">
        <f>1/(1+EXP(-C995))</f>
        <v/>
      </c>
      <c r="E995" s="27">
        <f>'1 Data'!I984</f>
        <v/>
      </c>
      <c r="F995" s="29">
        <f>RANK(D995,$D$23:$D$1022)</f>
        <v/>
      </c>
      <c r="G995" s="30">
        <f>COUNTIF($D$23:$D$1022,"&lt;"&amp;D995)+(COUNTIF($D$23:$D$1022,"="&amp;D995)+1)/2</f>
        <v/>
      </c>
    </row>
    <row r="996">
      <c r="B996" s="27">
        <f>'1 Data'!B985</f>
        <v/>
      </c>
      <c r="C996" s="28">
        <f>$C$12 + '1 Data'!C985*$C$13 + '1 Data'!D985*$C$14 + '1 Data'!E985*$C$15 + '1 Data'!F985*$C$16 + '1 Data'!G985*$C$17 + '1 Data'!H985*$C$18</f>
        <v/>
      </c>
      <c r="D996" s="23">
        <f>1/(1+EXP(-C996))</f>
        <v/>
      </c>
      <c r="E996" s="27">
        <f>'1 Data'!I985</f>
        <v/>
      </c>
      <c r="F996" s="29">
        <f>RANK(D996,$D$23:$D$1022)</f>
        <v/>
      </c>
      <c r="G996" s="30">
        <f>COUNTIF($D$23:$D$1022,"&lt;"&amp;D996)+(COUNTIF($D$23:$D$1022,"="&amp;D996)+1)/2</f>
        <v/>
      </c>
    </row>
    <row r="997">
      <c r="B997" s="27">
        <f>'1 Data'!B986</f>
        <v/>
      </c>
      <c r="C997" s="28">
        <f>$C$12 + '1 Data'!C986*$C$13 + '1 Data'!D986*$C$14 + '1 Data'!E986*$C$15 + '1 Data'!F986*$C$16 + '1 Data'!G986*$C$17 + '1 Data'!H986*$C$18</f>
        <v/>
      </c>
      <c r="D997" s="23">
        <f>1/(1+EXP(-C997))</f>
        <v/>
      </c>
      <c r="E997" s="27">
        <f>'1 Data'!I986</f>
        <v/>
      </c>
      <c r="F997" s="29">
        <f>RANK(D997,$D$23:$D$1022)</f>
        <v/>
      </c>
      <c r="G997" s="30">
        <f>COUNTIF($D$23:$D$1022,"&lt;"&amp;D997)+(COUNTIF($D$23:$D$1022,"="&amp;D997)+1)/2</f>
        <v/>
      </c>
    </row>
    <row r="998">
      <c r="B998" s="27">
        <f>'1 Data'!B987</f>
        <v/>
      </c>
      <c r="C998" s="28">
        <f>$C$12 + '1 Data'!C987*$C$13 + '1 Data'!D987*$C$14 + '1 Data'!E987*$C$15 + '1 Data'!F987*$C$16 + '1 Data'!G987*$C$17 + '1 Data'!H987*$C$18</f>
        <v/>
      </c>
      <c r="D998" s="23">
        <f>1/(1+EXP(-C998))</f>
        <v/>
      </c>
      <c r="E998" s="27">
        <f>'1 Data'!I987</f>
        <v/>
      </c>
      <c r="F998" s="29">
        <f>RANK(D998,$D$23:$D$1022)</f>
        <v/>
      </c>
      <c r="G998" s="30">
        <f>COUNTIF($D$23:$D$1022,"&lt;"&amp;D998)+(COUNTIF($D$23:$D$1022,"="&amp;D998)+1)/2</f>
        <v/>
      </c>
    </row>
    <row r="999">
      <c r="B999" s="27">
        <f>'1 Data'!B988</f>
        <v/>
      </c>
      <c r="C999" s="28">
        <f>$C$12 + '1 Data'!C988*$C$13 + '1 Data'!D988*$C$14 + '1 Data'!E988*$C$15 + '1 Data'!F988*$C$16 + '1 Data'!G988*$C$17 + '1 Data'!H988*$C$18</f>
        <v/>
      </c>
      <c r="D999" s="23">
        <f>1/(1+EXP(-C999))</f>
        <v/>
      </c>
      <c r="E999" s="27">
        <f>'1 Data'!I988</f>
        <v/>
      </c>
      <c r="F999" s="29">
        <f>RANK(D999,$D$23:$D$1022)</f>
        <v/>
      </c>
      <c r="G999" s="30">
        <f>COUNTIF($D$23:$D$1022,"&lt;"&amp;D999)+(COUNTIF($D$23:$D$1022,"="&amp;D999)+1)/2</f>
        <v/>
      </c>
    </row>
    <row r="1000">
      <c r="B1000" s="27">
        <f>'1 Data'!B989</f>
        <v/>
      </c>
      <c r="C1000" s="28">
        <f>$C$12 + '1 Data'!C989*$C$13 + '1 Data'!D989*$C$14 + '1 Data'!E989*$C$15 + '1 Data'!F989*$C$16 + '1 Data'!G989*$C$17 + '1 Data'!H989*$C$18</f>
        <v/>
      </c>
      <c r="D1000" s="23">
        <f>1/(1+EXP(-C1000))</f>
        <v/>
      </c>
      <c r="E1000" s="27">
        <f>'1 Data'!I989</f>
        <v/>
      </c>
      <c r="F1000" s="29">
        <f>RANK(D1000,$D$23:$D$1022)</f>
        <v/>
      </c>
      <c r="G1000" s="30">
        <f>COUNTIF($D$23:$D$1022,"&lt;"&amp;D1000)+(COUNTIF($D$23:$D$1022,"="&amp;D1000)+1)/2</f>
        <v/>
      </c>
    </row>
    <row r="1001">
      <c r="B1001" s="27">
        <f>'1 Data'!B990</f>
        <v/>
      </c>
      <c r="C1001" s="28">
        <f>$C$12 + '1 Data'!C990*$C$13 + '1 Data'!D990*$C$14 + '1 Data'!E990*$C$15 + '1 Data'!F990*$C$16 + '1 Data'!G990*$C$17 + '1 Data'!H990*$C$18</f>
        <v/>
      </c>
      <c r="D1001" s="23">
        <f>1/(1+EXP(-C1001))</f>
        <v/>
      </c>
      <c r="E1001" s="27">
        <f>'1 Data'!I990</f>
        <v/>
      </c>
      <c r="F1001" s="29">
        <f>RANK(D1001,$D$23:$D$1022)</f>
        <v/>
      </c>
      <c r="G1001" s="30">
        <f>COUNTIF($D$23:$D$1022,"&lt;"&amp;D1001)+(COUNTIF($D$23:$D$1022,"="&amp;D1001)+1)/2</f>
        <v/>
      </c>
    </row>
    <row r="1002">
      <c r="B1002" s="27">
        <f>'1 Data'!B991</f>
        <v/>
      </c>
      <c r="C1002" s="28">
        <f>$C$12 + '1 Data'!C991*$C$13 + '1 Data'!D991*$C$14 + '1 Data'!E991*$C$15 + '1 Data'!F991*$C$16 + '1 Data'!G991*$C$17 + '1 Data'!H991*$C$18</f>
        <v/>
      </c>
      <c r="D1002" s="23">
        <f>1/(1+EXP(-C1002))</f>
        <v/>
      </c>
      <c r="E1002" s="27">
        <f>'1 Data'!I991</f>
        <v/>
      </c>
      <c r="F1002" s="29">
        <f>RANK(D1002,$D$23:$D$1022)</f>
        <v/>
      </c>
      <c r="G1002" s="30">
        <f>COUNTIF($D$23:$D$1022,"&lt;"&amp;D1002)+(COUNTIF($D$23:$D$1022,"="&amp;D1002)+1)/2</f>
        <v/>
      </c>
    </row>
    <row r="1003">
      <c r="B1003" s="27">
        <f>'1 Data'!B992</f>
        <v/>
      </c>
      <c r="C1003" s="28">
        <f>$C$12 + '1 Data'!C992*$C$13 + '1 Data'!D992*$C$14 + '1 Data'!E992*$C$15 + '1 Data'!F992*$C$16 + '1 Data'!G992*$C$17 + '1 Data'!H992*$C$18</f>
        <v/>
      </c>
      <c r="D1003" s="23">
        <f>1/(1+EXP(-C1003))</f>
        <v/>
      </c>
      <c r="E1003" s="27">
        <f>'1 Data'!I992</f>
        <v/>
      </c>
      <c r="F1003" s="29">
        <f>RANK(D1003,$D$23:$D$1022)</f>
        <v/>
      </c>
      <c r="G1003" s="30">
        <f>COUNTIF($D$23:$D$1022,"&lt;"&amp;D1003)+(COUNTIF($D$23:$D$1022,"="&amp;D1003)+1)/2</f>
        <v/>
      </c>
    </row>
    <row r="1004">
      <c r="B1004" s="27">
        <f>'1 Data'!B993</f>
        <v/>
      </c>
      <c r="C1004" s="28">
        <f>$C$12 + '1 Data'!C993*$C$13 + '1 Data'!D993*$C$14 + '1 Data'!E993*$C$15 + '1 Data'!F993*$C$16 + '1 Data'!G993*$C$17 + '1 Data'!H993*$C$18</f>
        <v/>
      </c>
      <c r="D1004" s="23">
        <f>1/(1+EXP(-C1004))</f>
        <v/>
      </c>
      <c r="E1004" s="27">
        <f>'1 Data'!I993</f>
        <v/>
      </c>
      <c r="F1004" s="29">
        <f>RANK(D1004,$D$23:$D$1022)</f>
        <v/>
      </c>
      <c r="G1004" s="30">
        <f>COUNTIF($D$23:$D$1022,"&lt;"&amp;D1004)+(COUNTIF($D$23:$D$1022,"="&amp;D1004)+1)/2</f>
        <v/>
      </c>
    </row>
    <row r="1005">
      <c r="B1005" s="27">
        <f>'1 Data'!B994</f>
        <v/>
      </c>
      <c r="C1005" s="28">
        <f>$C$12 + '1 Data'!C994*$C$13 + '1 Data'!D994*$C$14 + '1 Data'!E994*$C$15 + '1 Data'!F994*$C$16 + '1 Data'!G994*$C$17 + '1 Data'!H994*$C$18</f>
        <v/>
      </c>
      <c r="D1005" s="23">
        <f>1/(1+EXP(-C1005))</f>
        <v/>
      </c>
      <c r="E1005" s="27">
        <f>'1 Data'!I994</f>
        <v/>
      </c>
      <c r="F1005" s="29">
        <f>RANK(D1005,$D$23:$D$1022)</f>
        <v/>
      </c>
      <c r="G1005" s="30">
        <f>COUNTIF($D$23:$D$1022,"&lt;"&amp;D1005)+(COUNTIF($D$23:$D$1022,"="&amp;D1005)+1)/2</f>
        <v/>
      </c>
    </row>
    <row r="1006">
      <c r="B1006" s="27">
        <f>'1 Data'!B995</f>
        <v/>
      </c>
      <c r="C1006" s="28">
        <f>$C$12 + '1 Data'!C995*$C$13 + '1 Data'!D995*$C$14 + '1 Data'!E995*$C$15 + '1 Data'!F995*$C$16 + '1 Data'!G995*$C$17 + '1 Data'!H995*$C$18</f>
        <v/>
      </c>
      <c r="D1006" s="23">
        <f>1/(1+EXP(-C1006))</f>
        <v/>
      </c>
      <c r="E1006" s="27">
        <f>'1 Data'!I995</f>
        <v/>
      </c>
      <c r="F1006" s="29">
        <f>RANK(D1006,$D$23:$D$1022)</f>
        <v/>
      </c>
      <c r="G1006" s="30">
        <f>COUNTIF($D$23:$D$1022,"&lt;"&amp;D1006)+(COUNTIF($D$23:$D$1022,"="&amp;D1006)+1)/2</f>
        <v/>
      </c>
    </row>
    <row r="1007">
      <c r="B1007" s="27">
        <f>'1 Data'!B996</f>
        <v/>
      </c>
      <c r="C1007" s="28">
        <f>$C$12 + '1 Data'!C996*$C$13 + '1 Data'!D996*$C$14 + '1 Data'!E996*$C$15 + '1 Data'!F996*$C$16 + '1 Data'!G996*$C$17 + '1 Data'!H996*$C$18</f>
        <v/>
      </c>
      <c r="D1007" s="23">
        <f>1/(1+EXP(-C1007))</f>
        <v/>
      </c>
      <c r="E1007" s="27">
        <f>'1 Data'!I996</f>
        <v/>
      </c>
      <c r="F1007" s="29">
        <f>RANK(D1007,$D$23:$D$1022)</f>
        <v/>
      </c>
      <c r="G1007" s="30">
        <f>COUNTIF($D$23:$D$1022,"&lt;"&amp;D1007)+(COUNTIF($D$23:$D$1022,"="&amp;D1007)+1)/2</f>
        <v/>
      </c>
    </row>
    <row r="1008">
      <c r="B1008" s="27">
        <f>'1 Data'!B997</f>
        <v/>
      </c>
      <c r="C1008" s="28">
        <f>$C$12 + '1 Data'!C997*$C$13 + '1 Data'!D997*$C$14 + '1 Data'!E997*$C$15 + '1 Data'!F997*$C$16 + '1 Data'!G997*$C$17 + '1 Data'!H997*$C$18</f>
        <v/>
      </c>
      <c r="D1008" s="23">
        <f>1/(1+EXP(-C1008))</f>
        <v/>
      </c>
      <c r="E1008" s="27">
        <f>'1 Data'!I997</f>
        <v/>
      </c>
      <c r="F1008" s="29">
        <f>RANK(D1008,$D$23:$D$1022)</f>
        <v/>
      </c>
      <c r="G1008" s="30">
        <f>COUNTIF($D$23:$D$1022,"&lt;"&amp;D1008)+(COUNTIF($D$23:$D$1022,"="&amp;D1008)+1)/2</f>
        <v/>
      </c>
    </row>
    <row r="1009">
      <c r="B1009" s="27">
        <f>'1 Data'!B998</f>
        <v/>
      </c>
      <c r="C1009" s="28">
        <f>$C$12 + '1 Data'!C998*$C$13 + '1 Data'!D998*$C$14 + '1 Data'!E998*$C$15 + '1 Data'!F998*$C$16 + '1 Data'!G998*$C$17 + '1 Data'!H998*$C$18</f>
        <v/>
      </c>
      <c r="D1009" s="23">
        <f>1/(1+EXP(-C1009))</f>
        <v/>
      </c>
      <c r="E1009" s="27">
        <f>'1 Data'!I998</f>
        <v/>
      </c>
      <c r="F1009" s="29">
        <f>RANK(D1009,$D$23:$D$1022)</f>
        <v/>
      </c>
      <c r="G1009" s="30">
        <f>COUNTIF($D$23:$D$1022,"&lt;"&amp;D1009)+(COUNTIF($D$23:$D$1022,"="&amp;D1009)+1)/2</f>
        <v/>
      </c>
    </row>
    <row r="1010">
      <c r="B1010" s="27">
        <f>'1 Data'!B999</f>
        <v/>
      </c>
      <c r="C1010" s="28">
        <f>$C$12 + '1 Data'!C999*$C$13 + '1 Data'!D999*$C$14 + '1 Data'!E999*$C$15 + '1 Data'!F999*$C$16 + '1 Data'!G999*$C$17 + '1 Data'!H999*$C$18</f>
        <v/>
      </c>
      <c r="D1010" s="23">
        <f>1/(1+EXP(-C1010))</f>
        <v/>
      </c>
      <c r="E1010" s="27">
        <f>'1 Data'!I999</f>
        <v/>
      </c>
      <c r="F1010" s="29">
        <f>RANK(D1010,$D$23:$D$1022)</f>
        <v/>
      </c>
      <c r="G1010" s="30">
        <f>COUNTIF($D$23:$D$1022,"&lt;"&amp;D1010)+(COUNTIF($D$23:$D$1022,"="&amp;D1010)+1)/2</f>
        <v/>
      </c>
    </row>
    <row r="1011">
      <c r="B1011" s="27">
        <f>'1 Data'!B1000</f>
        <v/>
      </c>
      <c r="C1011" s="28">
        <f>$C$12 + '1 Data'!C1000*$C$13 + '1 Data'!D1000*$C$14 + '1 Data'!E1000*$C$15 + '1 Data'!F1000*$C$16 + '1 Data'!G1000*$C$17 + '1 Data'!H1000*$C$18</f>
        <v/>
      </c>
      <c r="D1011" s="23">
        <f>1/(1+EXP(-C1011))</f>
        <v/>
      </c>
      <c r="E1011" s="27">
        <f>'1 Data'!I1000</f>
        <v/>
      </c>
      <c r="F1011" s="29">
        <f>RANK(D1011,$D$23:$D$1022)</f>
        <v/>
      </c>
      <c r="G1011" s="30">
        <f>COUNTIF($D$23:$D$1022,"&lt;"&amp;D1011)+(COUNTIF($D$23:$D$1022,"="&amp;D1011)+1)/2</f>
        <v/>
      </c>
    </row>
    <row r="1012">
      <c r="B1012" s="27">
        <f>'1 Data'!B1001</f>
        <v/>
      </c>
      <c r="C1012" s="28">
        <f>$C$12 + '1 Data'!C1001*$C$13 + '1 Data'!D1001*$C$14 + '1 Data'!E1001*$C$15 + '1 Data'!F1001*$C$16 + '1 Data'!G1001*$C$17 + '1 Data'!H1001*$C$18</f>
        <v/>
      </c>
      <c r="D1012" s="23">
        <f>1/(1+EXP(-C1012))</f>
        <v/>
      </c>
      <c r="E1012" s="27">
        <f>'1 Data'!I1001</f>
        <v/>
      </c>
      <c r="F1012" s="29">
        <f>RANK(D1012,$D$23:$D$1022)</f>
        <v/>
      </c>
      <c r="G1012" s="30">
        <f>COUNTIF($D$23:$D$1022,"&lt;"&amp;D1012)+(COUNTIF($D$23:$D$1022,"="&amp;D1012)+1)/2</f>
        <v/>
      </c>
    </row>
    <row r="1013">
      <c r="B1013" s="27">
        <f>'1 Data'!B1002</f>
        <v/>
      </c>
      <c r="C1013" s="28">
        <f>$C$12 + '1 Data'!C1002*$C$13 + '1 Data'!D1002*$C$14 + '1 Data'!E1002*$C$15 + '1 Data'!F1002*$C$16 + '1 Data'!G1002*$C$17 + '1 Data'!H1002*$C$18</f>
        <v/>
      </c>
      <c r="D1013" s="23">
        <f>1/(1+EXP(-C1013))</f>
        <v/>
      </c>
      <c r="E1013" s="27">
        <f>'1 Data'!I1002</f>
        <v/>
      </c>
      <c r="F1013" s="29">
        <f>RANK(D1013,$D$23:$D$1022)</f>
        <v/>
      </c>
      <c r="G1013" s="30">
        <f>COUNTIF($D$23:$D$1022,"&lt;"&amp;D1013)+(COUNTIF($D$23:$D$1022,"="&amp;D1013)+1)/2</f>
        <v/>
      </c>
    </row>
    <row r="1014">
      <c r="B1014" s="27">
        <f>'1 Data'!B1003</f>
        <v/>
      </c>
      <c r="C1014" s="28">
        <f>$C$12 + '1 Data'!C1003*$C$13 + '1 Data'!D1003*$C$14 + '1 Data'!E1003*$C$15 + '1 Data'!F1003*$C$16 + '1 Data'!G1003*$C$17 + '1 Data'!H1003*$C$18</f>
        <v/>
      </c>
      <c r="D1014" s="23">
        <f>1/(1+EXP(-C1014))</f>
        <v/>
      </c>
      <c r="E1014" s="27">
        <f>'1 Data'!I1003</f>
        <v/>
      </c>
      <c r="F1014" s="29">
        <f>RANK(D1014,$D$23:$D$1022)</f>
        <v/>
      </c>
      <c r="G1014" s="30">
        <f>COUNTIF($D$23:$D$1022,"&lt;"&amp;D1014)+(COUNTIF($D$23:$D$1022,"="&amp;D1014)+1)/2</f>
        <v/>
      </c>
    </row>
    <row r="1015">
      <c r="B1015" s="27">
        <f>'1 Data'!B1004</f>
        <v/>
      </c>
      <c r="C1015" s="28">
        <f>$C$12 + '1 Data'!C1004*$C$13 + '1 Data'!D1004*$C$14 + '1 Data'!E1004*$C$15 + '1 Data'!F1004*$C$16 + '1 Data'!G1004*$C$17 + '1 Data'!H1004*$C$18</f>
        <v/>
      </c>
      <c r="D1015" s="23">
        <f>1/(1+EXP(-C1015))</f>
        <v/>
      </c>
      <c r="E1015" s="27">
        <f>'1 Data'!I1004</f>
        <v/>
      </c>
      <c r="F1015" s="29">
        <f>RANK(D1015,$D$23:$D$1022)</f>
        <v/>
      </c>
      <c r="G1015" s="30">
        <f>COUNTIF($D$23:$D$1022,"&lt;"&amp;D1015)+(COUNTIF($D$23:$D$1022,"="&amp;D1015)+1)/2</f>
        <v/>
      </c>
    </row>
    <row r="1016">
      <c r="B1016" s="27">
        <f>'1 Data'!B1005</f>
        <v/>
      </c>
      <c r="C1016" s="28">
        <f>$C$12 + '1 Data'!C1005*$C$13 + '1 Data'!D1005*$C$14 + '1 Data'!E1005*$C$15 + '1 Data'!F1005*$C$16 + '1 Data'!G1005*$C$17 + '1 Data'!H1005*$C$18</f>
        <v/>
      </c>
      <c r="D1016" s="23">
        <f>1/(1+EXP(-C1016))</f>
        <v/>
      </c>
      <c r="E1016" s="27">
        <f>'1 Data'!I1005</f>
        <v/>
      </c>
      <c r="F1016" s="29">
        <f>RANK(D1016,$D$23:$D$1022)</f>
        <v/>
      </c>
      <c r="G1016" s="30">
        <f>COUNTIF($D$23:$D$1022,"&lt;"&amp;D1016)+(COUNTIF($D$23:$D$1022,"="&amp;D1016)+1)/2</f>
        <v/>
      </c>
    </row>
    <row r="1017">
      <c r="B1017" s="27">
        <f>'1 Data'!B1006</f>
        <v/>
      </c>
      <c r="C1017" s="28">
        <f>$C$12 + '1 Data'!C1006*$C$13 + '1 Data'!D1006*$C$14 + '1 Data'!E1006*$C$15 + '1 Data'!F1006*$C$16 + '1 Data'!G1006*$C$17 + '1 Data'!H1006*$C$18</f>
        <v/>
      </c>
      <c r="D1017" s="23">
        <f>1/(1+EXP(-C1017))</f>
        <v/>
      </c>
      <c r="E1017" s="27">
        <f>'1 Data'!I1006</f>
        <v/>
      </c>
      <c r="F1017" s="29">
        <f>RANK(D1017,$D$23:$D$1022)</f>
        <v/>
      </c>
      <c r="G1017" s="30">
        <f>COUNTIF($D$23:$D$1022,"&lt;"&amp;D1017)+(COUNTIF($D$23:$D$1022,"="&amp;D1017)+1)/2</f>
        <v/>
      </c>
    </row>
    <row r="1018">
      <c r="B1018" s="27">
        <f>'1 Data'!B1007</f>
        <v/>
      </c>
      <c r="C1018" s="28">
        <f>$C$12 + '1 Data'!C1007*$C$13 + '1 Data'!D1007*$C$14 + '1 Data'!E1007*$C$15 + '1 Data'!F1007*$C$16 + '1 Data'!G1007*$C$17 + '1 Data'!H1007*$C$18</f>
        <v/>
      </c>
      <c r="D1018" s="23">
        <f>1/(1+EXP(-C1018))</f>
        <v/>
      </c>
      <c r="E1018" s="27">
        <f>'1 Data'!I1007</f>
        <v/>
      </c>
      <c r="F1018" s="29">
        <f>RANK(D1018,$D$23:$D$1022)</f>
        <v/>
      </c>
      <c r="G1018" s="30">
        <f>COUNTIF($D$23:$D$1022,"&lt;"&amp;D1018)+(COUNTIF($D$23:$D$1022,"="&amp;D1018)+1)/2</f>
        <v/>
      </c>
    </row>
    <row r="1019">
      <c r="B1019" s="27">
        <f>'1 Data'!B1008</f>
        <v/>
      </c>
      <c r="C1019" s="28">
        <f>$C$12 + '1 Data'!C1008*$C$13 + '1 Data'!D1008*$C$14 + '1 Data'!E1008*$C$15 + '1 Data'!F1008*$C$16 + '1 Data'!G1008*$C$17 + '1 Data'!H1008*$C$18</f>
        <v/>
      </c>
      <c r="D1019" s="23">
        <f>1/(1+EXP(-C1019))</f>
        <v/>
      </c>
      <c r="E1019" s="27">
        <f>'1 Data'!I1008</f>
        <v/>
      </c>
      <c r="F1019" s="29">
        <f>RANK(D1019,$D$23:$D$1022)</f>
        <v/>
      </c>
      <c r="G1019" s="30">
        <f>COUNTIF($D$23:$D$1022,"&lt;"&amp;D1019)+(COUNTIF($D$23:$D$1022,"="&amp;D1019)+1)/2</f>
        <v/>
      </c>
    </row>
    <row r="1020">
      <c r="B1020" s="27">
        <f>'1 Data'!B1009</f>
        <v/>
      </c>
      <c r="C1020" s="28">
        <f>$C$12 + '1 Data'!C1009*$C$13 + '1 Data'!D1009*$C$14 + '1 Data'!E1009*$C$15 + '1 Data'!F1009*$C$16 + '1 Data'!G1009*$C$17 + '1 Data'!H1009*$C$18</f>
        <v/>
      </c>
      <c r="D1020" s="23">
        <f>1/(1+EXP(-C1020))</f>
        <v/>
      </c>
      <c r="E1020" s="27">
        <f>'1 Data'!I1009</f>
        <v/>
      </c>
      <c r="F1020" s="29">
        <f>RANK(D1020,$D$23:$D$1022)</f>
        <v/>
      </c>
      <c r="G1020" s="30">
        <f>COUNTIF($D$23:$D$1022,"&lt;"&amp;D1020)+(COUNTIF($D$23:$D$1022,"="&amp;D1020)+1)/2</f>
        <v/>
      </c>
    </row>
    <row r="1021">
      <c r="B1021" s="27">
        <f>'1 Data'!B1010</f>
        <v/>
      </c>
      <c r="C1021" s="28">
        <f>$C$12 + '1 Data'!C1010*$C$13 + '1 Data'!D1010*$C$14 + '1 Data'!E1010*$C$15 + '1 Data'!F1010*$C$16 + '1 Data'!G1010*$C$17 + '1 Data'!H1010*$C$18</f>
        <v/>
      </c>
      <c r="D1021" s="23">
        <f>1/(1+EXP(-C1021))</f>
        <v/>
      </c>
      <c r="E1021" s="27">
        <f>'1 Data'!I1010</f>
        <v/>
      </c>
      <c r="F1021" s="29">
        <f>RANK(D1021,$D$23:$D$1022)</f>
        <v/>
      </c>
      <c r="G1021" s="30">
        <f>COUNTIF($D$23:$D$1022,"&lt;"&amp;D1021)+(COUNTIF($D$23:$D$1022,"="&amp;D1021)+1)/2</f>
        <v/>
      </c>
    </row>
    <row r="1022">
      <c r="B1022" s="27">
        <f>'1 Data'!B1011</f>
        <v/>
      </c>
      <c r="C1022" s="28">
        <f>$C$12 + '1 Data'!C1011*$C$13 + '1 Data'!D1011*$C$14 + '1 Data'!E1011*$C$15 + '1 Data'!F1011*$C$16 + '1 Data'!G1011*$C$17 + '1 Data'!H1011*$C$18</f>
        <v/>
      </c>
      <c r="D1022" s="23">
        <f>1/(1+EXP(-C1022))</f>
        <v/>
      </c>
      <c r="E1022" s="27">
        <f>'1 Data'!I1011</f>
        <v/>
      </c>
      <c r="F1022" s="29">
        <f>RANK(D1022,$D$23:$D$1022)</f>
        <v/>
      </c>
      <c r="G1022" s="30">
        <f>COUNTIF($D$23:$D$1022,"&lt;"&amp;D1022)+(COUNTIF($D$23:$D$1022,"="&amp;D1022)+1)/2</f>
        <v/>
      </c>
    </row>
  </sheetData>
  <mergeCells count="11">
    <mergeCell ref="B3:G3"/>
    <mergeCell ref="B2:G2"/>
    <mergeCell ref="B20:G20"/>
    <mergeCell ref="B5:G8"/>
    <mergeCell ref="I12:P14"/>
    <mergeCell ref="I16:P16"/>
    <mergeCell ref="I11:P11"/>
    <mergeCell ref="B4:G4"/>
    <mergeCell ref="I26:K26"/>
    <mergeCell ref="I27:P27"/>
    <mergeCell ref="I25:K25"/>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2:P1022"/>
  <sheetViews>
    <sheetView showGridLines="0" workbookViewId="0">
      <pane xSplit="1" ySplit="22" topLeftCell="B23" activePane="bottomRight" state="frozen"/>
      <selection pane="topRight"/>
      <selection pane="bottomLeft"/>
      <selection pane="bottomRight" activeCell="A1" sqref="A1"/>
    </sheetView>
  </sheetViews>
  <sheetFormatPr baseColWidth="8" defaultRowHeight="15"/>
  <cols>
    <col width="7" customWidth="1" min="2" max="2"/>
    <col width="11" customWidth="1" min="3" max="3"/>
    <col width="10" customWidth="1" min="4" max="4"/>
    <col width="13" customWidth="1" min="5" max="5"/>
    <col width="15" customWidth="1" min="6" max="6"/>
    <col width="46"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2" ht="28" customHeight="1">
      <c r="B2" s="1" t="inlineStr">
        <is>
          <t>Model 2 — Decision tree</t>
        </is>
      </c>
    </row>
    <row r="3">
      <c r="B3" s="2" t="inlineStr">
        <is>
          <t>A flowchart of yes-or-no questions. Every customer falls into exactly one box.</t>
        </is>
      </c>
    </row>
    <row r="4" ht="4" customHeight="1">
      <c r="B4" s="3" t="inlineStr"/>
    </row>
    <row r="5" ht="15" customHeight="1">
      <c r="B5" s="4" t="inlineStr">
        <is>
          <t>The tree was grown to a depth of three, which gives the seven boxes below. There is no equation behind a box. Its PD is simply the share of the TRAINING customers in that box who went on to default: PD = defaulted / customers, and column F computes exactly that. Box 2 holds 15,386 customers of whom 1,992 defaulted, so its PD is 12.95%. Anyone new who lands in box 2 is given that same 12.95%.
Column C finds the box with a nested IF, and column D looks up that box's PD. Both are live formulas, so a tree is still something you can rebuild inside a spreadsheet. That stops being true for the next model.</t>
        </is>
      </c>
    </row>
    <row r="6" ht="15" customHeight="1"/>
    <row r="7" ht="15" customHeight="1"/>
    <row r="8" ht="15" customHeight="1"/>
    <row r="11" ht="22" customHeight="1">
      <c r="B11" s="5" t="inlineStr">
        <is>
          <t>Box</t>
        </is>
      </c>
      <c r="C11" s="5" t="inlineStr">
        <is>
          <t>Defaulted</t>
        </is>
      </c>
      <c r="D11" s="5" t="inlineStr">
        <is>
          <t>Did not</t>
        </is>
      </c>
      <c r="E11" s="5" t="inlineStr">
        <is>
          <t>Customers in it</t>
        </is>
      </c>
      <c r="F11" s="5" t="inlineStr">
        <is>
          <t>PD of that box  =  defaulted / customers</t>
        </is>
      </c>
      <c r="G11" s="5" t="inlineStr">
        <is>
          <t>Rule — a customer lands here when</t>
        </is>
      </c>
      <c r="H11" s="12" t="inlineStr">
        <is>
          <t xml:space="preserve">   THE FORMULA — the whole tree is one nested IF</t>
        </is>
      </c>
    </row>
    <row r="12" ht="26" customHeight="1">
      <c r="B12" s="34" t="n">
        <v>1</v>
      </c>
      <c r="C12" s="35" t="n">
        <v>448</v>
      </c>
      <c r="D12" s="35" t="n">
        <v>1375</v>
      </c>
      <c r="E12" s="36">
        <f>C12+D12</f>
        <v/>
      </c>
      <c r="F12" s="37">
        <f>C12/E12</f>
        <v/>
      </c>
      <c r="G12" s="38" t="inlineStr">
        <is>
          <t>PAY_0 &lt;= 1.5  and  PAY_2 &lt;= 1.5  and  UTILISATION &lt;= 0.0003</t>
        </is>
      </c>
      <c r="H12" s="39" t="inlineStr">
        <is>
          <t>IF  PAY_0 ≤ 1.5
        THEN  IF PAY_2 ≤ 1.5  THEN ( UTILISATION ≤ 0.0003 → Box 1, else Box 2 )
                              ELSE ( LIMIT_BAL ≤ 165,000 → Box 3, else Box 4 )
        ELSE  IF UTILISATION ≤ 0.0652  THEN Box 5
                              ELSE ( UTILISATION ≤ 0.716 → Box 6, else Box 7 )
Then look up that box's PD in the table on the left. Column C does the first part, column D the second.</t>
        </is>
      </c>
    </row>
    <row r="13" ht="26" customHeight="1">
      <c r="B13" s="34" t="n">
        <v>2</v>
      </c>
      <c r="C13" s="35" t="n">
        <v>1992</v>
      </c>
      <c r="D13" s="35" t="n">
        <v>13394</v>
      </c>
      <c r="E13" s="36">
        <f>C13+D13</f>
        <v/>
      </c>
      <c r="F13" s="37">
        <f>C13/E13</f>
        <v/>
      </c>
      <c r="G13" s="38" t="inlineStr">
        <is>
          <t>PAY_0 &lt;= 1.5  and  PAY_2 &lt;= 1.5  and  UTILISATION &gt; 0.0003</t>
        </is>
      </c>
    </row>
    <row r="14" ht="26" customHeight="1">
      <c r="B14" s="34" t="n">
        <v>3</v>
      </c>
      <c r="C14" s="35" t="n">
        <v>567</v>
      </c>
      <c r="D14" s="35" t="n">
        <v>683</v>
      </c>
      <c r="E14" s="36">
        <f>C14+D14</f>
        <v/>
      </c>
      <c r="F14" s="37">
        <f>C14/E14</f>
        <v/>
      </c>
      <c r="G14" s="38" t="inlineStr">
        <is>
          <t>PAY_0 &lt;= 1.5  and  PAY_2 &gt; 1.5  and  LIMIT_BAL &lt;= 165000</t>
        </is>
      </c>
    </row>
    <row r="15">
      <c r="B15" s="34" t="n">
        <v>4</v>
      </c>
      <c r="C15" s="35" t="n">
        <v>106</v>
      </c>
      <c r="D15" s="35" t="n">
        <v>240</v>
      </c>
      <c r="E15" s="36">
        <f>C15+D15</f>
        <v/>
      </c>
      <c r="F15" s="37">
        <f>C15/E15</f>
        <v/>
      </c>
      <c r="G15" s="38" t="inlineStr">
        <is>
          <t>PAY_0 &lt;= 1.5  and  PAY_2 &gt; 1.5  and  LIMIT_BAL &gt; 165000</t>
        </is>
      </c>
    </row>
    <row r="16">
      <c r="B16" s="34" t="n">
        <v>5</v>
      </c>
      <c r="C16" s="35" t="n">
        <v>141</v>
      </c>
      <c r="D16" s="35" t="n">
        <v>111</v>
      </c>
      <c r="E16" s="36">
        <f>C16+D16</f>
        <v/>
      </c>
      <c r="F16" s="37">
        <f>C16/E16</f>
        <v/>
      </c>
      <c r="G16" s="38" t="inlineStr">
        <is>
          <t>PAY_0 &gt; 1.5  and  UTILISATION &lt;= 0.0652</t>
        </is>
      </c>
    </row>
    <row r="17">
      <c r="B17" s="34" t="n">
        <v>6</v>
      </c>
      <c r="C17" s="35" t="n">
        <v>646</v>
      </c>
      <c r="D17" s="35" t="n">
        <v>197</v>
      </c>
      <c r="E17" s="36">
        <f>C17+D17</f>
        <v/>
      </c>
      <c r="F17" s="37">
        <f>C17/E17</f>
        <v/>
      </c>
      <c r="G17" s="38" t="inlineStr">
        <is>
          <t>PAY_0 &gt; 1.5  and  UTILISATION &gt; 0.0652  and  UTILISATION &lt;= 0.716</t>
        </is>
      </c>
    </row>
    <row r="18">
      <c r="B18" s="34" t="n">
        <v>7</v>
      </c>
      <c r="C18" s="35" t="n">
        <v>745</v>
      </c>
      <c r="D18" s="35" t="n">
        <v>355</v>
      </c>
      <c r="E18" s="36">
        <f>C18+D18</f>
        <v/>
      </c>
      <c r="F18" s="37">
        <f>C18/E18</f>
        <v/>
      </c>
      <c r="G18" s="38" t="inlineStr">
        <is>
          <t>PAY_0 &gt; 1.5  and  UTILISATION &gt; 0.0652  and  UTILISATION &gt; 0.716</t>
        </is>
      </c>
    </row>
    <row r="22" ht="28" customHeight="1">
      <c r="B22" s="5" t="inlineStr">
        <is>
          <t>ID</t>
        </is>
      </c>
      <c r="C22" s="5" t="inlineStr">
        <is>
          <t>Box it lands in</t>
        </is>
      </c>
      <c r="D22" s="5" t="inlineStr">
        <is>
          <t>PD  (probability of default)</t>
        </is>
      </c>
      <c r="E22" s="5" t="inlineStr">
        <is>
          <t>Actually defaulted?</t>
        </is>
      </c>
      <c r="F22" s="5" t="inlineStr">
        <is>
          <t>Mid-rank</t>
        </is>
      </c>
    </row>
    <row r="23">
      <c r="B23" s="27">
        <f>'1 Data'!B12</f>
        <v/>
      </c>
      <c r="C23" s="29">
        <f>IF('1 Data'!E12&lt;=1.5,IF('1 Data'!F12&lt;=1.5,IF('1 Data'!G12&lt;=0.0003,1,2),IF('1 Data'!C12&lt;=165000,3,4)),IF('1 Data'!G12&lt;=0.0652,5,IF('1 Data'!G12&lt;=0.716,6,7)))</f>
        <v/>
      </c>
      <c r="D23" s="23">
        <f>INDEX($F$12:$F$18,C23)</f>
        <v/>
      </c>
      <c r="E23" s="27">
        <f>'1 Data'!I12</f>
        <v/>
      </c>
      <c r="F23" s="30">
        <f>COUNTIF($D$23:$D$1022,"&lt;"&amp;D23)+(COUNTIF($D$23:$D$1022,"="&amp;D23)+1)/2</f>
        <v/>
      </c>
    </row>
    <row r="24">
      <c r="B24" s="27">
        <f>'1 Data'!B13</f>
        <v/>
      </c>
      <c r="C24" s="29">
        <f>IF('1 Data'!E13&lt;=1.5,IF('1 Data'!F13&lt;=1.5,IF('1 Data'!G13&lt;=0.0003,1,2),IF('1 Data'!C13&lt;=165000,3,4)),IF('1 Data'!G13&lt;=0.0652,5,IF('1 Data'!G13&lt;=0.716,6,7)))</f>
        <v/>
      </c>
      <c r="D24" s="23">
        <f>INDEX($F$12:$F$18,C24)</f>
        <v/>
      </c>
      <c r="E24" s="27">
        <f>'1 Data'!I13</f>
        <v/>
      </c>
      <c r="F24" s="30">
        <f>COUNTIF($D$23:$D$1022,"&lt;"&amp;D24)+(COUNTIF($D$23:$D$1022,"="&amp;D24)+1)/2</f>
        <v/>
      </c>
    </row>
    <row r="25">
      <c r="B25" s="27">
        <f>'1 Data'!B14</f>
        <v/>
      </c>
      <c r="C25" s="29">
        <f>IF('1 Data'!E14&lt;=1.5,IF('1 Data'!F14&lt;=1.5,IF('1 Data'!G14&lt;=0.0003,1,2),IF('1 Data'!C14&lt;=165000,3,4)),IF('1 Data'!G14&lt;=0.0652,5,IF('1 Data'!G14&lt;=0.716,6,7)))</f>
        <v/>
      </c>
      <c r="D25" s="23">
        <f>INDEX($F$12:$F$18,C25)</f>
        <v/>
      </c>
      <c r="E25" s="27">
        <f>'1 Data'!I14</f>
        <v/>
      </c>
      <c r="F25" s="30">
        <f>COUNTIF($D$23:$D$1022,"&lt;"&amp;D25)+(COUNTIF($D$23:$D$1022,"="&amp;D25)+1)/2</f>
        <v/>
      </c>
    </row>
    <row r="26">
      <c r="B26" s="27">
        <f>'1 Data'!B15</f>
        <v/>
      </c>
      <c r="C26" s="29">
        <f>IF('1 Data'!E15&lt;=1.5,IF('1 Data'!F15&lt;=1.5,IF('1 Data'!G15&lt;=0.0003,1,2),IF('1 Data'!C15&lt;=165000,3,4)),IF('1 Data'!G15&lt;=0.0652,5,IF('1 Data'!G15&lt;=0.716,6,7)))</f>
        <v/>
      </c>
      <c r="D26" s="23">
        <f>INDEX($F$12:$F$18,C26)</f>
        <v/>
      </c>
      <c r="E26" s="27">
        <f>'1 Data'!I15</f>
        <v/>
      </c>
      <c r="F26" s="30">
        <f>COUNTIF($D$23:$D$1022,"&lt;"&amp;D26)+(COUNTIF($D$23:$D$1022,"="&amp;D26)+1)/2</f>
        <v/>
      </c>
    </row>
    <row r="27">
      <c r="B27" s="27">
        <f>'1 Data'!B16</f>
        <v/>
      </c>
      <c r="C27" s="29">
        <f>IF('1 Data'!E16&lt;=1.5,IF('1 Data'!F16&lt;=1.5,IF('1 Data'!G16&lt;=0.0003,1,2),IF('1 Data'!C16&lt;=165000,3,4)),IF('1 Data'!G16&lt;=0.0652,5,IF('1 Data'!G16&lt;=0.716,6,7)))</f>
        <v/>
      </c>
      <c r="D27" s="23">
        <f>INDEX($F$12:$F$18,C27)</f>
        <v/>
      </c>
      <c r="E27" s="27">
        <f>'1 Data'!I16</f>
        <v/>
      </c>
      <c r="F27" s="30">
        <f>COUNTIF($D$23:$D$1022,"&lt;"&amp;D27)+(COUNTIF($D$23:$D$1022,"="&amp;D27)+1)/2</f>
        <v/>
      </c>
    </row>
    <row r="28">
      <c r="B28" s="27">
        <f>'1 Data'!B17</f>
        <v/>
      </c>
      <c r="C28" s="29">
        <f>IF('1 Data'!E17&lt;=1.5,IF('1 Data'!F17&lt;=1.5,IF('1 Data'!G17&lt;=0.0003,1,2),IF('1 Data'!C17&lt;=165000,3,4)),IF('1 Data'!G17&lt;=0.0652,5,IF('1 Data'!G17&lt;=0.716,6,7)))</f>
        <v/>
      </c>
      <c r="D28" s="23">
        <f>INDEX($F$12:$F$18,C28)</f>
        <v/>
      </c>
      <c r="E28" s="27">
        <f>'1 Data'!I17</f>
        <v/>
      </c>
      <c r="F28" s="30">
        <f>COUNTIF($D$23:$D$1022,"&lt;"&amp;D28)+(COUNTIF($D$23:$D$1022,"="&amp;D28)+1)/2</f>
        <v/>
      </c>
    </row>
    <row r="29">
      <c r="B29" s="27">
        <f>'1 Data'!B18</f>
        <v/>
      </c>
      <c r="C29" s="29">
        <f>IF('1 Data'!E18&lt;=1.5,IF('1 Data'!F18&lt;=1.5,IF('1 Data'!G18&lt;=0.0003,1,2),IF('1 Data'!C18&lt;=165000,3,4)),IF('1 Data'!G18&lt;=0.0652,5,IF('1 Data'!G18&lt;=0.716,6,7)))</f>
        <v/>
      </c>
      <c r="D29" s="23">
        <f>INDEX($F$12:$F$18,C29)</f>
        <v/>
      </c>
      <c r="E29" s="27">
        <f>'1 Data'!I18</f>
        <v/>
      </c>
      <c r="F29" s="30">
        <f>COUNTIF($D$23:$D$1022,"&lt;"&amp;D29)+(COUNTIF($D$23:$D$1022,"="&amp;D29)+1)/2</f>
        <v/>
      </c>
    </row>
    <row r="30">
      <c r="B30" s="27">
        <f>'1 Data'!B19</f>
        <v/>
      </c>
      <c r="C30" s="29">
        <f>IF('1 Data'!E19&lt;=1.5,IF('1 Data'!F19&lt;=1.5,IF('1 Data'!G19&lt;=0.0003,1,2),IF('1 Data'!C19&lt;=165000,3,4)),IF('1 Data'!G19&lt;=0.0652,5,IF('1 Data'!G19&lt;=0.716,6,7)))</f>
        <v/>
      </c>
      <c r="D30" s="23">
        <f>INDEX($F$12:$F$18,C30)</f>
        <v/>
      </c>
      <c r="E30" s="27">
        <f>'1 Data'!I19</f>
        <v/>
      </c>
      <c r="F30" s="30">
        <f>COUNTIF($D$23:$D$1022,"&lt;"&amp;D30)+(COUNTIF($D$23:$D$1022,"="&amp;D30)+1)/2</f>
        <v/>
      </c>
    </row>
    <row r="31">
      <c r="B31" s="27">
        <f>'1 Data'!B20</f>
        <v/>
      </c>
      <c r="C31" s="29">
        <f>IF('1 Data'!E20&lt;=1.5,IF('1 Data'!F20&lt;=1.5,IF('1 Data'!G20&lt;=0.0003,1,2),IF('1 Data'!C20&lt;=165000,3,4)),IF('1 Data'!G20&lt;=0.0652,5,IF('1 Data'!G20&lt;=0.716,6,7)))</f>
        <v/>
      </c>
      <c r="D31" s="23">
        <f>INDEX($F$12:$F$18,C31)</f>
        <v/>
      </c>
      <c r="E31" s="27">
        <f>'1 Data'!I20</f>
        <v/>
      </c>
      <c r="F31" s="30">
        <f>COUNTIF($D$23:$D$1022,"&lt;"&amp;D31)+(COUNTIF($D$23:$D$1022,"="&amp;D31)+1)/2</f>
        <v/>
      </c>
    </row>
    <row r="32">
      <c r="B32" s="27">
        <f>'1 Data'!B21</f>
        <v/>
      </c>
      <c r="C32" s="29">
        <f>IF('1 Data'!E21&lt;=1.5,IF('1 Data'!F21&lt;=1.5,IF('1 Data'!G21&lt;=0.0003,1,2),IF('1 Data'!C21&lt;=165000,3,4)),IF('1 Data'!G21&lt;=0.0652,5,IF('1 Data'!G21&lt;=0.716,6,7)))</f>
        <v/>
      </c>
      <c r="D32" s="23">
        <f>INDEX($F$12:$F$18,C32)</f>
        <v/>
      </c>
      <c r="E32" s="27">
        <f>'1 Data'!I21</f>
        <v/>
      </c>
      <c r="F32" s="30">
        <f>COUNTIF($D$23:$D$1022,"&lt;"&amp;D32)+(COUNTIF($D$23:$D$1022,"="&amp;D32)+1)/2</f>
        <v/>
      </c>
    </row>
    <row r="33">
      <c r="B33" s="27">
        <f>'1 Data'!B22</f>
        <v/>
      </c>
      <c r="C33" s="29">
        <f>IF('1 Data'!E22&lt;=1.5,IF('1 Data'!F22&lt;=1.5,IF('1 Data'!G22&lt;=0.0003,1,2),IF('1 Data'!C22&lt;=165000,3,4)),IF('1 Data'!G22&lt;=0.0652,5,IF('1 Data'!G22&lt;=0.716,6,7)))</f>
        <v/>
      </c>
      <c r="D33" s="23">
        <f>INDEX($F$12:$F$18,C33)</f>
        <v/>
      </c>
      <c r="E33" s="27">
        <f>'1 Data'!I22</f>
        <v/>
      </c>
      <c r="F33" s="30">
        <f>COUNTIF($D$23:$D$1022,"&lt;"&amp;D33)+(COUNTIF($D$23:$D$1022,"="&amp;D33)+1)/2</f>
        <v/>
      </c>
    </row>
    <row r="34">
      <c r="B34" s="27">
        <f>'1 Data'!B23</f>
        <v/>
      </c>
      <c r="C34" s="29">
        <f>IF('1 Data'!E23&lt;=1.5,IF('1 Data'!F23&lt;=1.5,IF('1 Data'!G23&lt;=0.0003,1,2),IF('1 Data'!C23&lt;=165000,3,4)),IF('1 Data'!G23&lt;=0.0652,5,IF('1 Data'!G23&lt;=0.716,6,7)))</f>
        <v/>
      </c>
      <c r="D34" s="23">
        <f>INDEX($F$12:$F$18,C34)</f>
        <v/>
      </c>
      <c r="E34" s="27">
        <f>'1 Data'!I23</f>
        <v/>
      </c>
      <c r="F34" s="30">
        <f>COUNTIF($D$23:$D$1022,"&lt;"&amp;D34)+(COUNTIF($D$23:$D$1022,"="&amp;D34)+1)/2</f>
        <v/>
      </c>
    </row>
    <row r="35">
      <c r="B35" s="27">
        <f>'1 Data'!B24</f>
        <v/>
      </c>
      <c r="C35" s="29">
        <f>IF('1 Data'!E24&lt;=1.5,IF('1 Data'!F24&lt;=1.5,IF('1 Data'!G24&lt;=0.0003,1,2),IF('1 Data'!C24&lt;=165000,3,4)),IF('1 Data'!G24&lt;=0.0652,5,IF('1 Data'!G24&lt;=0.716,6,7)))</f>
        <v/>
      </c>
      <c r="D35" s="23">
        <f>INDEX($F$12:$F$18,C35)</f>
        <v/>
      </c>
      <c r="E35" s="27">
        <f>'1 Data'!I24</f>
        <v/>
      </c>
      <c r="F35" s="30">
        <f>COUNTIF($D$23:$D$1022,"&lt;"&amp;D35)+(COUNTIF($D$23:$D$1022,"="&amp;D35)+1)/2</f>
        <v/>
      </c>
    </row>
    <row r="36">
      <c r="B36" s="27">
        <f>'1 Data'!B25</f>
        <v/>
      </c>
      <c r="C36" s="29">
        <f>IF('1 Data'!E25&lt;=1.5,IF('1 Data'!F25&lt;=1.5,IF('1 Data'!G25&lt;=0.0003,1,2),IF('1 Data'!C25&lt;=165000,3,4)),IF('1 Data'!G25&lt;=0.0652,5,IF('1 Data'!G25&lt;=0.716,6,7)))</f>
        <v/>
      </c>
      <c r="D36" s="23">
        <f>INDEX($F$12:$F$18,C36)</f>
        <v/>
      </c>
      <c r="E36" s="27">
        <f>'1 Data'!I25</f>
        <v/>
      </c>
      <c r="F36" s="30">
        <f>COUNTIF($D$23:$D$1022,"&lt;"&amp;D36)+(COUNTIF($D$23:$D$1022,"="&amp;D36)+1)/2</f>
        <v/>
      </c>
    </row>
    <row r="37">
      <c r="B37" s="27">
        <f>'1 Data'!B26</f>
        <v/>
      </c>
      <c r="C37" s="29">
        <f>IF('1 Data'!E26&lt;=1.5,IF('1 Data'!F26&lt;=1.5,IF('1 Data'!G26&lt;=0.0003,1,2),IF('1 Data'!C26&lt;=165000,3,4)),IF('1 Data'!G26&lt;=0.0652,5,IF('1 Data'!G26&lt;=0.716,6,7)))</f>
        <v/>
      </c>
      <c r="D37" s="23">
        <f>INDEX($F$12:$F$18,C37)</f>
        <v/>
      </c>
      <c r="E37" s="27">
        <f>'1 Data'!I26</f>
        <v/>
      </c>
      <c r="F37" s="30">
        <f>COUNTIF($D$23:$D$1022,"&lt;"&amp;D37)+(COUNTIF($D$23:$D$1022,"="&amp;D37)+1)/2</f>
        <v/>
      </c>
    </row>
    <row r="38">
      <c r="B38" s="27">
        <f>'1 Data'!B27</f>
        <v/>
      </c>
      <c r="C38" s="29">
        <f>IF('1 Data'!E27&lt;=1.5,IF('1 Data'!F27&lt;=1.5,IF('1 Data'!G27&lt;=0.0003,1,2),IF('1 Data'!C27&lt;=165000,3,4)),IF('1 Data'!G27&lt;=0.0652,5,IF('1 Data'!G27&lt;=0.716,6,7)))</f>
        <v/>
      </c>
      <c r="D38" s="23">
        <f>INDEX($F$12:$F$18,C38)</f>
        <v/>
      </c>
      <c r="E38" s="27">
        <f>'1 Data'!I27</f>
        <v/>
      </c>
      <c r="F38" s="30">
        <f>COUNTIF($D$23:$D$1022,"&lt;"&amp;D38)+(COUNTIF($D$23:$D$1022,"="&amp;D38)+1)/2</f>
        <v/>
      </c>
    </row>
    <row r="39">
      <c r="B39" s="27">
        <f>'1 Data'!B28</f>
        <v/>
      </c>
      <c r="C39" s="29">
        <f>IF('1 Data'!E28&lt;=1.5,IF('1 Data'!F28&lt;=1.5,IF('1 Data'!G28&lt;=0.0003,1,2),IF('1 Data'!C28&lt;=165000,3,4)),IF('1 Data'!G28&lt;=0.0652,5,IF('1 Data'!G28&lt;=0.716,6,7)))</f>
        <v/>
      </c>
      <c r="D39" s="23">
        <f>INDEX($F$12:$F$18,C39)</f>
        <v/>
      </c>
      <c r="E39" s="27">
        <f>'1 Data'!I28</f>
        <v/>
      </c>
      <c r="F39" s="30">
        <f>COUNTIF($D$23:$D$1022,"&lt;"&amp;D39)+(COUNTIF($D$23:$D$1022,"="&amp;D39)+1)/2</f>
        <v/>
      </c>
    </row>
    <row r="40">
      <c r="B40" s="27">
        <f>'1 Data'!B29</f>
        <v/>
      </c>
      <c r="C40" s="29">
        <f>IF('1 Data'!E29&lt;=1.5,IF('1 Data'!F29&lt;=1.5,IF('1 Data'!G29&lt;=0.0003,1,2),IF('1 Data'!C29&lt;=165000,3,4)),IF('1 Data'!G29&lt;=0.0652,5,IF('1 Data'!G29&lt;=0.716,6,7)))</f>
        <v/>
      </c>
      <c r="D40" s="23">
        <f>INDEX($F$12:$F$18,C40)</f>
        <v/>
      </c>
      <c r="E40" s="27">
        <f>'1 Data'!I29</f>
        <v/>
      </c>
      <c r="F40" s="30">
        <f>COUNTIF($D$23:$D$1022,"&lt;"&amp;D40)+(COUNTIF($D$23:$D$1022,"="&amp;D40)+1)/2</f>
        <v/>
      </c>
    </row>
    <row r="41">
      <c r="B41" s="27">
        <f>'1 Data'!B30</f>
        <v/>
      </c>
      <c r="C41" s="29">
        <f>IF('1 Data'!E30&lt;=1.5,IF('1 Data'!F30&lt;=1.5,IF('1 Data'!G30&lt;=0.0003,1,2),IF('1 Data'!C30&lt;=165000,3,4)),IF('1 Data'!G30&lt;=0.0652,5,IF('1 Data'!G30&lt;=0.716,6,7)))</f>
        <v/>
      </c>
      <c r="D41" s="23">
        <f>INDEX($F$12:$F$18,C41)</f>
        <v/>
      </c>
      <c r="E41" s="27">
        <f>'1 Data'!I30</f>
        <v/>
      </c>
      <c r="F41" s="30">
        <f>COUNTIF($D$23:$D$1022,"&lt;"&amp;D41)+(COUNTIF($D$23:$D$1022,"="&amp;D41)+1)/2</f>
        <v/>
      </c>
    </row>
    <row r="42">
      <c r="B42" s="27">
        <f>'1 Data'!B31</f>
        <v/>
      </c>
      <c r="C42" s="29">
        <f>IF('1 Data'!E31&lt;=1.5,IF('1 Data'!F31&lt;=1.5,IF('1 Data'!G31&lt;=0.0003,1,2),IF('1 Data'!C31&lt;=165000,3,4)),IF('1 Data'!G31&lt;=0.0652,5,IF('1 Data'!G31&lt;=0.716,6,7)))</f>
        <v/>
      </c>
      <c r="D42" s="23">
        <f>INDEX($F$12:$F$18,C42)</f>
        <v/>
      </c>
      <c r="E42" s="27">
        <f>'1 Data'!I31</f>
        <v/>
      </c>
      <c r="F42" s="30">
        <f>COUNTIF($D$23:$D$1022,"&lt;"&amp;D42)+(COUNTIF($D$23:$D$1022,"="&amp;D42)+1)/2</f>
        <v/>
      </c>
    </row>
    <row r="43">
      <c r="B43" s="27">
        <f>'1 Data'!B32</f>
        <v/>
      </c>
      <c r="C43" s="29">
        <f>IF('1 Data'!E32&lt;=1.5,IF('1 Data'!F32&lt;=1.5,IF('1 Data'!G32&lt;=0.0003,1,2),IF('1 Data'!C32&lt;=165000,3,4)),IF('1 Data'!G32&lt;=0.0652,5,IF('1 Data'!G32&lt;=0.716,6,7)))</f>
        <v/>
      </c>
      <c r="D43" s="23">
        <f>INDEX($F$12:$F$18,C43)</f>
        <v/>
      </c>
      <c r="E43" s="27">
        <f>'1 Data'!I32</f>
        <v/>
      </c>
      <c r="F43" s="30">
        <f>COUNTIF($D$23:$D$1022,"&lt;"&amp;D43)+(COUNTIF($D$23:$D$1022,"="&amp;D43)+1)/2</f>
        <v/>
      </c>
    </row>
    <row r="44">
      <c r="B44" s="27">
        <f>'1 Data'!B33</f>
        <v/>
      </c>
      <c r="C44" s="29">
        <f>IF('1 Data'!E33&lt;=1.5,IF('1 Data'!F33&lt;=1.5,IF('1 Data'!G33&lt;=0.0003,1,2),IF('1 Data'!C33&lt;=165000,3,4)),IF('1 Data'!G33&lt;=0.0652,5,IF('1 Data'!G33&lt;=0.716,6,7)))</f>
        <v/>
      </c>
      <c r="D44" s="23">
        <f>INDEX($F$12:$F$18,C44)</f>
        <v/>
      </c>
      <c r="E44" s="27">
        <f>'1 Data'!I33</f>
        <v/>
      </c>
      <c r="F44" s="30">
        <f>COUNTIF($D$23:$D$1022,"&lt;"&amp;D44)+(COUNTIF($D$23:$D$1022,"="&amp;D44)+1)/2</f>
        <v/>
      </c>
    </row>
    <row r="45">
      <c r="B45" s="27">
        <f>'1 Data'!B34</f>
        <v/>
      </c>
      <c r="C45" s="29">
        <f>IF('1 Data'!E34&lt;=1.5,IF('1 Data'!F34&lt;=1.5,IF('1 Data'!G34&lt;=0.0003,1,2),IF('1 Data'!C34&lt;=165000,3,4)),IF('1 Data'!G34&lt;=0.0652,5,IF('1 Data'!G34&lt;=0.716,6,7)))</f>
        <v/>
      </c>
      <c r="D45" s="23">
        <f>INDEX($F$12:$F$18,C45)</f>
        <v/>
      </c>
      <c r="E45" s="27">
        <f>'1 Data'!I34</f>
        <v/>
      </c>
      <c r="F45" s="30">
        <f>COUNTIF($D$23:$D$1022,"&lt;"&amp;D45)+(COUNTIF($D$23:$D$1022,"="&amp;D45)+1)/2</f>
        <v/>
      </c>
    </row>
    <row r="46">
      <c r="B46" s="27">
        <f>'1 Data'!B35</f>
        <v/>
      </c>
      <c r="C46" s="29">
        <f>IF('1 Data'!E35&lt;=1.5,IF('1 Data'!F35&lt;=1.5,IF('1 Data'!G35&lt;=0.0003,1,2),IF('1 Data'!C35&lt;=165000,3,4)),IF('1 Data'!G35&lt;=0.0652,5,IF('1 Data'!G35&lt;=0.716,6,7)))</f>
        <v/>
      </c>
      <c r="D46" s="23">
        <f>INDEX($F$12:$F$18,C46)</f>
        <v/>
      </c>
      <c r="E46" s="27">
        <f>'1 Data'!I35</f>
        <v/>
      </c>
      <c r="F46" s="30">
        <f>COUNTIF($D$23:$D$1022,"&lt;"&amp;D46)+(COUNTIF($D$23:$D$1022,"="&amp;D46)+1)/2</f>
        <v/>
      </c>
    </row>
    <row r="47">
      <c r="B47" s="27">
        <f>'1 Data'!B36</f>
        <v/>
      </c>
      <c r="C47" s="29">
        <f>IF('1 Data'!E36&lt;=1.5,IF('1 Data'!F36&lt;=1.5,IF('1 Data'!G36&lt;=0.0003,1,2),IF('1 Data'!C36&lt;=165000,3,4)),IF('1 Data'!G36&lt;=0.0652,5,IF('1 Data'!G36&lt;=0.716,6,7)))</f>
        <v/>
      </c>
      <c r="D47" s="23">
        <f>INDEX($F$12:$F$18,C47)</f>
        <v/>
      </c>
      <c r="E47" s="27">
        <f>'1 Data'!I36</f>
        <v/>
      </c>
      <c r="F47" s="30">
        <f>COUNTIF($D$23:$D$1022,"&lt;"&amp;D47)+(COUNTIF($D$23:$D$1022,"="&amp;D47)+1)/2</f>
        <v/>
      </c>
    </row>
    <row r="48">
      <c r="B48" s="27">
        <f>'1 Data'!B37</f>
        <v/>
      </c>
      <c r="C48" s="29">
        <f>IF('1 Data'!E37&lt;=1.5,IF('1 Data'!F37&lt;=1.5,IF('1 Data'!G37&lt;=0.0003,1,2),IF('1 Data'!C37&lt;=165000,3,4)),IF('1 Data'!G37&lt;=0.0652,5,IF('1 Data'!G37&lt;=0.716,6,7)))</f>
        <v/>
      </c>
      <c r="D48" s="23">
        <f>INDEX($F$12:$F$18,C48)</f>
        <v/>
      </c>
      <c r="E48" s="27">
        <f>'1 Data'!I37</f>
        <v/>
      </c>
      <c r="F48" s="30">
        <f>COUNTIF($D$23:$D$1022,"&lt;"&amp;D48)+(COUNTIF($D$23:$D$1022,"="&amp;D48)+1)/2</f>
        <v/>
      </c>
    </row>
    <row r="49">
      <c r="B49" s="27">
        <f>'1 Data'!B38</f>
        <v/>
      </c>
      <c r="C49" s="29">
        <f>IF('1 Data'!E38&lt;=1.5,IF('1 Data'!F38&lt;=1.5,IF('1 Data'!G38&lt;=0.0003,1,2),IF('1 Data'!C38&lt;=165000,3,4)),IF('1 Data'!G38&lt;=0.0652,5,IF('1 Data'!G38&lt;=0.716,6,7)))</f>
        <v/>
      </c>
      <c r="D49" s="23">
        <f>INDEX($F$12:$F$18,C49)</f>
        <v/>
      </c>
      <c r="E49" s="27">
        <f>'1 Data'!I38</f>
        <v/>
      </c>
      <c r="F49" s="30">
        <f>COUNTIF($D$23:$D$1022,"&lt;"&amp;D49)+(COUNTIF($D$23:$D$1022,"="&amp;D49)+1)/2</f>
        <v/>
      </c>
    </row>
    <row r="50">
      <c r="B50" s="27">
        <f>'1 Data'!B39</f>
        <v/>
      </c>
      <c r="C50" s="29">
        <f>IF('1 Data'!E39&lt;=1.5,IF('1 Data'!F39&lt;=1.5,IF('1 Data'!G39&lt;=0.0003,1,2),IF('1 Data'!C39&lt;=165000,3,4)),IF('1 Data'!G39&lt;=0.0652,5,IF('1 Data'!G39&lt;=0.716,6,7)))</f>
        <v/>
      </c>
      <c r="D50" s="23">
        <f>INDEX($F$12:$F$18,C50)</f>
        <v/>
      </c>
      <c r="E50" s="27">
        <f>'1 Data'!I39</f>
        <v/>
      </c>
      <c r="F50" s="30">
        <f>COUNTIF($D$23:$D$1022,"&lt;"&amp;D50)+(COUNTIF($D$23:$D$1022,"="&amp;D50)+1)/2</f>
        <v/>
      </c>
    </row>
    <row r="51">
      <c r="B51" s="27">
        <f>'1 Data'!B40</f>
        <v/>
      </c>
      <c r="C51" s="29">
        <f>IF('1 Data'!E40&lt;=1.5,IF('1 Data'!F40&lt;=1.5,IF('1 Data'!G40&lt;=0.0003,1,2),IF('1 Data'!C40&lt;=165000,3,4)),IF('1 Data'!G40&lt;=0.0652,5,IF('1 Data'!G40&lt;=0.716,6,7)))</f>
        <v/>
      </c>
      <c r="D51" s="23">
        <f>INDEX($F$12:$F$18,C51)</f>
        <v/>
      </c>
      <c r="E51" s="27">
        <f>'1 Data'!I40</f>
        <v/>
      </c>
      <c r="F51" s="30">
        <f>COUNTIF($D$23:$D$1022,"&lt;"&amp;D51)+(COUNTIF($D$23:$D$1022,"="&amp;D51)+1)/2</f>
        <v/>
      </c>
    </row>
    <row r="52">
      <c r="B52" s="27">
        <f>'1 Data'!B41</f>
        <v/>
      </c>
      <c r="C52" s="29">
        <f>IF('1 Data'!E41&lt;=1.5,IF('1 Data'!F41&lt;=1.5,IF('1 Data'!G41&lt;=0.0003,1,2),IF('1 Data'!C41&lt;=165000,3,4)),IF('1 Data'!G41&lt;=0.0652,5,IF('1 Data'!G41&lt;=0.716,6,7)))</f>
        <v/>
      </c>
      <c r="D52" s="23">
        <f>INDEX($F$12:$F$18,C52)</f>
        <v/>
      </c>
      <c r="E52" s="27">
        <f>'1 Data'!I41</f>
        <v/>
      </c>
      <c r="F52" s="30">
        <f>COUNTIF($D$23:$D$1022,"&lt;"&amp;D52)+(COUNTIF($D$23:$D$1022,"="&amp;D52)+1)/2</f>
        <v/>
      </c>
    </row>
    <row r="53">
      <c r="B53" s="27">
        <f>'1 Data'!B42</f>
        <v/>
      </c>
      <c r="C53" s="29">
        <f>IF('1 Data'!E42&lt;=1.5,IF('1 Data'!F42&lt;=1.5,IF('1 Data'!G42&lt;=0.0003,1,2),IF('1 Data'!C42&lt;=165000,3,4)),IF('1 Data'!G42&lt;=0.0652,5,IF('1 Data'!G42&lt;=0.716,6,7)))</f>
        <v/>
      </c>
      <c r="D53" s="23">
        <f>INDEX($F$12:$F$18,C53)</f>
        <v/>
      </c>
      <c r="E53" s="27">
        <f>'1 Data'!I42</f>
        <v/>
      </c>
      <c r="F53" s="30">
        <f>COUNTIF($D$23:$D$1022,"&lt;"&amp;D53)+(COUNTIF($D$23:$D$1022,"="&amp;D53)+1)/2</f>
        <v/>
      </c>
    </row>
    <row r="54">
      <c r="B54" s="27">
        <f>'1 Data'!B43</f>
        <v/>
      </c>
      <c r="C54" s="29">
        <f>IF('1 Data'!E43&lt;=1.5,IF('1 Data'!F43&lt;=1.5,IF('1 Data'!G43&lt;=0.0003,1,2),IF('1 Data'!C43&lt;=165000,3,4)),IF('1 Data'!G43&lt;=0.0652,5,IF('1 Data'!G43&lt;=0.716,6,7)))</f>
        <v/>
      </c>
      <c r="D54" s="23">
        <f>INDEX($F$12:$F$18,C54)</f>
        <v/>
      </c>
      <c r="E54" s="27">
        <f>'1 Data'!I43</f>
        <v/>
      </c>
      <c r="F54" s="30">
        <f>COUNTIF($D$23:$D$1022,"&lt;"&amp;D54)+(COUNTIF($D$23:$D$1022,"="&amp;D54)+1)/2</f>
        <v/>
      </c>
    </row>
    <row r="55">
      <c r="B55" s="27">
        <f>'1 Data'!B44</f>
        <v/>
      </c>
      <c r="C55" s="29">
        <f>IF('1 Data'!E44&lt;=1.5,IF('1 Data'!F44&lt;=1.5,IF('1 Data'!G44&lt;=0.0003,1,2),IF('1 Data'!C44&lt;=165000,3,4)),IF('1 Data'!G44&lt;=0.0652,5,IF('1 Data'!G44&lt;=0.716,6,7)))</f>
        <v/>
      </c>
      <c r="D55" s="23">
        <f>INDEX($F$12:$F$18,C55)</f>
        <v/>
      </c>
      <c r="E55" s="27">
        <f>'1 Data'!I44</f>
        <v/>
      </c>
      <c r="F55" s="30">
        <f>COUNTIF($D$23:$D$1022,"&lt;"&amp;D55)+(COUNTIF($D$23:$D$1022,"="&amp;D55)+1)/2</f>
        <v/>
      </c>
    </row>
    <row r="56">
      <c r="B56" s="27">
        <f>'1 Data'!B45</f>
        <v/>
      </c>
      <c r="C56" s="29">
        <f>IF('1 Data'!E45&lt;=1.5,IF('1 Data'!F45&lt;=1.5,IF('1 Data'!G45&lt;=0.0003,1,2),IF('1 Data'!C45&lt;=165000,3,4)),IF('1 Data'!G45&lt;=0.0652,5,IF('1 Data'!G45&lt;=0.716,6,7)))</f>
        <v/>
      </c>
      <c r="D56" s="23">
        <f>INDEX($F$12:$F$18,C56)</f>
        <v/>
      </c>
      <c r="E56" s="27">
        <f>'1 Data'!I45</f>
        <v/>
      </c>
      <c r="F56" s="30">
        <f>COUNTIF($D$23:$D$1022,"&lt;"&amp;D56)+(COUNTIF($D$23:$D$1022,"="&amp;D56)+1)/2</f>
        <v/>
      </c>
    </row>
    <row r="57">
      <c r="B57" s="27">
        <f>'1 Data'!B46</f>
        <v/>
      </c>
      <c r="C57" s="29">
        <f>IF('1 Data'!E46&lt;=1.5,IF('1 Data'!F46&lt;=1.5,IF('1 Data'!G46&lt;=0.0003,1,2),IF('1 Data'!C46&lt;=165000,3,4)),IF('1 Data'!G46&lt;=0.0652,5,IF('1 Data'!G46&lt;=0.716,6,7)))</f>
        <v/>
      </c>
      <c r="D57" s="23">
        <f>INDEX($F$12:$F$18,C57)</f>
        <v/>
      </c>
      <c r="E57" s="27">
        <f>'1 Data'!I46</f>
        <v/>
      </c>
      <c r="F57" s="30">
        <f>COUNTIF($D$23:$D$1022,"&lt;"&amp;D57)+(COUNTIF($D$23:$D$1022,"="&amp;D57)+1)/2</f>
        <v/>
      </c>
    </row>
    <row r="58">
      <c r="B58" s="27">
        <f>'1 Data'!B47</f>
        <v/>
      </c>
      <c r="C58" s="29">
        <f>IF('1 Data'!E47&lt;=1.5,IF('1 Data'!F47&lt;=1.5,IF('1 Data'!G47&lt;=0.0003,1,2),IF('1 Data'!C47&lt;=165000,3,4)),IF('1 Data'!G47&lt;=0.0652,5,IF('1 Data'!G47&lt;=0.716,6,7)))</f>
        <v/>
      </c>
      <c r="D58" s="23">
        <f>INDEX($F$12:$F$18,C58)</f>
        <v/>
      </c>
      <c r="E58" s="27">
        <f>'1 Data'!I47</f>
        <v/>
      </c>
      <c r="F58" s="30">
        <f>COUNTIF($D$23:$D$1022,"&lt;"&amp;D58)+(COUNTIF($D$23:$D$1022,"="&amp;D58)+1)/2</f>
        <v/>
      </c>
    </row>
    <row r="59">
      <c r="B59" s="27">
        <f>'1 Data'!B48</f>
        <v/>
      </c>
      <c r="C59" s="29">
        <f>IF('1 Data'!E48&lt;=1.5,IF('1 Data'!F48&lt;=1.5,IF('1 Data'!G48&lt;=0.0003,1,2),IF('1 Data'!C48&lt;=165000,3,4)),IF('1 Data'!G48&lt;=0.0652,5,IF('1 Data'!G48&lt;=0.716,6,7)))</f>
        <v/>
      </c>
      <c r="D59" s="23">
        <f>INDEX($F$12:$F$18,C59)</f>
        <v/>
      </c>
      <c r="E59" s="27">
        <f>'1 Data'!I48</f>
        <v/>
      </c>
      <c r="F59" s="30">
        <f>COUNTIF($D$23:$D$1022,"&lt;"&amp;D59)+(COUNTIF($D$23:$D$1022,"="&amp;D59)+1)/2</f>
        <v/>
      </c>
    </row>
    <row r="60">
      <c r="B60" s="27">
        <f>'1 Data'!B49</f>
        <v/>
      </c>
      <c r="C60" s="29">
        <f>IF('1 Data'!E49&lt;=1.5,IF('1 Data'!F49&lt;=1.5,IF('1 Data'!G49&lt;=0.0003,1,2),IF('1 Data'!C49&lt;=165000,3,4)),IF('1 Data'!G49&lt;=0.0652,5,IF('1 Data'!G49&lt;=0.716,6,7)))</f>
        <v/>
      </c>
      <c r="D60" s="23">
        <f>INDEX($F$12:$F$18,C60)</f>
        <v/>
      </c>
      <c r="E60" s="27">
        <f>'1 Data'!I49</f>
        <v/>
      </c>
      <c r="F60" s="30">
        <f>COUNTIF($D$23:$D$1022,"&lt;"&amp;D60)+(COUNTIF($D$23:$D$1022,"="&amp;D60)+1)/2</f>
        <v/>
      </c>
    </row>
    <row r="61">
      <c r="B61" s="27">
        <f>'1 Data'!B50</f>
        <v/>
      </c>
      <c r="C61" s="29">
        <f>IF('1 Data'!E50&lt;=1.5,IF('1 Data'!F50&lt;=1.5,IF('1 Data'!G50&lt;=0.0003,1,2),IF('1 Data'!C50&lt;=165000,3,4)),IF('1 Data'!G50&lt;=0.0652,5,IF('1 Data'!G50&lt;=0.716,6,7)))</f>
        <v/>
      </c>
      <c r="D61" s="23">
        <f>INDEX($F$12:$F$18,C61)</f>
        <v/>
      </c>
      <c r="E61" s="27">
        <f>'1 Data'!I50</f>
        <v/>
      </c>
      <c r="F61" s="30">
        <f>COUNTIF($D$23:$D$1022,"&lt;"&amp;D61)+(COUNTIF($D$23:$D$1022,"="&amp;D61)+1)/2</f>
        <v/>
      </c>
    </row>
    <row r="62">
      <c r="B62" s="27">
        <f>'1 Data'!B51</f>
        <v/>
      </c>
      <c r="C62" s="29">
        <f>IF('1 Data'!E51&lt;=1.5,IF('1 Data'!F51&lt;=1.5,IF('1 Data'!G51&lt;=0.0003,1,2),IF('1 Data'!C51&lt;=165000,3,4)),IF('1 Data'!G51&lt;=0.0652,5,IF('1 Data'!G51&lt;=0.716,6,7)))</f>
        <v/>
      </c>
      <c r="D62" s="23">
        <f>INDEX($F$12:$F$18,C62)</f>
        <v/>
      </c>
      <c r="E62" s="27">
        <f>'1 Data'!I51</f>
        <v/>
      </c>
      <c r="F62" s="30">
        <f>COUNTIF($D$23:$D$1022,"&lt;"&amp;D62)+(COUNTIF($D$23:$D$1022,"="&amp;D62)+1)/2</f>
        <v/>
      </c>
    </row>
    <row r="63">
      <c r="B63" s="27">
        <f>'1 Data'!B52</f>
        <v/>
      </c>
      <c r="C63" s="29">
        <f>IF('1 Data'!E52&lt;=1.5,IF('1 Data'!F52&lt;=1.5,IF('1 Data'!G52&lt;=0.0003,1,2),IF('1 Data'!C52&lt;=165000,3,4)),IF('1 Data'!G52&lt;=0.0652,5,IF('1 Data'!G52&lt;=0.716,6,7)))</f>
        <v/>
      </c>
      <c r="D63" s="23">
        <f>INDEX($F$12:$F$18,C63)</f>
        <v/>
      </c>
      <c r="E63" s="27">
        <f>'1 Data'!I52</f>
        <v/>
      </c>
      <c r="F63" s="30">
        <f>COUNTIF($D$23:$D$1022,"&lt;"&amp;D63)+(COUNTIF($D$23:$D$1022,"="&amp;D63)+1)/2</f>
        <v/>
      </c>
    </row>
    <row r="64">
      <c r="B64" s="27">
        <f>'1 Data'!B53</f>
        <v/>
      </c>
      <c r="C64" s="29">
        <f>IF('1 Data'!E53&lt;=1.5,IF('1 Data'!F53&lt;=1.5,IF('1 Data'!G53&lt;=0.0003,1,2),IF('1 Data'!C53&lt;=165000,3,4)),IF('1 Data'!G53&lt;=0.0652,5,IF('1 Data'!G53&lt;=0.716,6,7)))</f>
        <v/>
      </c>
      <c r="D64" s="23">
        <f>INDEX($F$12:$F$18,C64)</f>
        <v/>
      </c>
      <c r="E64" s="27">
        <f>'1 Data'!I53</f>
        <v/>
      </c>
      <c r="F64" s="30">
        <f>COUNTIF($D$23:$D$1022,"&lt;"&amp;D64)+(COUNTIF($D$23:$D$1022,"="&amp;D64)+1)/2</f>
        <v/>
      </c>
    </row>
    <row r="65">
      <c r="B65" s="27">
        <f>'1 Data'!B54</f>
        <v/>
      </c>
      <c r="C65" s="29">
        <f>IF('1 Data'!E54&lt;=1.5,IF('1 Data'!F54&lt;=1.5,IF('1 Data'!G54&lt;=0.0003,1,2),IF('1 Data'!C54&lt;=165000,3,4)),IF('1 Data'!G54&lt;=0.0652,5,IF('1 Data'!G54&lt;=0.716,6,7)))</f>
        <v/>
      </c>
      <c r="D65" s="23">
        <f>INDEX($F$12:$F$18,C65)</f>
        <v/>
      </c>
      <c r="E65" s="27">
        <f>'1 Data'!I54</f>
        <v/>
      </c>
      <c r="F65" s="30">
        <f>COUNTIF($D$23:$D$1022,"&lt;"&amp;D65)+(COUNTIF($D$23:$D$1022,"="&amp;D65)+1)/2</f>
        <v/>
      </c>
    </row>
    <row r="66">
      <c r="B66" s="27">
        <f>'1 Data'!B55</f>
        <v/>
      </c>
      <c r="C66" s="29">
        <f>IF('1 Data'!E55&lt;=1.5,IF('1 Data'!F55&lt;=1.5,IF('1 Data'!G55&lt;=0.0003,1,2),IF('1 Data'!C55&lt;=165000,3,4)),IF('1 Data'!G55&lt;=0.0652,5,IF('1 Data'!G55&lt;=0.716,6,7)))</f>
        <v/>
      </c>
      <c r="D66" s="23">
        <f>INDEX($F$12:$F$18,C66)</f>
        <v/>
      </c>
      <c r="E66" s="27">
        <f>'1 Data'!I55</f>
        <v/>
      </c>
      <c r="F66" s="30">
        <f>COUNTIF($D$23:$D$1022,"&lt;"&amp;D66)+(COUNTIF($D$23:$D$1022,"="&amp;D66)+1)/2</f>
        <v/>
      </c>
    </row>
    <row r="67">
      <c r="B67" s="27">
        <f>'1 Data'!B56</f>
        <v/>
      </c>
      <c r="C67" s="29">
        <f>IF('1 Data'!E56&lt;=1.5,IF('1 Data'!F56&lt;=1.5,IF('1 Data'!G56&lt;=0.0003,1,2),IF('1 Data'!C56&lt;=165000,3,4)),IF('1 Data'!G56&lt;=0.0652,5,IF('1 Data'!G56&lt;=0.716,6,7)))</f>
        <v/>
      </c>
      <c r="D67" s="23">
        <f>INDEX($F$12:$F$18,C67)</f>
        <v/>
      </c>
      <c r="E67" s="27">
        <f>'1 Data'!I56</f>
        <v/>
      </c>
      <c r="F67" s="30">
        <f>COUNTIF($D$23:$D$1022,"&lt;"&amp;D67)+(COUNTIF($D$23:$D$1022,"="&amp;D67)+1)/2</f>
        <v/>
      </c>
    </row>
    <row r="68">
      <c r="B68" s="27">
        <f>'1 Data'!B57</f>
        <v/>
      </c>
      <c r="C68" s="29">
        <f>IF('1 Data'!E57&lt;=1.5,IF('1 Data'!F57&lt;=1.5,IF('1 Data'!G57&lt;=0.0003,1,2),IF('1 Data'!C57&lt;=165000,3,4)),IF('1 Data'!G57&lt;=0.0652,5,IF('1 Data'!G57&lt;=0.716,6,7)))</f>
        <v/>
      </c>
      <c r="D68" s="23">
        <f>INDEX($F$12:$F$18,C68)</f>
        <v/>
      </c>
      <c r="E68" s="27">
        <f>'1 Data'!I57</f>
        <v/>
      </c>
      <c r="F68" s="30">
        <f>COUNTIF($D$23:$D$1022,"&lt;"&amp;D68)+(COUNTIF($D$23:$D$1022,"="&amp;D68)+1)/2</f>
        <v/>
      </c>
    </row>
    <row r="69">
      <c r="B69" s="27">
        <f>'1 Data'!B58</f>
        <v/>
      </c>
      <c r="C69" s="29">
        <f>IF('1 Data'!E58&lt;=1.5,IF('1 Data'!F58&lt;=1.5,IF('1 Data'!G58&lt;=0.0003,1,2),IF('1 Data'!C58&lt;=165000,3,4)),IF('1 Data'!G58&lt;=0.0652,5,IF('1 Data'!G58&lt;=0.716,6,7)))</f>
        <v/>
      </c>
      <c r="D69" s="23">
        <f>INDEX($F$12:$F$18,C69)</f>
        <v/>
      </c>
      <c r="E69" s="27">
        <f>'1 Data'!I58</f>
        <v/>
      </c>
      <c r="F69" s="30">
        <f>COUNTIF($D$23:$D$1022,"&lt;"&amp;D69)+(COUNTIF($D$23:$D$1022,"="&amp;D69)+1)/2</f>
        <v/>
      </c>
    </row>
    <row r="70">
      <c r="B70" s="27">
        <f>'1 Data'!B59</f>
        <v/>
      </c>
      <c r="C70" s="29">
        <f>IF('1 Data'!E59&lt;=1.5,IF('1 Data'!F59&lt;=1.5,IF('1 Data'!G59&lt;=0.0003,1,2),IF('1 Data'!C59&lt;=165000,3,4)),IF('1 Data'!G59&lt;=0.0652,5,IF('1 Data'!G59&lt;=0.716,6,7)))</f>
        <v/>
      </c>
      <c r="D70" s="23">
        <f>INDEX($F$12:$F$18,C70)</f>
        <v/>
      </c>
      <c r="E70" s="27">
        <f>'1 Data'!I59</f>
        <v/>
      </c>
      <c r="F70" s="30">
        <f>COUNTIF($D$23:$D$1022,"&lt;"&amp;D70)+(COUNTIF($D$23:$D$1022,"="&amp;D70)+1)/2</f>
        <v/>
      </c>
    </row>
    <row r="71">
      <c r="B71" s="27">
        <f>'1 Data'!B60</f>
        <v/>
      </c>
      <c r="C71" s="29">
        <f>IF('1 Data'!E60&lt;=1.5,IF('1 Data'!F60&lt;=1.5,IF('1 Data'!G60&lt;=0.0003,1,2),IF('1 Data'!C60&lt;=165000,3,4)),IF('1 Data'!G60&lt;=0.0652,5,IF('1 Data'!G60&lt;=0.716,6,7)))</f>
        <v/>
      </c>
      <c r="D71" s="23">
        <f>INDEX($F$12:$F$18,C71)</f>
        <v/>
      </c>
      <c r="E71" s="27">
        <f>'1 Data'!I60</f>
        <v/>
      </c>
      <c r="F71" s="30">
        <f>COUNTIF($D$23:$D$1022,"&lt;"&amp;D71)+(COUNTIF($D$23:$D$1022,"="&amp;D71)+1)/2</f>
        <v/>
      </c>
    </row>
    <row r="72">
      <c r="B72" s="27">
        <f>'1 Data'!B61</f>
        <v/>
      </c>
      <c r="C72" s="29">
        <f>IF('1 Data'!E61&lt;=1.5,IF('1 Data'!F61&lt;=1.5,IF('1 Data'!G61&lt;=0.0003,1,2),IF('1 Data'!C61&lt;=165000,3,4)),IF('1 Data'!G61&lt;=0.0652,5,IF('1 Data'!G61&lt;=0.716,6,7)))</f>
        <v/>
      </c>
      <c r="D72" s="23">
        <f>INDEX($F$12:$F$18,C72)</f>
        <v/>
      </c>
      <c r="E72" s="27">
        <f>'1 Data'!I61</f>
        <v/>
      </c>
      <c r="F72" s="30">
        <f>COUNTIF($D$23:$D$1022,"&lt;"&amp;D72)+(COUNTIF($D$23:$D$1022,"="&amp;D72)+1)/2</f>
        <v/>
      </c>
    </row>
    <row r="73">
      <c r="B73" s="27">
        <f>'1 Data'!B62</f>
        <v/>
      </c>
      <c r="C73" s="29">
        <f>IF('1 Data'!E62&lt;=1.5,IF('1 Data'!F62&lt;=1.5,IF('1 Data'!G62&lt;=0.0003,1,2),IF('1 Data'!C62&lt;=165000,3,4)),IF('1 Data'!G62&lt;=0.0652,5,IF('1 Data'!G62&lt;=0.716,6,7)))</f>
        <v/>
      </c>
      <c r="D73" s="23">
        <f>INDEX($F$12:$F$18,C73)</f>
        <v/>
      </c>
      <c r="E73" s="27">
        <f>'1 Data'!I62</f>
        <v/>
      </c>
      <c r="F73" s="30">
        <f>COUNTIF($D$23:$D$1022,"&lt;"&amp;D73)+(COUNTIF($D$23:$D$1022,"="&amp;D73)+1)/2</f>
        <v/>
      </c>
    </row>
    <row r="74">
      <c r="B74" s="27">
        <f>'1 Data'!B63</f>
        <v/>
      </c>
      <c r="C74" s="29">
        <f>IF('1 Data'!E63&lt;=1.5,IF('1 Data'!F63&lt;=1.5,IF('1 Data'!G63&lt;=0.0003,1,2),IF('1 Data'!C63&lt;=165000,3,4)),IF('1 Data'!G63&lt;=0.0652,5,IF('1 Data'!G63&lt;=0.716,6,7)))</f>
        <v/>
      </c>
      <c r="D74" s="23">
        <f>INDEX($F$12:$F$18,C74)</f>
        <v/>
      </c>
      <c r="E74" s="27">
        <f>'1 Data'!I63</f>
        <v/>
      </c>
      <c r="F74" s="30">
        <f>COUNTIF($D$23:$D$1022,"&lt;"&amp;D74)+(COUNTIF($D$23:$D$1022,"="&amp;D74)+1)/2</f>
        <v/>
      </c>
    </row>
    <row r="75">
      <c r="B75" s="27">
        <f>'1 Data'!B64</f>
        <v/>
      </c>
      <c r="C75" s="29">
        <f>IF('1 Data'!E64&lt;=1.5,IF('1 Data'!F64&lt;=1.5,IF('1 Data'!G64&lt;=0.0003,1,2),IF('1 Data'!C64&lt;=165000,3,4)),IF('1 Data'!G64&lt;=0.0652,5,IF('1 Data'!G64&lt;=0.716,6,7)))</f>
        <v/>
      </c>
      <c r="D75" s="23">
        <f>INDEX($F$12:$F$18,C75)</f>
        <v/>
      </c>
      <c r="E75" s="27">
        <f>'1 Data'!I64</f>
        <v/>
      </c>
      <c r="F75" s="30">
        <f>COUNTIF($D$23:$D$1022,"&lt;"&amp;D75)+(COUNTIF($D$23:$D$1022,"="&amp;D75)+1)/2</f>
        <v/>
      </c>
    </row>
    <row r="76">
      <c r="B76" s="27">
        <f>'1 Data'!B65</f>
        <v/>
      </c>
      <c r="C76" s="29">
        <f>IF('1 Data'!E65&lt;=1.5,IF('1 Data'!F65&lt;=1.5,IF('1 Data'!G65&lt;=0.0003,1,2),IF('1 Data'!C65&lt;=165000,3,4)),IF('1 Data'!G65&lt;=0.0652,5,IF('1 Data'!G65&lt;=0.716,6,7)))</f>
        <v/>
      </c>
      <c r="D76" s="23">
        <f>INDEX($F$12:$F$18,C76)</f>
        <v/>
      </c>
      <c r="E76" s="27">
        <f>'1 Data'!I65</f>
        <v/>
      </c>
      <c r="F76" s="30">
        <f>COUNTIF($D$23:$D$1022,"&lt;"&amp;D76)+(COUNTIF($D$23:$D$1022,"="&amp;D76)+1)/2</f>
        <v/>
      </c>
    </row>
    <row r="77">
      <c r="B77" s="27">
        <f>'1 Data'!B66</f>
        <v/>
      </c>
      <c r="C77" s="29">
        <f>IF('1 Data'!E66&lt;=1.5,IF('1 Data'!F66&lt;=1.5,IF('1 Data'!G66&lt;=0.0003,1,2),IF('1 Data'!C66&lt;=165000,3,4)),IF('1 Data'!G66&lt;=0.0652,5,IF('1 Data'!G66&lt;=0.716,6,7)))</f>
        <v/>
      </c>
      <c r="D77" s="23">
        <f>INDEX($F$12:$F$18,C77)</f>
        <v/>
      </c>
      <c r="E77" s="27">
        <f>'1 Data'!I66</f>
        <v/>
      </c>
      <c r="F77" s="30">
        <f>COUNTIF($D$23:$D$1022,"&lt;"&amp;D77)+(COUNTIF($D$23:$D$1022,"="&amp;D77)+1)/2</f>
        <v/>
      </c>
    </row>
    <row r="78">
      <c r="B78" s="27">
        <f>'1 Data'!B67</f>
        <v/>
      </c>
      <c r="C78" s="29">
        <f>IF('1 Data'!E67&lt;=1.5,IF('1 Data'!F67&lt;=1.5,IF('1 Data'!G67&lt;=0.0003,1,2),IF('1 Data'!C67&lt;=165000,3,4)),IF('1 Data'!G67&lt;=0.0652,5,IF('1 Data'!G67&lt;=0.716,6,7)))</f>
        <v/>
      </c>
      <c r="D78" s="23">
        <f>INDEX($F$12:$F$18,C78)</f>
        <v/>
      </c>
      <c r="E78" s="27">
        <f>'1 Data'!I67</f>
        <v/>
      </c>
      <c r="F78" s="30">
        <f>COUNTIF($D$23:$D$1022,"&lt;"&amp;D78)+(COUNTIF($D$23:$D$1022,"="&amp;D78)+1)/2</f>
        <v/>
      </c>
    </row>
    <row r="79">
      <c r="B79" s="27">
        <f>'1 Data'!B68</f>
        <v/>
      </c>
      <c r="C79" s="29">
        <f>IF('1 Data'!E68&lt;=1.5,IF('1 Data'!F68&lt;=1.5,IF('1 Data'!G68&lt;=0.0003,1,2),IF('1 Data'!C68&lt;=165000,3,4)),IF('1 Data'!G68&lt;=0.0652,5,IF('1 Data'!G68&lt;=0.716,6,7)))</f>
        <v/>
      </c>
      <c r="D79" s="23">
        <f>INDEX($F$12:$F$18,C79)</f>
        <v/>
      </c>
      <c r="E79" s="27">
        <f>'1 Data'!I68</f>
        <v/>
      </c>
      <c r="F79" s="30">
        <f>COUNTIF($D$23:$D$1022,"&lt;"&amp;D79)+(COUNTIF($D$23:$D$1022,"="&amp;D79)+1)/2</f>
        <v/>
      </c>
    </row>
    <row r="80">
      <c r="B80" s="27">
        <f>'1 Data'!B69</f>
        <v/>
      </c>
      <c r="C80" s="29">
        <f>IF('1 Data'!E69&lt;=1.5,IF('1 Data'!F69&lt;=1.5,IF('1 Data'!G69&lt;=0.0003,1,2),IF('1 Data'!C69&lt;=165000,3,4)),IF('1 Data'!G69&lt;=0.0652,5,IF('1 Data'!G69&lt;=0.716,6,7)))</f>
        <v/>
      </c>
      <c r="D80" s="23">
        <f>INDEX($F$12:$F$18,C80)</f>
        <v/>
      </c>
      <c r="E80" s="27">
        <f>'1 Data'!I69</f>
        <v/>
      </c>
      <c r="F80" s="30">
        <f>COUNTIF($D$23:$D$1022,"&lt;"&amp;D80)+(COUNTIF($D$23:$D$1022,"="&amp;D80)+1)/2</f>
        <v/>
      </c>
    </row>
    <row r="81">
      <c r="B81" s="27">
        <f>'1 Data'!B70</f>
        <v/>
      </c>
      <c r="C81" s="29">
        <f>IF('1 Data'!E70&lt;=1.5,IF('1 Data'!F70&lt;=1.5,IF('1 Data'!G70&lt;=0.0003,1,2),IF('1 Data'!C70&lt;=165000,3,4)),IF('1 Data'!G70&lt;=0.0652,5,IF('1 Data'!G70&lt;=0.716,6,7)))</f>
        <v/>
      </c>
      <c r="D81" s="23">
        <f>INDEX($F$12:$F$18,C81)</f>
        <v/>
      </c>
      <c r="E81" s="27">
        <f>'1 Data'!I70</f>
        <v/>
      </c>
      <c r="F81" s="30">
        <f>COUNTIF($D$23:$D$1022,"&lt;"&amp;D81)+(COUNTIF($D$23:$D$1022,"="&amp;D81)+1)/2</f>
        <v/>
      </c>
    </row>
    <row r="82">
      <c r="B82" s="27">
        <f>'1 Data'!B71</f>
        <v/>
      </c>
      <c r="C82" s="29">
        <f>IF('1 Data'!E71&lt;=1.5,IF('1 Data'!F71&lt;=1.5,IF('1 Data'!G71&lt;=0.0003,1,2),IF('1 Data'!C71&lt;=165000,3,4)),IF('1 Data'!G71&lt;=0.0652,5,IF('1 Data'!G71&lt;=0.716,6,7)))</f>
        <v/>
      </c>
      <c r="D82" s="23">
        <f>INDEX($F$12:$F$18,C82)</f>
        <v/>
      </c>
      <c r="E82" s="27">
        <f>'1 Data'!I71</f>
        <v/>
      </c>
      <c r="F82" s="30">
        <f>COUNTIF($D$23:$D$1022,"&lt;"&amp;D82)+(COUNTIF($D$23:$D$1022,"="&amp;D82)+1)/2</f>
        <v/>
      </c>
    </row>
    <row r="83">
      <c r="B83" s="27">
        <f>'1 Data'!B72</f>
        <v/>
      </c>
      <c r="C83" s="29">
        <f>IF('1 Data'!E72&lt;=1.5,IF('1 Data'!F72&lt;=1.5,IF('1 Data'!G72&lt;=0.0003,1,2),IF('1 Data'!C72&lt;=165000,3,4)),IF('1 Data'!G72&lt;=0.0652,5,IF('1 Data'!G72&lt;=0.716,6,7)))</f>
        <v/>
      </c>
      <c r="D83" s="23">
        <f>INDEX($F$12:$F$18,C83)</f>
        <v/>
      </c>
      <c r="E83" s="27">
        <f>'1 Data'!I72</f>
        <v/>
      </c>
      <c r="F83" s="30">
        <f>COUNTIF($D$23:$D$1022,"&lt;"&amp;D83)+(COUNTIF($D$23:$D$1022,"="&amp;D83)+1)/2</f>
        <v/>
      </c>
    </row>
    <row r="84">
      <c r="B84" s="27">
        <f>'1 Data'!B73</f>
        <v/>
      </c>
      <c r="C84" s="29">
        <f>IF('1 Data'!E73&lt;=1.5,IF('1 Data'!F73&lt;=1.5,IF('1 Data'!G73&lt;=0.0003,1,2),IF('1 Data'!C73&lt;=165000,3,4)),IF('1 Data'!G73&lt;=0.0652,5,IF('1 Data'!G73&lt;=0.716,6,7)))</f>
        <v/>
      </c>
      <c r="D84" s="23">
        <f>INDEX($F$12:$F$18,C84)</f>
        <v/>
      </c>
      <c r="E84" s="27">
        <f>'1 Data'!I73</f>
        <v/>
      </c>
      <c r="F84" s="30">
        <f>COUNTIF($D$23:$D$1022,"&lt;"&amp;D84)+(COUNTIF($D$23:$D$1022,"="&amp;D84)+1)/2</f>
        <v/>
      </c>
    </row>
    <row r="85">
      <c r="B85" s="27">
        <f>'1 Data'!B74</f>
        <v/>
      </c>
      <c r="C85" s="29">
        <f>IF('1 Data'!E74&lt;=1.5,IF('1 Data'!F74&lt;=1.5,IF('1 Data'!G74&lt;=0.0003,1,2),IF('1 Data'!C74&lt;=165000,3,4)),IF('1 Data'!G74&lt;=0.0652,5,IF('1 Data'!G74&lt;=0.716,6,7)))</f>
        <v/>
      </c>
      <c r="D85" s="23">
        <f>INDEX($F$12:$F$18,C85)</f>
        <v/>
      </c>
      <c r="E85" s="27">
        <f>'1 Data'!I74</f>
        <v/>
      </c>
      <c r="F85" s="30">
        <f>COUNTIF($D$23:$D$1022,"&lt;"&amp;D85)+(COUNTIF($D$23:$D$1022,"="&amp;D85)+1)/2</f>
        <v/>
      </c>
    </row>
    <row r="86">
      <c r="B86" s="27">
        <f>'1 Data'!B75</f>
        <v/>
      </c>
      <c r="C86" s="29">
        <f>IF('1 Data'!E75&lt;=1.5,IF('1 Data'!F75&lt;=1.5,IF('1 Data'!G75&lt;=0.0003,1,2),IF('1 Data'!C75&lt;=165000,3,4)),IF('1 Data'!G75&lt;=0.0652,5,IF('1 Data'!G75&lt;=0.716,6,7)))</f>
        <v/>
      </c>
      <c r="D86" s="23">
        <f>INDEX($F$12:$F$18,C86)</f>
        <v/>
      </c>
      <c r="E86" s="27">
        <f>'1 Data'!I75</f>
        <v/>
      </c>
      <c r="F86" s="30">
        <f>COUNTIF($D$23:$D$1022,"&lt;"&amp;D86)+(COUNTIF($D$23:$D$1022,"="&amp;D86)+1)/2</f>
        <v/>
      </c>
    </row>
    <row r="87">
      <c r="B87" s="27">
        <f>'1 Data'!B76</f>
        <v/>
      </c>
      <c r="C87" s="29">
        <f>IF('1 Data'!E76&lt;=1.5,IF('1 Data'!F76&lt;=1.5,IF('1 Data'!G76&lt;=0.0003,1,2),IF('1 Data'!C76&lt;=165000,3,4)),IF('1 Data'!G76&lt;=0.0652,5,IF('1 Data'!G76&lt;=0.716,6,7)))</f>
        <v/>
      </c>
      <c r="D87" s="23">
        <f>INDEX($F$12:$F$18,C87)</f>
        <v/>
      </c>
      <c r="E87" s="27">
        <f>'1 Data'!I76</f>
        <v/>
      </c>
      <c r="F87" s="30">
        <f>COUNTIF($D$23:$D$1022,"&lt;"&amp;D87)+(COUNTIF($D$23:$D$1022,"="&amp;D87)+1)/2</f>
        <v/>
      </c>
    </row>
    <row r="88">
      <c r="B88" s="27">
        <f>'1 Data'!B77</f>
        <v/>
      </c>
      <c r="C88" s="29">
        <f>IF('1 Data'!E77&lt;=1.5,IF('1 Data'!F77&lt;=1.5,IF('1 Data'!G77&lt;=0.0003,1,2),IF('1 Data'!C77&lt;=165000,3,4)),IF('1 Data'!G77&lt;=0.0652,5,IF('1 Data'!G77&lt;=0.716,6,7)))</f>
        <v/>
      </c>
      <c r="D88" s="23">
        <f>INDEX($F$12:$F$18,C88)</f>
        <v/>
      </c>
      <c r="E88" s="27">
        <f>'1 Data'!I77</f>
        <v/>
      </c>
      <c r="F88" s="30">
        <f>COUNTIF($D$23:$D$1022,"&lt;"&amp;D88)+(COUNTIF($D$23:$D$1022,"="&amp;D88)+1)/2</f>
        <v/>
      </c>
    </row>
    <row r="89">
      <c r="B89" s="27">
        <f>'1 Data'!B78</f>
        <v/>
      </c>
      <c r="C89" s="29">
        <f>IF('1 Data'!E78&lt;=1.5,IF('1 Data'!F78&lt;=1.5,IF('1 Data'!G78&lt;=0.0003,1,2),IF('1 Data'!C78&lt;=165000,3,4)),IF('1 Data'!G78&lt;=0.0652,5,IF('1 Data'!G78&lt;=0.716,6,7)))</f>
        <v/>
      </c>
      <c r="D89" s="23">
        <f>INDEX($F$12:$F$18,C89)</f>
        <v/>
      </c>
      <c r="E89" s="27">
        <f>'1 Data'!I78</f>
        <v/>
      </c>
      <c r="F89" s="30">
        <f>COUNTIF($D$23:$D$1022,"&lt;"&amp;D89)+(COUNTIF($D$23:$D$1022,"="&amp;D89)+1)/2</f>
        <v/>
      </c>
    </row>
    <row r="90">
      <c r="B90" s="27">
        <f>'1 Data'!B79</f>
        <v/>
      </c>
      <c r="C90" s="29">
        <f>IF('1 Data'!E79&lt;=1.5,IF('1 Data'!F79&lt;=1.5,IF('1 Data'!G79&lt;=0.0003,1,2),IF('1 Data'!C79&lt;=165000,3,4)),IF('1 Data'!G79&lt;=0.0652,5,IF('1 Data'!G79&lt;=0.716,6,7)))</f>
        <v/>
      </c>
      <c r="D90" s="23">
        <f>INDEX($F$12:$F$18,C90)</f>
        <v/>
      </c>
      <c r="E90" s="27">
        <f>'1 Data'!I79</f>
        <v/>
      </c>
      <c r="F90" s="30">
        <f>COUNTIF($D$23:$D$1022,"&lt;"&amp;D90)+(COUNTIF($D$23:$D$1022,"="&amp;D90)+1)/2</f>
        <v/>
      </c>
    </row>
    <row r="91">
      <c r="B91" s="27">
        <f>'1 Data'!B80</f>
        <v/>
      </c>
      <c r="C91" s="29">
        <f>IF('1 Data'!E80&lt;=1.5,IF('1 Data'!F80&lt;=1.5,IF('1 Data'!G80&lt;=0.0003,1,2),IF('1 Data'!C80&lt;=165000,3,4)),IF('1 Data'!G80&lt;=0.0652,5,IF('1 Data'!G80&lt;=0.716,6,7)))</f>
        <v/>
      </c>
      <c r="D91" s="23">
        <f>INDEX($F$12:$F$18,C91)</f>
        <v/>
      </c>
      <c r="E91" s="27">
        <f>'1 Data'!I80</f>
        <v/>
      </c>
      <c r="F91" s="30">
        <f>COUNTIF($D$23:$D$1022,"&lt;"&amp;D91)+(COUNTIF($D$23:$D$1022,"="&amp;D91)+1)/2</f>
        <v/>
      </c>
    </row>
    <row r="92">
      <c r="B92" s="27">
        <f>'1 Data'!B81</f>
        <v/>
      </c>
      <c r="C92" s="29">
        <f>IF('1 Data'!E81&lt;=1.5,IF('1 Data'!F81&lt;=1.5,IF('1 Data'!G81&lt;=0.0003,1,2),IF('1 Data'!C81&lt;=165000,3,4)),IF('1 Data'!G81&lt;=0.0652,5,IF('1 Data'!G81&lt;=0.716,6,7)))</f>
        <v/>
      </c>
      <c r="D92" s="23">
        <f>INDEX($F$12:$F$18,C92)</f>
        <v/>
      </c>
      <c r="E92" s="27">
        <f>'1 Data'!I81</f>
        <v/>
      </c>
      <c r="F92" s="30">
        <f>COUNTIF($D$23:$D$1022,"&lt;"&amp;D92)+(COUNTIF($D$23:$D$1022,"="&amp;D92)+1)/2</f>
        <v/>
      </c>
    </row>
    <row r="93">
      <c r="B93" s="27">
        <f>'1 Data'!B82</f>
        <v/>
      </c>
      <c r="C93" s="29">
        <f>IF('1 Data'!E82&lt;=1.5,IF('1 Data'!F82&lt;=1.5,IF('1 Data'!G82&lt;=0.0003,1,2),IF('1 Data'!C82&lt;=165000,3,4)),IF('1 Data'!G82&lt;=0.0652,5,IF('1 Data'!G82&lt;=0.716,6,7)))</f>
        <v/>
      </c>
      <c r="D93" s="23">
        <f>INDEX($F$12:$F$18,C93)</f>
        <v/>
      </c>
      <c r="E93" s="27">
        <f>'1 Data'!I82</f>
        <v/>
      </c>
      <c r="F93" s="30">
        <f>COUNTIF($D$23:$D$1022,"&lt;"&amp;D93)+(COUNTIF($D$23:$D$1022,"="&amp;D93)+1)/2</f>
        <v/>
      </c>
    </row>
    <row r="94">
      <c r="B94" s="27">
        <f>'1 Data'!B83</f>
        <v/>
      </c>
      <c r="C94" s="29">
        <f>IF('1 Data'!E83&lt;=1.5,IF('1 Data'!F83&lt;=1.5,IF('1 Data'!G83&lt;=0.0003,1,2),IF('1 Data'!C83&lt;=165000,3,4)),IF('1 Data'!G83&lt;=0.0652,5,IF('1 Data'!G83&lt;=0.716,6,7)))</f>
        <v/>
      </c>
      <c r="D94" s="23">
        <f>INDEX($F$12:$F$18,C94)</f>
        <v/>
      </c>
      <c r="E94" s="27">
        <f>'1 Data'!I83</f>
        <v/>
      </c>
      <c r="F94" s="30">
        <f>COUNTIF($D$23:$D$1022,"&lt;"&amp;D94)+(COUNTIF($D$23:$D$1022,"="&amp;D94)+1)/2</f>
        <v/>
      </c>
    </row>
    <row r="95">
      <c r="B95" s="27">
        <f>'1 Data'!B84</f>
        <v/>
      </c>
      <c r="C95" s="29">
        <f>IF('1 Data'!E84&lt;=1.5,IF('1 Data'!F84&lt;=1.5,IF('1 Data'!G84&lt;=0.0003,1,2),IF('1 Data'!C84&lt;=165000,3,4)),IF('1 Data'!G84&lt;=0.0652,5,IF('1 Data'!G84&lt;=0.716,6,7)))</f>
        <v/>
      </c>
      <c r="D95" s="23">
        <f>INDEX($F$12:$F$18,C95)</f>
        <v/>
      </c>
      <c r="E95" s="27">
        <f>'1 Data'!I84</f>
        <v/>
      </c>
      <c r="F95" s="30">
        <f>COUNTIF($D$23:$D$1022,"&lt;"&amp;D95)+(COUNTIF($D$23:$D$1022,"="&amp;D95)+1)/2</f>
        <v/>
      </c>
    </row>
    <row r="96">
      <c r="B96" s="27">
        <f>'1 Data'!B85</f>
        <v/>
      </c>
      <c r="C96" s="29">
        <f>IF('1 Data'!E85&lt;=1.5,IF('1 Data'!F85&lt;=1.5,IF('1 Data'!G85&lt;=0.0003,1,2),IF('1 Data'!C85&lt;=165000,3,4)),IF('1 Data'!G85&lt;=0.0652,5,IF('1 Data'!G85&lt;=0.716,6,7)))</f>
        <v/>
      </c>
      <c r="D96" s="23">
        <f>INDEX($F$12:$F$18,C96)</f>
        <v/>
      </c>
      <c r="E96" s="27">
        <f>'1 Data'!I85</f>
        <v/>
      </c>
      <c r="F96" s="30">
        <f>COUNTIF($D$23:$D$1022,"&lt;"&amp;D96)+(COUNTIF($D$23:$D$1022,"="&amp;D96)+1)/2</f>
        <v/>
      </c>
    </row>
    <row r="97">
      <c r="B97" s="27">
        <f>'1 Data'!B86</f>
        <v/>
      </c>
      <c r="C97" s="29">
        <f>IF('1 Data'!E86&lt;=1.5,IF('1 Data'!F86&lt;=1.5,IF('1 Data'!G86&lt;=0.0003,1,2),IF('1 Data'!C86&lt;=165000,3,4)),IF('1 Data'!G86&lt;=0.0652,5,IF('1 Data'!G86&lt;=0.716,6,7)))</f>
        <v/>
      </c>
      <c r="D97" s="23">
        <f>INDEX($F$12:$F$18,C97)</f>
        <v/>
      </c>
      <c r="E97" s="27">
        <f>'1 Data'!I86</f>
        <v/>
      </c>
      <c r="F97" s="30">
        <f>COUNTIF($D$23:$D$1022,"&lt;"&amp;D97)+(COUNTIF($D$23:$D$1022,"="&amp;D97)+1)/2</f>
        <v/>
      </c>
    </row>
    <row r="98">
      <c r="B98" s="27">
        <f>'1 Data'!B87</f>
        <v/>
      </c>
      <c r="C98" s="29">
        <f>IF('1 Data'!E87&lt;=1.5,IF('1 Data'!F87&lt;=1.5,IF('1 Data'!G87&lt;=0.0003,1,2),IF('1 Data'!C87&lt;=165000,3,4)),IF('1 Data'!G87&lt;=0.0652,5,IF('1 Data'!G87&lt;=0.716,6,7)))</f>
        <v/>
      </c>
      <c r="D98" s="23">
        <f>INDEX($F$12:$F$18,C98)</f>
        <v/>
      </c>
      <c r="E98" s="27">
        <f>'1 Data'!I87</f>
        <v/>
      </c>
      <c r="F98" s="30">
        <f>COUNTIF($D$23:$D$1022,"&lt;"&amp;D98)+(COUNTIF($D$23:$D$1022,"="&amp;D98)+1)/2</f>
        <v/>
      </c>
    </row>
    <row r="99">
      <c r="B99" s="27">
        <f>'1 Data'!B88</f>
        <v/>
      </c>
      <c r="C99" s="29">
        <f>IF('1 Data'!E88&lt;=1.5,IF('1 Data'!F88&lt;=1.5,IF('1 Data'!G88&lt;=0.0003,1,2),IF('1 Data'!C88&lt;=165000,3,4)),IF('1 Data'!G88&lt;=0.0652,5,IF('1 Data'!G88&lt;=0.716,6,7)))</f>
        <v/>
      </c>
      <c r="D99" s="23">
        <f>INDEX($F$12:$F$18,C99)</f>
        <v/>
      </c>
      <c r="E99" s="27">
        <f>'1 Data'!I88</f>
        <v/>
      </c>
      <c r="F99" s="30">
        <f>COUNTIF($D$23:$D$1022,"&lt;"&amp;D99)+(COUNTIF($D$23:$D$1022,"="&amp;D99)+1)/2</f>
        <v/>
      </c>
    </row>
    <row r="100">
      <c r="B100" s="27">
        <f>'1 Data'!B89</f>
        <v/>
      </c>
      <c r="C100" s="29">
        <f>IF('1 Data'!E89&lt;=1.5,IF('1 Data'!F89&lt;=1.5,IF('1 Data'!G89&lt;=0.0003,1,2),IF('1 Data'!C89&lt;=165000,3,4)),IF('1 Data'!G89&lt;=0.0652,5,IF('1 Data'!G89&lt;=0.716,6,7)))</f>
        <v/>
      </c>
      <c r="D100" s="23">
        <f>INDEX($F$12:$F$18,C100)</f>
        <v/>
      </c>
      <c r="E100" s="27">
        <f>'1 Data'!I89</f>
        <v/>
      </c>
      <c r="F100" s="30">
        <f>COUNTIF($D$23:$D$1022,"&lt;"&amp;D100)+(COUNTIF($D$23:$D$1022,"="&amp;D100)+1)/2</f>
        <v/>
      </c>
    </row>
    <row r="101">
      <c r="B101" s="27">
        <f>'1 Data'!B90</f>
        <v/>
      </c>
      <c r="C101" s="29">
        <f>IF('1 Data'!E90&lt;=1.5,IF('1 Data'!F90&lt;=1.5,IF('1 Data'!G90&lt;=0.0003,1,2),IF('1 Data'!C90&lt;=165000,3,4)),IF('1 Data'!G90&lt;=0.0652,5,IF('1 Data'!G90&lt;=0.716,6,7)))</f>
        <v/>
      </c>
      <c r="D101" s="23">
        <f>INDEX($F$12:$F$18,C101)</f>
        <v/>
      </c>
      <c r="E101" s="27">
        <f>'1 Data'!I90</f>
        <v/>
      </c>
      <c r="F101" s="30">
        <f>COUNTIF($D$23:$D$1022,"&lt;"&amp;D101)+(COUNTIF($D$23:$D$1022,"="&amp;D101)+1)/2</f>
        <v/>
      </c>
    </row>
    <row r="102">
      <c r="B102" s="27">
        <f>'1 Data'!B91</f>
        <v/>
      </c>
      <c r="C102" s="29">
        <f>IF('1 Data'!E91&lt;=1.5,IF('1 Data'!F91&lt;=1.5,IF('1 Data'!G91&lt;=0.0003,1,2),IF('1 Data'!C91&lt;=165000,3,4)),IF('1 Data'!G91&lt;=0.0652,5,IF('1 Data'!G91&lt;=0.716,6,7)))</f>
        <v/>
      </c>
      <c r="D102" s="23">
        <f>INDEX($F$12:$F$18,C102)</f>
        <v/>
      </c>
      <c r="E102" s="27">
        <f>'1 Data'!I91</f>
        <v/>
      </c>
      <c r="F102" s="30">
        <f>COUNTIF($D$23:$D$1022,"&lt;"&amp;D102)+(COUNTIF($D$23:$D$1022,"="&amp;D102)+1)/2</f>
        <v/>
      </c>
    </row>
    <row r="103">
      <c r="B103" s="27">
        <f>'1 Data'!B92</f>
        <v/>
      </c>
      <c r="C103" s="29">
        <f>IF('1 Data'!E92&lt;=1.5,IF('1 Data'!F92&lt;=1.5,IF('1 Data'!G92&lt;=0.0003,1,2),IF('1 Data'!C92&lt;=165000,3,4)),IF('1 Data'!G92&lt;=0.0652,5,IF('1 Data'!G92&lt;=0.716,6,7)))</f>
        <v/>
      </c>
      <c r="D103" s="23">
        <f>INDEX($F$12:$F$18,C103)</f>
        <v/>
      </c>
      <c r="E103" s="27">
        <f>'1 Data'!I92</f>
        <v/>
      </c>
      <c r="F103" s="30">
        <f>COUNTIF($D$23:$D$1022,"&lt;"&amp;D103)+(COUNTIF($D$23:$D$1022,"="&amp;D103)+1)/2</f>
        <v/>
      </c>
    </row>
    <row r="104">
      <c r="B104" s="27">
        <f>'1 Data'!B93</f>
        <v/>
      </c>
      <c r="C104" s="29">
        <f>IF('1 Data'!E93&lt;=1.5,IF('1 Data'!F93&lt;=1.5,IF('1 Data'!G93&lt;=0.0003,1,2),IF('1 Data'!C93&lt;=165000,3,4)),IF('1 Data'!G93&lt;=0.0652,5,IF('1 Data'!G93&lt;=0.716,6,7)))</f>
        <v/>
      </c>
      <c r="D104" s="23">
        <f>INDEX($F$12:$F$18,C104)</f>
        <v/>
      </c>
      <c r="E104" s="27">
        <f>'1 Data'!I93</f>
        <v/>
      </c>
      <c r="F104" s="30">
        <f>COUNTIF($D$23:$D$1022,"&lt;"&amp;D104)+(COUNTIF($D$23:$D$1022,"="&amp;D104)+1)/2</f>
        <v/>
      </c>
    </row>
    <row r="105">
      <c r="B105" s="27">
        <f>'1 Data'!B94</f>
        <v/>
      </c>
      <c r="C105" s="29">
        <f>IF('1 Data'!E94&lt;=1.5,IF('1 Data'!F94&lt;=1.5,IF('1 Data'!G94&lt;=0.0003,1,2),IF('1 Data'!C94&lt;=165000,3,4)),IF('1 Data'!G94&lt;=0.0652,5,IF('1 Data'!G94&lt;=0.716,6,7)))</f>
        <v/>
      </c>
      <c r="D105" s="23">
        <f>INDEX($F$12:$F$18,C105)</f>
        <v/>
      </c>
      <c r="E105" s="27">
        <f>'1 Data'!I94</f>
        <v/>
      </c>
      <c r="F105" s="30">
        <f>COUNTIF($D$23:$D$1022,"&lt;"&amp;D105)+(COUNTIF($D$23:$D$1022,"="&amp;D105)+1)/2</f>
        <v/>
      </c>
    </row>
    <row r="106">
      <c r="B106" s="27">
        <f>'1 Data'!B95</f>
        <v/>
      </c>
      <c r="C106" s="29">
        <f>IF('1 Data'!E95&lt;=1.5,IF('1 Data'!F95&lt;=1.5,IF('1 Data'!G95&lt;=0.0003,1,2),IF('1 Data'!C95&lt;=165000,3,4)),IF('1 Data'!G95&lt;=0.0652,5,IF('1 Data'!G95&lt;=0.716,6,7)))</f>
        <v/>
      </c>
      <c r="D106" s="23">
        <f>INDEX($F$12:$F$18,C106)</f>
        <v/>
      </c>
      <c r="E106" s="27">
        <f>'1 Data'!I95</f>
        <v/>
      </c>
      <c r="F106" s="30">
        <f>COUNTIF($D$23:$D$1022,"&lt;"&amp;D106)+(COUNTIF($D$23:$D$1022,"="&amp;D106)+1)/2</f>
        <v/>
      </c>
    </row>
    <row r="107">
      <c r="B107" s="27">
        <f>'1 Data'!B96</f>
        <v/>
      </c>
      <c r="C107" s="29">
        <f>IF('1 Data'!E96&lt;=1.5,IF('1 Data'!F96&lt;=1.5,IF('1 Data'!G96&lt;=0.0003,1,2),IF('1 Data'!C96&lt;=165000,3,4)),IF('1 Data'!G96&lt;=0.0652,5,IF('1 Data'!G96&lt;=0.716,6,7)))</f>
        <v/>
      </c>
      <c r="D107" s="23">
        <f>INDEX($F$12:$F$18,C107)</f>
        <v/>
      </c>
      <c r="E107" s="27">
        <f>'1 Data'!I96</f>
        <v/>
      </c>
      <c r="F107" s="30">
        <f>COUNTIF($D$23:$D$1022,"&lt;"&amp;D107)+(COUNTIF($D$23:$D$1022,"="&amp;D107)+1)/2</f>
        <v/>
      </c>
    </row>
    <row r="108">
      <c r="B108" s="27">
        <f>'1 Data'!B97</f>
        <v/>
      </c>
      <c r="C108" s="29">
        <f>IF('1 Data'!E97&lt;=1.5,IF('1 Data'!F97&lt;=1.5,IF('1 Data'!G97&lt;=0.0003,1,2),IF('1 Data'!C97&lt;=165000,3,4)),IF('1 Data'!G97&lt;=0.0652,5,IF('1 Data'!G97&lt;=0.716,6,7)))</f>
        <v/>
      </c>
      <c r="D108" s="23">
        <f>INDEX($F$12:$F$18,C108)</f>
        <v/>
      </c>
      <c r="E108" s="27">
        <f>'1 Data'!I97</f>
        <v/>
      </c>
      <c r="F108" s="30">
        <f>COUNTIF($D$23:$D$1022,"&lt;"&amp;D108)+(COUNTIF($D$23:$D$1022,"="&amp;D108)+1)/2</f>
        <v/>
      </c>
    </row>
    <row r="109">
      <c r="B109" s="27">
        <f>'1 Data'!B98</f>
        <v/>
      </c>
      <c r="C109" s="29">
        <f>IF('1 Data'!E98&lt;=1.5,IF('1 Data'!F98&lt;=1.5,IF('1 Data'!G98&lt;=0.0003,1,2),IF('1 Data'!C98&lt;=165000,3,4)),IF('1 Data'!G98&lt;=0.0652,5,IF('1 Data'!G98&lt;=0.716,6,7)))</f>
        <v/>
      </c>
      <c r="D109" s="23">
        <f>INDEX($F$12:$F$18,C109)</f>
        <v/>
      </c>
      <c r="E109" s="27">
        <f>'1 Data'!I98</f>
        <v/>
      </c>
      <c r="F109" s="30">
        <f>COUNTIF($D$23:$D$1022,"&lt;"&amp;D109)+(COUNTIF($D$23:$D$1022,"="&amp;D109)+1)/2</f>
        <v/>
      </c>
    </row>
    <row r="110">
      <c r="B110" s="27">
        <f>'1 Data'!B99</f>
        <v/>
      </c>
      <c r="C110" s="29">
        <f>IF('1 Data'!E99&lt;=1.5,IF('1 Data'!F99&lt;=1.5,IF('1 Data'!G99&lt;=0.0003,1,2),IF('1 Data'!C99&lt;=165000,3,4)),IF('1 Data'!G99&lt;=0.0652,5,IF('1 Data'!G99&lt;=0.716,6,7)))</f>
        <v/>
      </c>
      <c r="D110" s="23">
        <f>INDEX($F$12:$F$18,C110)</f>
        <v/>
      </c>
      <c r="E110" s="27">
        <f>'1 Data'!I99</f>
        <v/>
      </c>
      <c r="F110" s="30">
        <f>COUNTIF($D$23:$D$1022,"&lt;"&amp;D110)+(COUNTIF($D$23:$D$1022,"="&amp;D110)+1)/2</f>
        <v/>
      </c>
    </row>
    <row r="111">
      <c r="B111" s="27">
        <f>'1 Data'!B100</f>
        <v/>
      </c>
      <c r="C111" s="29">
        <f>IF('1 Data'!E100&lt;=1.5,IF('1 Data'!F100&lt;=1.5,IF('1 Data'!G100&lt;=0.0003,1,2),IF('1 Data'!C100&lt;=165000,3,4)),IF('1 Data'!G100&lt;=0.0652,5,IF('1 Data'!G100&lt;=0.716,6,7)))</f>
        <v/>
      </c>
      <c r="D111" s="23">
        <f>INDEX($F$12:$F$18,C111)</f>
        <v/>
      </c>
      <c r="E111" s="27">
        <f>'1 Data'!I100</f>
        <v/>
      </c>
      <c r="F111" s="30">
        <f>COUNTIF($D$23:$D$1022,"&lt;"&amp;D111)+(COUNTIF($D$23:$D$1022,"="&amp;D111)+1)/2</f>
        <v/>
      </c>
    </row>
    <row r="112">
      <c r="B112" s="27">
        <f>'1 Data'!B101</f>
        <v/>
      </c>
      <c r="C112" s="29">
        <f>IF('1 Data'!E101&lt;=1.5,IF('1 Data'!F101&lt;=1.5,IF('1 Data'!G101&lt;=0.0003,1,2),IF('1 Data'!C101&lt;=165000,3,4)),IF('1 Data'!G101&lt;=0.0652,5,IF('1 Data'!G101&lt;=0.716,6,7)))</f>
        <v/>
      </c>
      <c r="D112" s="23">
        <f>INDEX($F$12:$F$18,C112)</f>
        <v/>
      </c>
      <c r="E112" s="27">
        <f>'1 Data'!I101</f>
        <v/>
      </c>
      <c r="F112" s="30">
        <f>COUNTIF($D$23:$D$1022,"&lt;"&amp;D112)+(COUNTIF($D$23:$D$1022,"="&amp;D112)+1)/2</f>
        <v/>
      </c>
    </row>
    <row r="113">
      <c r="B113" s="27">
        <f>'1 Data'!B102</f>
        <v/>
      </c>
      <c r="C113" s="29">
        <f>IF('1 Data'!E102&lt;=1.5,IF('1 Data'!F102&lt;=1.5,IF('1 Data'!G102&lt;=0.0003,1,2),IF('1 Data'!C102&lt;=165000,3,4)),IF('1 Data'!G102&lt;=0.0652,5,IF('1 Data'!G102&lt;=0.716,6,7)))</f>
        <v/>
      </c>
      <c r="D113" s="23">
        <f>INDEX($F$12:$F$18,C113)</f>
        <v/>
      </c>
      <c r="E113" s="27">
        <f>'1 Data'!I102</f>
        <v/>
      </c>
      <c r="F113" s="30">
        <f>COUNTIF($D$23:$D$1022,"&lt;"&amp;D113)+(COUNTIF($D$23:$D$1022,"="&amp;D113)+1)/2</f>
        <v/>
      </c>
    </row>
    <row r="114">
      <c r="B114" s="27">
        <f>'1 Data'!B103</f>
        <v/>
      </c>
      <c r="C114" s="29">
        <f>IF('1 Data'!E103&lt;=1.5,IF('1 Data'!F103&lt;=1.5,IF('1 Data'!G103&lt;=0.0003,1,2),IF('1 Data'!C103&lt;=165000,3,4)),IF('1 Data'!G103&lt;=0.0652,5,IF('1 Data'!G103&lt;=0.716,6,7)))</f>
        <v/>
      </c>
      <c r="D114" s="23">
        <f>INDEX($F$12:$F$18,C114)</f>
        <v/>
      </c>
      <c r="E114" s="27">
        <f>'1 Data'!I103</f>
        <v/>
      </c>
      <c r="F114" s="30">
        <f>COUNTIF($D$23:$D$1022,"&lt;"&amp;D114)+(COUNTIF($D$23:$D$1022,"="&amp;D114)+1)/2</f>
        <v/>
      </c>
    </row>
    <row r="115">
      <c r="B115" s="27">
        <f>'1 Data'!B104</f>
        <v/>
      </c>
      <c r="C115" s="29">
        <f>IF('1 Data'!E104&lt;=1.5,IF('1 Data'!F104&lt;=1.5,IF('1 Data'!G104&lt;=0.0003,1,2),IF('1 Data'!C104&lt;=165000,3,4)),IF('1 Data'!G104&lt;=0.0652,5,IF('1 Data'!G104&lt;=0.716,6,7)))</f>
        <v/>
      </c>
      <c r="D115" s="23">
        <f>INDEX($F$12:$F$18,C115)</f>
        <v/>
      </c>
      <c r="E115" s="27">
        <f>'1 Data'!I104</f>
        <v/>
      </c>
      <c r="F115" s="30">
        <f>COUNTIF($D$23:$D$1022,"&lt;"&amp;D115)+(COUNTIF($D$23:$D$1022,"="&amp;D115)+1)/2</f>
        <v/>
      </c>
    </row>
    <row r="116">
      <c r="B116" s="27">
        <f>'1 Data'!B105</f>
        <v/>
      </c>
      <c r="C116" s="29">
        <f>IF('1 Data'!E105&lt;=1.5,IF('1 Data'!F105&lt;=1.5,IF('1 Data'!G105&lt;=0.0003,1,2),IF('1 Data'!C105&lt;=165000,3,4)),IF('1 Data'!G105&lt;=0.0652,5,IF('1 Data'!G105&lt;=0.716,6,7)))</f>
        <v/>
      </c>
      <c r="D116" s="23">
        <f>INDEX($F$12:$F$18,C116)</f>
        <v/>
      </c>
      <c r="E116" s="27">
        <f>'1 Data'!I105</f>
        <v/>
      </c>
      <c r="F116" s="30">
        <f>COUNTIF($D$23:$D$1022,"&lt;"&amp;D116)+(COUNTIF($D$23:$D$1022,"="&amp;D116)+1)/2</f>
        <v/>
      </c>
    </row>
    <row r="117">
      <c r="B117" s="27">
        <f>'1 Data'!B106</f>
        <v/>
      </c>
      <c r="C117" s="29">
        <f>IF('1 Data'!E106&lt;=1.5,IF('1 Data'!F106&lt;=1.5,IF('1 Data'!G106&lt;=0.0003,1,2),IF('1 Data'!C106&lt;=165000,3,4)),IF('1 Data'!G106&lt;=0.0652,5,IF('1 Data'!G106&lt;=0.716,6,7)))</f>
        <v/>
      </c>
      <c r="D117" s="23">
        <f>INDEX($F$12:$F$18,C117)</f>
        <v/>
      </c>
      <c r="E117" s="27">
        <f>'1 Data'!I106</f>
        <v/>
      </c>
      <c r="F117" s="30">
        <f>COUNTIF($D$23:$D$1022,"&lt;"&amp;D117)+(COUNTIF($D$23:$D$1022,"="&amp;D117)+1)/2</f>
        <v/>
      </c>
    </row>
    <row r="118">
      <c r="B118" s="27">
        <f>'1 Data'!B107</f>
        <v/>
      </c>
      <c r="C118" s="29">
        <f>IF('1 Data'!E107&lt;=1.5,IF('1 Data'!F107&lt;=1.5,IF('1 Data'!G107&lt;=0.0003,1,2),IF('1 Data'!C107&lt;=165000,3,4)),IF('1 Data'!G107&lt;=0.0652,5,IF('1 Data'!G107&lt;=0.716,6,7)))</f>
        <v/>
      </c>
      <c r="D118" s="23">
        <f>INDEX($F$12:$F$18,C118)</f>
        <v/>
      </c>
      <c r="E118" s="27">
        <f>'1 Data'!I107</f>
        <v/>
      </c>
      <c r="F118" s="30">
        <f>COUNTIF($D$23:$D$1022,"&lt;"&amp;D118)+(COUNTIF($D$23:$D$1022,"="&amp;D118)+1)/2</f>
        <v/>
      </c>
    </row>
    <row r="119">
      <c r="B119" s="27">
        <f>'1 Data'!B108</f>
        <v/>
      </c>
      <c r="C119" s="29">
        <f>IF('1 Data'!E108&lt;=1.5,IF('1 Data'!F108&lt;=1.5,IF('1 Data'!G108&lt;=0.0003,1,2),IF('1 Data'!C108&lt;=165000,3,4)),IF('1 Data'!G108&lt;=0.0652,5,IF('1 Data'!G108&lt;=0.716,6,7)))</f>
        <v/>
      </c>
      <c r="D119" s="23">
        <f>INDEX($F$12:$F$18,C119)</f>
        <v/>
      </c>
      <c r="E119" s="27">
        <f>'1 Data'!I108</f>
        <v/>
      </c>
      <c r="F119" s="30">
        <f>COUNTIF($D$23:$D$1022,"&lt;"&amp;D119)+(COUNTIF($D$23:$D$1022,"="&amp;D119)+1)/2</f>
        <v/>
      </c>
    </row>
    <row r="120">
      <c r="B120" s="27">
        <f>'1 Data'!B109</f>
        <v/>
      </c>
      <c r="C120" s="29">
        <f>IF('1 Data'!E109&lt;=1.5,IF('1 Data'!F109&lt;=1.5,IF('1 Data'!G109&lt;=0.0003,1,2),IF('1 Data'!C109&lt;=165000,3,4)),IF('1 Data'!G109&lt;=0.0652,5,IF('1 Data'!G109&lt;=0.716,6,7)))</f>
        <v/>
      </c>
      <c r="D120" s="23">
        <f>INDEX($F$12:$F$18,C120)</f>
        <v/>
      </c>
      <c r="E120" s="27">
        <f>'1 Data'!I109</f>
        <v/>
      </c>
      <c r="F120" s="30">
        <f>COUNTIF($D$23:$D$1022,"&lt;"&amp;D120)+(COUNTIF($D$23:$D$1022,"="&amp;D120)+1)/2</f>
        <v/>
      </c>
    </row>
    <row r="121">
      <c r="B121" s="27">
        <f>'1 Data'!B110</f>
        <v/>
      </c>
      <c r="C121" s="29">
        <f>IF('1 Data'!E110&lt;=1.5,IF('1 Data'!F110&lt;=1.5,IF('1 Data'!G110&lt;=0.0003,1,2),IF('1 Data'!C110&lt;=165000,3,4)),IF('1 Data'!G110&lt;=0.0652,5,IF('1 Data'!G110&lt;=0.716,6,7)))</f>
        <v/>
      </c>
      <c r="D121" s="23">
        <f>INDEX($F$12:$F$18,C121)</f>
        <v/>
      </c>
      <c r="E121" s="27">
        <f>'1 Data'!I110</f>
        <v/>
      </c>
      <c r="F121" s="30">
        <f>COUNTIF($D$23:$D$1022,"&lt;"&amp;D121)+(COUNTIF($D$23:$D$1022,"="&amp;D121)+1)/2</f>
        <v/>
      </c>
    </row>
    <row r="122">
      <c r="B122" s="27">
        <f>'1 Data'!B111</f>
        <v/>
      </c>
      <c r="C122" s="29">
        <f>IF('1 Data'!E111&lt;=1.5,IF('1 Data'!F111&lt;=1.5,IF('1 Data'!G111&lt;=0.0003,1,2),IF('1 Data'!C111&lt;=165000,3,4)),IF('1 Data'!G111&lt;=0.0652,5,IF('1 Data'!G111&lt;=0.716,6,7)))</f>
        <v/>
      </c>
      <c r="D122" s="23">
        <f>INDEX($F$12:$F$18,C122)</f>
        <v/>
      </c>
      <c r="E122" s="27">
        <f>'1 Data'!I111</f>
        <v/>
      </c>
      <c r="F122" s="30">
        <f>COUNTIF($D$23:$D$1022,"&lt;"&amp;D122)+(COUNTIF($D$23:$D$1022,"="&amp;D122)+1)/2</f>
        <v/>
      </c>
    </row>
    <row r="123">
      <c r="B123" s="27">
        <f>'1 Data'!B112</f>
        <v/>
      </c>
      <c r="C123" s="29">
        <f>IF('1 Data'!E112&lt;=1.5,IF('1 Data'!F112&lt;=1.5,IF('1 Data'!G112&lt;=0.0003,1,2),IF('1 Data'!C112&lt;=165000,3,4)),IF('1 Data'!G112&lt;=0.0652,5,IF('1 Data'!G112&lt;=0.716,6,7)))</f>
        <v/>
      </c>
      <c r="D123" s="23">
        <f>INDEX($F$12:$F$18,C123)</f>
        <v/>
      </c>
      <c r="E123" s="27">
        <f>'1 Data'!I112</f>
        <v/>
      </c>
      <c r="F123" s="30">
        <f>COUNTIF($D$23:$D$1022,"&lt;"&amp;D123)+(COUNTIF($D$23:$D$1022,"="&amp;D123)+1)/2</f>
        <v/>
      </c>
    </row>
    <row r="124">
      <c r="B124" s="27">
        <f>'1 Data'!B113</f>
        <v/>
      </c>
      <c r="C124" s="29">
        <f>IF('1 Data'!E113&lt;=1.5,IF('1 Data'!F113&lt;=1.5,IF('1 Data'!G113&lt;=0.0003,1,2),IF('1 Data'!C113&lt;=165000,3,4)),IF('1 Data'!G113&lt;=0.0652,5,IF('1 Data'!G113&lt;=0.716,6,7)))</f>
        <v/>
      </c>
      <c r="D124" s="23">
        <f>INDEX($F$12:$F$18,C124)</f>
        <v/>
      </c>
      <c r="E124" s="27">
        <f>'1 Data'!I113</f>
        <v/>
      </c>
      <c r="F124" s="30">
        <f>COUNTIF($D$23:$D$1022,"&lt;"&amp;D124)+(COUNTIF($D$23:$D$1022,"="&amp;D124)+1)/2</f>
        <v/>
      </c>
    </row>
    <row r="125">
      <c r="B125" s="27">
        <f>'1 Data'!B114</f>
        <v/>
      </c>
      <c r="C125" s="29">
        <f>IF('1 Data'!E114&lt;=1.5,IF('1 Data'!F114&lt;=1.5,IF('1 Data'!G114&lt;=0.0003,1,2),IF('1 Data'!C114&lt;=165000,3,4)),IF('1 Data'!G114&lt;=0.0652,5,IF('1 Data'!G114&lt;=0.716,6,7)))</f>
        <v/>
      </c>
      <c r="D125" s="23">
        <f>INDEX($F$12:$F$18,C125)</f>
        <v/>
      </c>
      <c r="E125" s="27">
        <f>'1 Data'!I114</f>
        <v/>
      </c>
      <c r="F125" s="30">
        <f>COUNTIF($D$23:$D$1022,"&lt;"&amp;D125)+(COUNTIF($D$23:$D$1022,"="&amp;D125)+1)/2</f>
        <v/>
      </c>
    </row>
    <row r="126">
      <c r="B126" s="27">
        <f>'1 Data'!B115</f>
        <v/>
      </c>
      <c r="C126" s="29">
        <f>IF('1 Data'!E115&lt;=1.5,IF('1 Data'!F115&lt;=1.5,IF('1 Data'!G115&lt;=0.0003,1,2),IF('1 Data'!C115&lt;=165000,3,4)),IF('1 Data'!G115&lt;=0.0652,5,IF('1 Data'!G115&lt;=0.716,6,7)))</f>
        <v/>
      </c>
      <c r="D126" s="23">
        <f>INDEX($F$12:$F$18,C126)</f>
        <v/>
      </c>
      <c r="E126" s="27">
        <f>'1 Data'!I115</f>
        <v/>
      </c>
      <c r="F126" s="30">
        <f>COUNTIF($D$23:$D$1022,"&lt;"&amp;D126)+(COUNTIF($D$23:$D$1022,"="&amp;D126)+1)/2</f>
        <v/>
      </c>
    </row>
    <row r="127">
      <c r="B127" s="27">
        <f>'1 Data'!B116</f>
        <v/>
      </c>
      <c r="C127" s="29">
        <f>IF('1 Data'!E116&lt;=1.5,IF('1 Data'!F116&lt;=1.5,IF('1 Data'!G116&lt;=0.0003,1,2),IF('1 Data'!C116&lt;=165000,3,4)),IF('1 Data'!G116&lt;=0.0652,5,IF('1 Data'!G116&lt;=0.716,6,7)))</f>
        <v/>
      </c>
      <c r="D127" s="23">
        <f>INDEX($F$12:$F$18,C127)</f>
        <v/>
      </c>
      <c r="E127" s="27">
        <f>'1 Data'!I116</f>
        <v/>
      </c>
      <c r="F127" s="30">
        <f>COUNTIF($D$23:$D$1022,"&lt;"&amp;D127)+(COUNTIF($D$23:$D$1022,"="&amp;D127)+1)/2</f>
        <v/>
      </c>
    </row>
    <row r="128">
      <c r="B128" s="27">
        <f>'1 Data'!B117</f>
        <v/>
      </c>
      <c r="C128" s="29">
        <f>IF('1 Data'!E117&lt;=1.5,IF('1 Data'!F117&lt;=1.5,IF('1 Data'!G117&lt;=0.0003,1,2),IF('1 Data'!C117&lt;=165000,3,4)),IF('1 Data'!G117&lt;=0.0652,5,IF('1 Data'!G117&lt;=0.716,6,7)))</f>
        <v/>
      </c>
      <c r="D128" s="23">
        <f>INDEX($F$12:$F$18,C128)</f>
        <v/>
      </c>
      <c r="E128" s="27">
        <f>'1 Data'!I117</f>
        <v/>
      </c>
      <c r="F128" s="30">
        <f>COUNTIF($D$23:$D$1022,"&lt;"&amp;D128)+(COUNTIF($D$23:$D$1022,"="&amp;D128)+1)/2</f>
        <v/>
      </c>
    </row>
    <row r="129">
      <c r="B129" s="27">
        <f>'1 Data'!B118</f>
        <v/>
      </c>
      <c r="C129" s="29">
        <f>IF('1 Data'!E118&lt;=1.5,IF('1 Data'!F118&lt;=1.5,IF('1 Data'!G118&lt;=0.0003,1,2),IF('1 Data'!C118&lt;=165000,3,4)),IF('1 Data'!G118&lt;=0.0652,5,IF('1 Data'!G118&lt;=0.716,6,7)))</f>
        <v/>
      </c>
      <c r="D129" s="23">
        <f>INDEX($F$12:$F$18,C129)</f>
        <v/>
      </c>
      <c r="E129" s="27">
        <f>'1 Data'!I118</f>
        <v/>
      </c>
      <c r="F129" s="30">
        <f>COUNTIF($D$23:$D$1022,"&lt;"&amp;D129)+(COUNTIF($D$23:$D$1022,"="&amp;D129)+1)/2</f>
        <v/>
      </c>
    </row>
    <row r="130">
      <c r="B130" s="27">
        <f>'1 Data'!B119</f>
        <v/>
      </c>
      <c r="C130" s="29">
        <f>IF('1 Data'!E119&lt;=1.5,IF('1 Data'!F119&lt;=1.5,IF('1 Data'!G119&lt;=0.0003,1,2),IF('1 Data'!C119&lt;=165000,3,4)),IF('1 Data'!G119&lt;=0.0652,5,IF('1 Data'!G119&lt;=0.716,6,7)))</f>
        <v/>
      </c>
      <c r="D130" s="23">
        <f>INDEX($F$12:$F$18,C130)</f>
        <v/>
      </c>
      <c r="E130" s="27">
        <f>'1 Data'!I119</f>
        <v/>
      </c>
      <c r="F130" s="30">
        <f>COUNTIF($D$23:$D$1022,"&lt;"&amp;D130)+(COUNTIF($D$23:$D$1022,"="&amp;D130)+1)/2</f>
        <v/>
      </c>
    </row>
    <row r="131">
      <c r="B131" s="27">
        <f>'1 Data'!B120</f>
        <v/>
      </c>
      <c r="C131" s="29">
        <f>IF('1 Data'!E120&lt;=1.5,IF('1 Data'!F120&lt;=1.5,IF('1 Data'!G120&lt;=0.0003,1,2),IF('1 Data'!C120&lt;=165000,3,4)),IF('1 Data'!G120&lt;=0.0652,5,IF('1 Data'!G120&lt;=0.716,6,7)))</f>
        <v/>
      </c>
      <c r="D131" s="23">
        <f>INDEX($F$12:$F$18,C131)</f>
        <v/>
      </c>
      <c r="E131" s="27">
        <f>'1 Data'!I120</f>
        <v/>
      </c>
      <c r="F131" s="30">
        <f>COUNTIF($D$23:$D$1022,"&lt;"&amp;D131)+(COUNTIF($D$23:$D$1022,"="&amp;D131)+1)/2</f>
        <v/>
      </c>
    </row>
    <row r="132">
      <c r="B132" s="27">
        <f>'1 Data'!B121</f>
        <v/>
      </c>
      <c r="C132" s="29">
        <f>IF('1 Data'!E121&lt;=1.5,IF('1 Data'!F121&lt;=1.5,IF('1 Data'!G121&lt;=0.0003,1,2),IF('1 Data'!C121&lt;=165000,3,4)),IF('1 Data'!G121&lt;=0.0652,5,IF('1 Data'!G121&lt;=0.716,6,7)))</f>
        <v/>
      </c>
      <c r="D132" s="23">
        <f>INDEX($F$12:$F$18,C132)</f>
        <v/>
      </c>
      <c r="E132" s="27">
        <f>'1 Data'!I121</f>
        <v/>
      </c>
      <c r="F132" s="30">
        <f>COUNTIF($D$23:$D$1022,"&lt;"&amp;D132)+(COUNTIF($D$23:$D$1022,"="&amp;D132)+1)/2</f>
        <v/>
      </c>
    </row>
    <row r="133">
      <c r="B133" s="27">
        <f>'1 Data'!B122</f>
        <v/>
      </c>
      <c r="C133" s="29">
        <f>IF('1 Data'!E122&lt;=1.5,IF('1 Data'!F122&lt;=1.5,IF('1 Data'!G122&lt;=0.0003,1,2),IF('1 Data'!C122&lt;=165000,3,4)),IF('1 Data'!G122&lt;=0.0652,5,IF('1 Data'!G122&lt;=0.716,6,7)))</f>
        <v/>
      </c>
      <c r="D133" s="23">
        <f>INDEX($F$12:$F$18,C133)</f>
        <v/>
      </c>
      <c r="E133" s="27">
        <f>'1 Data'!I122</f>
        <v/>
      </c>
      <c r="F133" s="30">
        <f>COUNTIF($D$23:$D$1022,"&lt;"&amp;D133)+(COUNTIF($D$23:$D$1022,"="&amp;D133)+1)/2</f>
        <v/>
      </c>
    </row>
    <row r="134">
      <c r="B134" s="27">
        <f>'1 Data'!B123</f>
        <v/>
      </c>
      <c r="C134" s="29">
        <f>IF('1 Data'!E123&lt;=1.5,IF('1 Data'!F123&lt;=1.5,IF('1 Data'!G123&lt;=0.0003,1,2),IF('1 Data'!C123&lt;=165000,3,4)),IF('1 Data'!G123&lt;=0.0652,5,IF('1 Data'!G123&lt;=0.716,6,7)))</f>
        <v/>
      </c>
      <c r="D134" s="23">
        <f>INDEX($F$12:$F$18,C134)</f>
        <v/>
      </c>
      <c r="E134" s="27">
        <f>'1 Data'!I123</f>
        <v/>
      </c>
      <c r="F134" s="30">
        <f>COUNTIF($D$23:$D$1022,"&lt;"&amp;D134)+(COUNTIF($D$23:$D$1022,"="&amp;D134)+1)/2</f>
        <v/>
      </c>
    </row>
    <row r="135">
      <c r="B135" s="27">
        <f>'1 Data'!B124</f>
        <v/>
      </c>
      <c r="C135" s="29">
        <f>IF('1 Data'!E124&lt;=1.5,IF('1 Data'!F124&lt;=1.5,IF('1 Data'!G124&lt;=0.0003,1,2),IF('1 Data'!C124&lt;=165000,3,4)),IF('1 Data'!G124&lt;=0.0652,5,IF('1 Data'!G124&lt;=0.716,6,7)))</f>
        <v/>
      </c>
      <c r="D135" s="23">
        <f>INDEX($F$12:$F$18,C135)</f>
        <v/>
      </c>
      <c r="E135" s="27">
        <f>'1 Data'!I124</f>
        <v/>
      </c>
      <c r="F135" s="30">
        <f>COUNTIF($D$23:$D$1022,"&lt;"&amp;D135)+(COUNTIF($D$23:$D$1022,"="&amp;D135)+1)/2</f>
        <v/>
      </c>
    </row>
    <row r="136">
      <c r="B136" s="27">
        <f>'1 Data'!B125</f>
        <v/>
      </c>
      <c r="C136" s="29">
        <f>IF('1 Data'!E125&lt;=1.5,IF('1 Data'!F125&lt;=1.5,IF('1 Data'!G125&lt;=0.0003,1,2),IF('1 Data'!C125&lt;=165000,3,4)),IF('1 Data'!G125&lt;=0.0652,5,IF('1 Data'!G125&lt;=0.716,6,7)))</f>
        <v/>
      </c>
      <c r="D136" s="23">
        <f>INDEX($F$12:$F$18,C136)</f>
        <v/>
      </c>
      <c r="E136" s="27">
        <f>'1 Data'!I125</f>
        <v/>
      </c>
      <c r="F136" s="30">
        <f>COUNTIF($D$23:$D$1022,"&lt;"&amp;D136)+(COUNTIF($D$23:$D$1022,"="&amp;D136)+1)/2</f>
        <v/>
      </c>
    </row>
    <row r="137">
      <c r="B137" s="27">
        <f>'1 Data'!B126</f>
        <v/>
      </c>
      <c r="C137" s="29">
        <f>IF('1 Data'!E126&lt;=1.5,IF('1 Data'!F126&lt;=1.5,IF('1 Data'!G126&lt;=0.0003,1,2),IF('1 Data'!C126&lt;=165000,3,4)),IF('1 Data'!G126&lt;=0.0652,5,IF('1 Data'!G126&lt;=0.716,6,7)))</f>
        <v/>
      </c>
      <c r="D137" s="23">
        <f>INDEX($F$12:$F$18,C137)</f>
        <v/>
      </c>
      <c r="E137" s="27">
        <f>'1 Data'!I126</f>
        <v/>
      </c>
      <c r="F137" s="30">
        <f>COUNTIF($D$23:$D$1022,"&lt;"&amp;D137)+(COUNTIF($D$23:$D$1022,"="&amp;D137)+1)/2</f>
        <v/>
      </c>
    </row>
    <row r="138">
      <c r="B138" s="27">
        <f>'1 Data'!B127</f>
        <v/>
      </c>
      <c r="C138" s="29">
        <f>IF('1 Data'!E127&lt;=1.5,IF('1 Data'!F127&lt;=1.5,IF('1 Data'!G127&lt;=0.0003,1,2),IF('1 Data'!C127&lt;=165000,3,4)),IF('1 Data'!G127&lt;=0.0652,5,IF('1 Data'!G127&lt;=0.716,6,7)))</f>
        <v/>
      </c>
      <c r="D138" s="23">
        <f>INDEX($F$12:$F$18,C138)</f>
        <v/>
      </c>
      <c r="E138" s="27">
        <f>'1 Data'!I127</f>
        <v/>
      </c>
      <c r="F138" s="30">
        <f>COUNTIF($D$23:$D$1022,"&lt;"&amp;D138)+(COUNTIF($D$23:$D$1022,"="&amp;D138)+1)/2</f>
        <v/>
      </c>
    </row>
    <row r="139">
      <c r="B139" s="27">
        <f>'1 Data'!B128</f>
        <v/>
      </c>
      <c r="C139" s="29">
        <f>IF('1 Data'!E128&lt;=1.5,IF('1 Data'!F128&lt;=1.5,IF('1 Data'!G128&lt;=0.0003,1,2),IF('1 Data'!C128&lt;=165000,3,4)),IF('1 Data'!G128&lt;=0.0652,5,IF('1 Data'!G128&lt;=0.716,6,7)))</f>
        <v/>
      </c>
      <c r="D139" s="23">
        <f>INDEX($F$12:$F$18,C139)</f>
        <v/>
      </c>
      <c r="E139" s="27">
        <f>'1 Data'!I128</f>
        <v/>
      </c>
      <c r="F139" s="30">
        <f>COUNTIF($D$23:$D$1022,"&lt;"&amp;D139)+(COUNTIF($D$23:$D$1022,"="&amp;D139)+1)/2</f>
        <v/>
      </c>
    </row>
    <row r="140">
      <c r="B140" s="27">
        <f>'1 Data'!B129</f>
        <v/>
      </c>
      <c r="C140" s="29">
        <f>IF('1 Data'!E129&lt;=1.5,IF('1 Data'!F129&lt;=1.5,IF('1 Data'!G129&lt;=0.0003,1,2),IF('1 Data'!C129&lt;=165000,3,4)),IF('1 Data'!G129&lt;=0.0652,5,IF('1 Data'!G129&lt;=0.716,6,7)))</f>
        <v/>
      </c>
      <c r="D140" s="23">
        <f>INDEX($F$12:$F$18,C140)</f>
        <v/>
      </c>
      <c r="E140" s="27">
        <f>'1 Data'!I129</f>
        <v/>
      </c>
      <c r="F140" s="30">
        <f>COUNTIF($D$23:$D$1022,"&lt;"&amp;D140)+(COUNTIF($D$23:$D$1022,"="&amp;D140)+1)/2</f>
        <v/>
      </c>
    </row>
    <row r="141">
      <c r="B141" s="27">
        <f>'1 Data'!B130</f>
        <v/>
      </c>
      <c r="C141" s="29">
        <f>IF('1 Data'!E130&lt;=1.5,IF('1 Data'!F130&lt;=1.5,IF('1 Data'!G130&lt;=0.0003,1,2),IF('1 Data'!C130&lt;=165000,3,4)),IF('1 Data'!G130&lt;=0.0652,5,IF('1 Data'!G130&lt;=0.716,6,7)))</f>
        <v/>
      </c>
      <c r="D141" s="23">
        <f>INDEX($F$12:$F$18,C141)</f>
        <v/>
      </c>
      <c r="E141" s="27">
        <f>'1 Data'!I130</f>
        <v/>
      </c>
      <c r="F141" s="30">
        <f>COUNTIF($D$23:$D$1022,"&lt;"&amp;D141)+(COUNTIF($D$23:$D$1022,"="&amp;D141)+1)/2</f>
        <v/>
      </c>
    </row>
    <row r="142">
      <c r="B142" s="27">
        <f>'1 Data'!B131</f>
        <v/>
      </c>
      <c r="C142" s="29">
        <f>IF('1 Data'!E131&lt;=1.5,IF('1 Data'!F131&lt;=1.5,IF('1 Data'!G131&lt;=0.0003,1,2),IF('1 Data'!C131&lt;=165000,3,4)),IF('1 Data'!G131&lt;=0.0652,5,IF('1 Data'!G131&lt;=0.716,6,7)))</f>
        <v/>
      </c>
      <c r="D142" s="23">
        <f>INDEX($F$12:$F$18,C142)</f>
        <v/>
      </c>
      <c r="E142" s="27">
        <f>'1 Data'!I131</f>
        <v/>
      </c>
      <c r="F142" s="30">
        <f>COUNTIF($D$23:$D$1022,"&lt;"&amp;D142)+(COUNTIF($D$23:$D$1022,"="&amp;D142)+1)/2</f>
        <v/>
      </c>
    </row>
    <row r="143">
      <c r="B143" s="27">
        <f>'1 Data'!B132</f>
        <v/>
      </c>
      <c r="C143" s="29">
        <f>IF('1 Data'!E132&lt;=1.5,IF('1 Data'!F132&lt;=1.5,IF('1 Data'!G132&lt;=0.0003,1,2),IF('1 Data'!C132&lt;=165000,3,4)),IF('1 Data'!G132&lt;=0.0652,5,IF('1 Data'!G132&lt;=0.716,6,7)))</f>
        <v/>
      </c>
      <c r="D143" s="23">
        <f>INDEX($F$12:$F$18,C143)</f>
        <v/>
      </c>
      <c r="E143" s="27">
        <f>'1 Data'!I132</f>
        <v/>
      </c>
      <c r="F143" s="30">
        <f>COUNTIF($D$23:$D$1022,"&lt;"&amp;D143)+(COUNTIF($D$23:$D$1022,"="&amp;D143)+1)/2</f>
        <v/>
      </c>
    </row>
    <row r="144">
      <c r="B144" s="27">
        <f>'1 Data'!B133</f>
        <v/>
      </c>
      <c r="C144" s="29">
        <f>IF('1 Data'!E133&lt;=1.5,IF('1 Data'!F133&lt;=1.5,IF('1 Data'!G133&lt;=0.0003,1,2),IF('1 Data'!C133&lt;=165000,3,4)),IF('1 Data'!G133&lt;=0.0652,5,IF('1 Data'!G133&lt;=0.716,6,7)))</f>
        <v/>
      </c>
      <c r="D144" s="23">
        <f>INDEX($F$12:$F$18,C144)</f>
        <v/>
      </c>
      <c r="E144" s="27">
        <f>'1 Data'!I133</f>
        <v/>
      </c>
      <c r="F144" s="30">
        <f>COUNTIF($D$23:$D$1022,"&lt;"&amp;D144)+(COUNTIF($D$23:$D$1022,"="&amp;D144)+1)/2</f>
        <v/>
      </c>
    </row>
    <row r="145">
      <c r="B145" s="27">
        <f>'1 Data'!B134</f>
        <v/>
      </c>
      <c r="C145" s="29">
        <f>IF('1 Data'!E134&lt;=1.5,IF('1 Data'!F134&lt;=1.5,IF('1 Data'!G134&lt;=0.0003,1,2),IF('1 Data'!C134&lt;=165000,3,4)),IF('1 Data'!G134&lt;=0.0652,5,IF('1 Data'!G134&lt;=0.716,6,7)))</f>
        <v/>
      </c>
      <c r="D145" s="23">
        <f>INDEX($F$12:$F$18,C145)</f>
        <v/>
      </c>
      <c r="E145" s="27">
        <f>'1 Data'!I134</f>
        <v/>
      </c>
      <c r="F145" s="30">
        <f>COUNTIF($D$23:$D$1022,"&lt;"&amp;D145)+(COUNTIF($D$23:$D$1022,"="&amp;D145)+1)/2</f>
        <v/>
      </c>
    </row>
    <row r="146">
      <c r="B146" s="27">
        <f>'1 Data'!B135</f>
        <v/>
      </c>
      <c r="C146" s="29">
        <f>IF('1 Data'!E135&lt;=1.5,IF('1 Data'!F135&lt;=1.5,IF('1 Data'!G135&lt;=0.0003,1,2),IF('1 Data'!C135&lt;=165000,3,4)),IF('1 Data'!G135&lt;=0.0652,5,IF('1 Data'!G135&lt;=0.716,6,7)))</f>
        <v/>
      </c>
      <c r="D146" s="23">
        <f>INDEX($F$12:$F$18,C146)</f>
        <v/>
      </c>
      <c r="E146" s="27">
        <f>'1 Data'!I135</f>
        <v/>
      </c>
      <c r="F146" s="30">
        <f>COUNTIF($D$23:$D$1022,"&lt;"&amp;D146)+(COUNTIF($D$23:$D$1022,"="&amp;D146)+1)/2</f>
        <v/>
      </c>
    </row>
    <row r="147">
      <c r="B147" s="27">
        <f>'1 Data'!B136</f>
        <v/>
      </c>
      <c r="C147" s="29">
        <f>IF('1 Data'!E136&lt;=1.5,IF('1 Data'!F136&lt;=1.5,IF('1 Data'!G136&lt;=0.0003,1,2),IF('1 Data'!C136&lt;=165000,3,4)),IF('1 Data'!G136&lt;=0.0652,5,IF('1 Data'!G136&lt;=0.716,6,7)))</f>
        <v/>
      </c>
      <c r="D147" s="23">
        <f>INDEX($F$12:$F$18,C147)</f>
        <v/>
      </c>
      <c r="E147" s="27">
        <f>'1 Data'!I136</f>
        <v/>
      </c>
      <c r="F147" s="30">
        <f>COUNTIF($D$23:$D$1022,"&lt;"&amp;D147)+(COUNTIF($D$23:$D$1022,"="&amp;D147)+1)/2</f>
        <v/>
      </c>
    </row>
    <row r="148">
      <c r="B148" s="27">
        <f>'1 Data'!B137</f>
        <v/>
      </c>
      <c r="C148" s="29">
        <f>IF('1 Data'!E137&lt;=1.5,IF('1 Data'!F137&lt;=1.5,IF('1 Data'!G137&lt;=0.0003,1,2),IF('1 Data'!C137&lt;=165000,3,4)),IF('1 Data'!G137&lt;=0.0652,5,IF('1 Data'!G137&lt;=0.716,6,7)))</f>
        <v/>
      </c>
      <c r="D148" s="23">
        <f>INDEX($F$12:$F$18,C148)</f>
        <v/>
      </c>
      <c r="E148" s="27">
        <f>'1 Data'!I137</f>
        <v/>
      </c>
      <c r="F148" s="30">
        <f>COUNTIF($D$23:$D$1022,"&lt;"&amp;D148)+(COUNTIF($D$23:$D$1022,"="&amp;D148)+1)/2</f>
        <v/>
      </c>
    </row>
    <row r="149">
      <c r="B149" s="27">
        <f>'1 Data'!B138</f>
        <v/>
      </c>
      <c r="C149" s="29">
        <f>IF('1 Data'!E138&lt;=1.5,IF('1 Data'!F138&lt;=1.5,IF('1 Data'!G138&lt;=0.0003,1,2),IF('1 Data'!C138&lt;=165000,3,4)),IF('1 Data'!G138&lt;=0.0652,5,IF('1 Data'!G138&lt;=0.716,6,7)))</f>
        <v/>
      </c>
      <c r="D149" s="23">
        <f>INDEX($F$12:$F$18,C149)</f>
        <v/>
      </c>
      <c r="E149" s="27">
        <f>'1 Data'!I138</f>
        <v/>
      </c>
      <c r="F149" s="30">
        <f>COUNTIF($D$23:$D$1022,"&lt;"&amp;D149)+(COUNTIF($D$23:$D$1022,"="&amp;D149)+1)/2</f>
        <v/>
      </c>
    </row>
    <row r="150">
      <c r="B150" s="27">
        <f>'1 Data'!B139</f>
        <v/>
      </c>
      <c r="C150" s="29">
        <f>IF('1 Data'!E139&lt;=1.5,IF('1 Data'!F139&lt;=1.5,IF('1 Data'!G139&lt;=0.0003,1,2),IF('1 Data'!C139&lt;=165000,3,4)),IF('1 Data'!G139&lt;=0.0652,5,IF('1 Data'!G139&lt;=0.716,6,7)))</f>
        <v/>
      </c>
      <c r="D150" s="23">
        <f>INDEX($F$12:$F$18,C150)</f>
        <v/>
      </c>
      <c r="E150" s="27">
        <f>'1 Data'!I139</f>
        <v/>
      </c>
      <c r="F150" s="30">
        <f>COUNTIF($D$23:$D$1022,"&lt;"&amp;D150)+(COUNTIF($D$23:$D$1022,"="&amp;D150)+1)/2</f>
        <v/>
      </c>
    </row>
    <row r="151">
      <c r="B151" s="27">
        <f>'1 Data'!B140</f>
        <v/>
      </c>
      <c r="C151" s="29">
        <f>IF('1 Data'!E140&lt;=1.5,IF('1 Data'!F140&lt;=1.5,IF('1 Data'!G140&lt;=0.0003,1,2),IF('1 Data'!C140&lt;=165000,3,4)),IF('1 Data'!G140&lt;=0.0652,5,IF('1 Data'!G140&lt;=0.716,6,7)))</f>
        <v/>
      </c>
      <c r="D151" s="23">
        <f>INDEX($F$12:$F$18,C151)</f>
        <v/>
      </c>
      <c r="E151" s="27">
        <f>'1 Data'!I140</f>
        <v/>
      </c>
      <c r="F151" s="30">
        <f>COUNTIF($D$23:$D$1022,"&lt;"&amp;D151)+(COUNTIF($D$23:$D$1022,"="&amp;D151)+1)/2</f>
        <v/>
      </c>
    </row>
    <row r="152">
      <c r="B152" s="27">
        <f>'1 Data'!B141</f>
        <v/>
      </c>
      <c r="C152" s="29">
        <f>IF('1 Data'!E141&lt;=1.5,IF('1 Data'!F141&lt;=1.5,IF('1 Data'!G141&lt;=0.0003,1,2),IF('1 Data'!C141&lt;=165000,3,4)),IF('1 Data'!G141&lt;=0.0652,5,IF('1 Data'!G141&lt;=0.716,6,7)))</f>
        <v/>
      </c>
      <c r="D152" s="23">
        <f>INDEX($F$12:$F$18,C152)</f>
        <v/>
      </c>
      <c r="E152" s="27">
        <f>'1 Data'!I141</f>
        <v/>
      </c>
      <c r="F152" s="30">
        <f>COUNTIF($D$23:$D$1022,"&lt;"&amp;D152)+(COUNTIF($D$23:$D$1022,"="&amp;D152)+1)/2</f>
        <v/>
      </c>
    </row>
    <row r="153">
      <c r="B153" s="27">
        <f>'1 Data'!B142</f>
        <v/>
      </c>
      <c r="C153" s="29">
        <f>IF('1 Data'!E142&lt;=1.5,IF('1 Data'!F142&lt;=1.5,IF('1 Data'!G142&lt;=0.0003,1,2),IF('1 Data'!C142&lt;=165000,3,4)),IF('1 Data'!G142&lt;=0.0652,5,IF('1 Data'!G142&lt;=0.716,6,7)))</f>
        <v/>
      </c>
      <c r="D153" s="23">
        <f>INDEX($F$12:$F$18,C153)</f>
        <v/>
      </c>
      <c r="E153" s="27">
        <f>'1 Data'!I142</f>
        <v/>
      </c>
      <c r="F153" s="30">
        <f>COUNTIF($D$23:$D$1022,"&lt;"&amp;D153)+(COUNTIF($D$23:$D$1022,"="&amp;D153)+1)/2</f>
        <v/>
      </c>
    </row>
    <row r="154">
      <c r="B154" s="27">
        <f>'1 Data'!B143</f>
        <v/>
      </c>
      <c r="C154" s="29">
        <f>IF('1 Data'!E143&lt;=1.5,IF('1 Data'!F143&lt;=1.5,IF('1 Data'!G143&lt;=0.0003,1,2),IF('1 Data'!C143&lt;=165000,3,4)),IF('1 Data'!G143&lt;=0.0652,5,IF('1 Data'!G143&lt;=0.716,6,7)))</f>
        <v/>
      </c>
      <c r="D154" s="23">
        <f>INDEX($F$12:$F$18,C154)</f>
        <v/>
      </c>
      <c r="E154" s="27">
        <f>'1 Data'!I143</f>
        <v/>
      </c>
      <c r="F154" s="30">
        <f>COUNTIF($D$23:$D$1022,"&lt;"&amp;D154)+(COUNTIF($D$23:$D$1022,"="&amp;D154)+1)/2</f>
        <v/>
      </c>
    </row>
    <row r="155">
      <c r="B155" s="27">
        <f>'1 Data'!B144</f>
        <v/>
      </c>
      <c r="C155" s="29">
        <f>IF('1 Data'!E144&lt;=1.5,IF('1 Data'!F144&lt;=1.5,IF('1 Data'!G144&lt;=0.0003,1,2),IF('1 Data'!C144&lt;=165000,3,4)),IF('1 Data'!G144&lt;=0.0652,5,IF('1 Data'!G144&lt;=0.716,6,7)))</f>
        <v/>
      </c>
      <c r="D155" s="23">
        <f>INDEX($F$12:$F$18,C155)</f>
        <v/>
      </c>
      <c r="E155" s="27">
        <f>'1 Data'!I144</f>
        <v/>
      </c>
      <c r="F155" s="30">
        <f>COUNTIF($D$23:$D$1022,"&lt;"&amp;D155)+(COUNTIF($D$23:$D$1022,"="&amp;D155)+1)/2</f>
        <v/>
      </c>
    </row>
    <row r="156">
      <c r="B156" s="27">
        <f>'1 Data'!B145</f>
        <v/>
      </c>
      <c r="C156" s="29">
        <f>IF('1 Data'!E145&lt;=1.5,IF('1 Data'!F145&lt;=1.5,IF('1 Data'!G145&lt;=0.0003,1,2),IF('1 Data'!C145&lt;=165000,3,4)),IF('1 Data'!G145&lt;=0.0652,5,IF('1 Data'!G145&lt;=0.716,6,7)))</f>
        <v/>
      </c>
      <c r="D156" s="23">
        <f>INDEX($F$12:$F$18,C156)</f>
        <v/>
      </c>
      <c r="E156" s="27">
        <f>'1 Data'!I145</f>
        <v/>
      </c>
      <c r="F156" s="30">
        <f>COUNTIF($D$23:$D$1022,"&lt;"&amp;D156)+(COUNTIF($D$23:$D$1022,"="&amp;D156)+1)/2</f>
        <v/>
      </c>
    </row>
    <row r="157">
      <c r="B157" s="27">
        <f>'1 Data'!B146</f>
        <v/>
      </c>
      <c r="C157" s="29">
        <f>IF('1 Data'!E146&lt;=1.5,IF('1 Data'!F146&lt;=1.5,IF('1 Data'!G146&lt;=0.0003,1,2),IF('1 Data'!C146&lt;=165000,3,4)),IF('1 Data'!G146&lt;=0.0652,5,IF('1 Data'!G146&lt;=0.716,6,7)))</f>
        <v/>
      </c>
      <c r="D157" s="23">
        <f>INDEX($F$12:$F$18,C157)</f>
        <v/>
      </c>
      <c r="E157" s="27">
        <f>'1 Data'!I146</f>
        <v/>
      </c>
      <c r="F157" s="30">
        <f>COUNTIF($D$23:$D$1022,"&lt;"&amp;D157)+(COUNTIF($D$23:$D$1022,"="&amp;D157)+1)/2</f>
        <v/>
      </c>
    </row>
    <row r="158">
      <c r="B158" s="27">
        <f>'1 Data'!B147</f>
        <v/>
      </c>
      <c r="C158" s="29">
        <f>IF('1 Data'!E147&lt;=1.5,IF('1 Data'!F147&lt;=1.5,IF('1 Data'!G147&lt;=0.0003,1,2),IF('1 Data'!C147&lt;=165000,3,4)),IF('1 Data'!G147&lt;=0.0652,5,IF('1 Data'!G147&lt;=0.716,6,7)))</f>
        <v/>
      </c>
      <c r="D158" s="23">
        <f>INDEX($F$12:$F$18,C158)</f>
        <v/>
      </c>
      <c r="E158" s="27">
        <f>'1 Data'!I147</f>
        <v/>
      </c>
      <c r="F158" s="30">
        <f>COUNTIF($D$23:$D$1022,"&lt;"&amp;D158)+(COUNTIF($D$23:$D$1022,"="&amp;D158)+1)/2</f>
        <v/>
      </c>
    </row>
    <row r="159">
      <c r="B159" s="27">
        <f>'1 Data'!B148</f>
        <v/>
      </c>
      <c r="C159" s="29">
        <f>IF('1 Data'!E148&lt;=1.5,IF('1 Data'!F148&lt;=1.5,IF('1 Data'!G148&lt;=0.0003,1,2),IF('1 Data'!C148&lt;=165000,3,4)),IF('1 Data'!G148&lt;=0.0652,5,IF('1 Data'!G148&lt;=0.716,6,7)))</f>
        <v/>
      </c>
      <c r="D159" s="23">
        <f>INDEX($F$12:$F$18,C159)</f>
        <v/>
      </c>
      <c r="E159" s="27">
        <f>'1 Data'!I148</f>
        <v/>
      </c>
      <c r="F159" s="30">
        <f>COUNTIF($D$23:$D$1022,"&lt;"&amp;D159)+(COUNTIF($D$23:$D$1022,"="&amp;D159)+1)/2</f>
        <v/>
      </c>
    </row>
    <row r="160">
      <c r="B160" s="27">
        <f>'1 Data'!B149</f>
        <v/>
      </c>
      <c r="C160" s="29">
        <f>IF('1 Data'!E149&lt;=1.5,IF('1 Data'!F149&lt;=1.5,IF('1 Data'!G149&lt;=0.0003,1,2),IF('1 Data'!C149&lt;=165000,3,4)),IF('1 Data'!G149&lt;=0.0652,5,IF('1 Data'!G149&lt;=0.716,6,7)))</f>
        <v/>
      </c>
      <c r="D160" s="23">
        <f>INDEX($F$12:$F$18,C160)</f>
        <v/>
      </c>
      <c r="E160" s="27">
        <f>'1 Data'!I149</f>
        <v/>
      </c>
      <c r="F160" s="30">
        <f>COUNTIF($D$23:$D$1022,"&lt;"&amp;D160)+(COUNTIF($D$23:$D$1022,"="&amp;D160)+1)/2</f>
        <v/>
      </c>
    </row>
    <row r="161">
      <c r="B161" s="27">
        <f>'1 Data'!B150</f>
        <v/>
      </c>
      <c r="C161" s="29">
        <f>IF('1 Data'!E150&lt;=1.5,IF('1 Data'!F150&lt;=1.5,IF('1 Data'!G150&lt;=0.0003,1,2),IF('1 Data'!C150&lt;=165000,3,4)),IF('1 Data'!G150&lt;=0.0652,5,IF('1 Data'!G150&lt;=0.716,6,7)))</f>
        <v/>
      </c>
      <c r="D161" s="23">
        <f>INDEX($F$12:$F$18,C161)</f>
        <v/>
      </c>
      <c r="E161" s="27">
        <f>'1 Data'!I150</f>
        <v/>
      </c>
      <c r="F161" s="30">
        <f>COUNTIF($D$23:$D$1022,"&lt;"&amp;D161)+(COUNTIF($D$23:$D$1022,"="&amp;D161)+1)/2</f>
        <v/>
      </c>
    </row>
    <row r="162">
      <c r="B162" s="27">
        <f>'1 Data'!B151</f>
        <v/>
      </c>
      <c r="C162" s="29">
        <f>IF('1 Data'!E151&lt;=1.5,IF('1 Data'!F151&lt;=1.5,IF('1 Data'!G151&lt;=0.0003,1,2),IF('1 Data'!C151&lt;=165000,3,4)),IF('1 Data'!G151&lt;=0.0652,5,IF('1 Data'!G151&lt;=0.716,6,7)))</f>
        <v/>
      </c>
      <c r="D162" s="23">
        <f>INDEX($F$12:$F$18,C162)</f>
        <v/>
      </c>
      <c r="E162" s="27">
        <f>'1 Data'!I151</f>
        <v/>
      </c>
      <c r="F162" s="30">
        <f>COUNTIF($D$23:$D$1022,"&lt;"&amp;D162)+(COUNTIF($D$23:$D$1022,"="&amp;D162)+1)/2</f>
        <v/>
      </c>
    </row>
    <row r="163">
      <c r="B163" s="27">
        <f>'1 Data'!B152</f>
        <v/>
      </c>
      <c r="C163" s="29">
        <f>IF('1 Data'!E152&lt;=1.5,IF('1 Data'!F152&lt;=1.5,IF('1 Data'!G152&lt;=0.0003,1,2),IF('1 Data'!C152&lt;=165000,3,4)),IF('1 Data'!G152&lt;=0.0652,5,IF('1 Data'!G152&lt;=0.716,6,7)))</f>
        <v/>
      </c>
      <c r="D163" s="23">
        <f>INDEX($F$12:$F$18,C163)</f>
        <v/>
      </c>
      <c r="E163" s="27">
        <f>'1 Data'!I152</f>
        <v/>
      </c>
      <c r="F163" s="30">
        <f>COUNTIF($D$23:$D$1022,"&lt;"&amp;D163)+(COUNTIF($D$23:$D$1022,"="&amp;D163)+1)/2</f>
        <v/>
      </c>
    </row>
    <row r="164">
      <c r="B164" s="27">
        <f>'1 Data'!B153</f>
        <v/>
      </c>
      <c r="C164" s="29">
        <f>IF('1 Data'!E153&lt;=1.5,IF('1 Data'!F153&lt;=1.5,IF('1 Data'!G153&lt;=0.0003,1,2),IF('1 Data'!C153&lt;=165000,3,4)),IF('1 Data'!G153&lt;=0.0652,5,IF('1 Data'!G153&lt;=0.716,6,7)))</f>
        <v/>
      </c>
      <c r="D164" s="23">
        <f>INDEX($F$12:$F$18,C164)</f>
        <v/>
      </c>
      <c r="E164" s="27">
        <f>'1 Data'!I153</f>
        <v/>
      </c>
      <c r="F164" s="30">
        <f>COUNTIF($D$23:$D$1022,"&lt;"&amp;D164)+(COUNTIF($D$23:$D$1022,"="&amp;D164)+1)/2</f>
        <v/>
      </c>
    </row>
    <row r="165">
      <c r="B165" s="27">
        <f>'1 Data'!B154</f>
        <v/>
      </c>
      <c r="C165" s="29">
        <f>IF('1 Data'!E154&lt;=1.5,IF('1 Data'!F154&lt;=1.5,IF('1 Data'!G154&lt;=0.0003,1,2),IF('1 Data'!C154&lt;=165000,3,4)),IF('1 Data'!G154&lt;=0.0652,5,IF('1 Data'!G154&lt;=0.716,6,7)))</f>
        <v/>
      </c>
      <c r="D165" s="23">
        <f>INDEX($F$12:$F$18,C165)</f>
        <v/>
      </c>
      <c r="E165" s="27">
        <f>'1 Data'!I154</f>
        <v/>
      </c>
      <c r="F165" s="30">
        <f>COUNTIF($D$23:$D$1022,"&lt;"&amp;D165)+(COUNTIF($D$23:$D$1022,"="&amp;D165)+1)/2</f>
        <v/>
      </c>
    </row>
    <row r="166">
      <c r="B166" s="27">
        <f>'1 Data'!B155</f>
        <v/>
      </c>
      <c r="C166" s="29">
        <f>IF('1 Data'!E155&lt;=1.5,IF('1 Data'!F155&lt;=1.5,IF('1 Data'!G155&lt;=0.0003,1,2),IF('1 Data'!C155&lt;=165000,3,4)),IF('1 Data'!G155&lt;=0.0652,5,IF('1 Data'!G155&lt;=0.716,6,7)))</f>
        <v/>
      </c>
      <c r="D166" s="23">
        <f>INDEX($F$12:$F$18,C166)</f>
        <v/>
      </c>
      <c r="E166" s="27">
        <f>'1 Data'!I155</f>
        <v/>
      </c>
      <c r="F166" s="30">
        <f>COUNTIF($D$23:$D$1022,"&lt;"&amp;D166)+(COUNTIF($D$23:$D$1022,"="&amp;D166)+1)/2</f>
        <v/>
      </c>
    </row>
    <row r="167">
      <c r="B167" s="27">
        <f>'1 Data'!B156</f>
        <v/>
      </c>
      <c r="C167" s="29">
        <f>IF('1 Data'!E156&lt;=1.5,IF('1 Data'!F156&lt;=1.5,IF('1 Data'!G156&lt;=0.0003,1,2),IF('1 Data'!C156&lt;=165000,3,4)),IF('1 Data'!G156&lt;=0.0652,5,IF('1 Data'!G156&lt;=0.716,6,7)))</f>
        <v/>
      </c>
      <c r="D167" s="23">
        <f>INDEX($F$12:$F$18,C167)</f>
        <v/>
      </c>
      <c r="E167" s="27">
        <f>'1 Data'!I156</f>
        <v/>
      </c>
      <c r="F167" s="30">
        <f>COUNTIF($D$23:$D$1022,"&lt;"&amp;D167)+(COUNTIF($D$23:$D$1022,"="&amp;D167)+1)/2</f>
        <v/>
      </c>
    </row>
    <row r="168">
      <c r="B168" s="27">
        <f>'1 Data'!B157</f>
        <v/>
      </c>
      <c r="C168" s="29">
        <f>IF('1 Data'!E157&lt;=1.5,IF('1 Data'!F157&lt;=1.5,IF('1 Data'!G157&lt;=0.0003,1,2),IF('1 Data'!C157&lt;=165000,3,4)),IF('1 Data'!G157&lt;=0.0652,5,IF('1 Data'!G157&lt;=0.716,6,7)))</f>
        <v/>
      </c>
      <c r="D168" s="23">
        <f>INDEX($F$12:$F$18,C168)</f>
        <v/>
      </c>
      <c r="E168" s="27">
        <f>'1 Data'!I157</f>
        <v/>
      </c>
      <c r="F168" s="30">
        <f>COUNTIF($D$23:$D$1022,"&lt;"&amp;D168)+(COUNTIF($D$23:$D$1022,"="&amp;D168)+1)/2</f>
        <v/>
      </c>
    </row>
    <row r="169">
      <c r="B169" s="27">
        <f>'1 Data'!B158</f>
        <v/>
      </c>
      <c r="C169" s="29">
        <f>IF('1 Data'!E158&lt;=1.5,IF('1 Data'!F158&lt;=1.5,IF('1 Data'!G158&lt;=0.0003,1,2),IF('1 Data'!C158&lt;=165000,3,4)),IF('1 Data'!G158&lt;=0.0652,5,IF('1 Data'!G158&lt;=0.716,6,7)))</f>
        <v/>
      </c>
      <c r="D169" s="23">
        <f>INDEX($F$12:$F$18,C169)</f>
        <v/>
      </c>
      <c r="E169" s="27">
        <f>'1 Data'!I158</f>
        <v/>
      </c>
      <c r="F169" s="30">
        <f>COUNTIF($D$23:$D$1022,"&lt;"&amp;D169)+(COUNTIF($D$23:$D$1022,"="&amp;D169)+1)/2</f>
        <v/>
      </c>
    </row>
    <row r="170">
      <c r="B170" s="27">
        <f>'1 Data'!B159</f>
        <v/>
      </c>
      <c r="C170" s="29">
        <f>IF('1 Data'!E159&lt;=1.5,IF('1 Data'!F159&lt;=1.5,IF('1 Data'!G159&lt;=0.0003,1,2),IF('1 Data'!C159&lt;=165000,3,4)),IF('1 Data'!G159&lt;=0.0652,5,IF('1 Data'!G159&lt;=0.716,6,7)))</f>
        <v/>
      </c>
      <c r="D170" s="23">
        <f>INDEX($F$12:$F$18,C170)</f>
        <v/>
      </c>
      <c r="E170" s="27">
        <f>'1 Data'!I159</f>
        <v/>
      </c>
      <c r="F170" s="30">
        <f>COUNTIF($D$23:$D$1022,"&lt;"&amp;D170)+(COUNTIF($D$23:$D$1022,"="&amp;D170)+1)/2</f>
        <v/>
      </c>
    </row>
    <row r="171">
      <c r="B171" s="27">
        <f>'1 Data'!B160</f>
        <v/>
      </c>
      <c r="C171" s="29">
        <f>IF('1 Data'!E160&lt;=1.5,IF('1 Data'!F160&lt;=1.5,IF('1 Data'!G160&lt;=0.0003,1,2),IF('1 Data'!C160&lt;=165000,3,4)),IF('1 Data'!G160&lt;=0.0652,5,IF('1 Data'!G160&lt;=0.716,6,7)))</f>
        <v/>
      </c>
      <c r="D171" s="23">
        <f>INDEX($F$12:$F$18,C171)</f>
        <v/>
      </c>
      <c r="E171" s="27">
        <f>'1 Data'!I160</f>
        <v/>
      </c>
      <c r="F171" s="30">
        <f>COUNTIF($D$23:$D$1022,"&lt;"&amp;D171)+(COUNTIF($D$23:$D$1022,"="&amp;D171)+1)/2</f>
        <v/>
      </c>
    </row>
    <row r="172">
      <c r="B172" s="27">
        <f>'1 Data'!B161</f>
        <v/>
      </c>
      <c r="C172" s="29">
        <f>IF('1 Data'!E161&lt;=1.5,IF('1 Data'!F161&lt;=1.5,IF('1 Data'!G161&lt;=0.0003,1,2),IF('1 Data'!C161&lt;=165000,3,4)),IF('1 Data'!G161&lt;=0.0652,5,IF('1 Data'!G161&lt;=0.716,6,7)))</f>
        <v/>
      </c>
      <c r="D172" s="23">
        <f>INDEX($F$12:$F$18,C172)</f>
        <v/>
      </c>
      <c r="E172" s="27">
        <f>'1 Data'!I161</f>
        <v/>
      </c>
      <c r="F172" s="30">
        <f>COUNTIF($D$23:$D$1022,"&lt;"&amp;D172)+(COUNTIF($D$23:$D$1022,"="&amp;D172)+1)/2</f>
        <v/>
      </c>
    </row>
    <row r="173">
      <c r="B173" s="27">
        <f>'1 Data'!B162</f>
        <v/>
      </c>
      <c r="C173" s="29">
        <f>IF('1 Data'!E162&lt;=1.5,IF('1 Data'!F162&lt;=1.5,IF('1 Data'!G162&lt;=0.0003,1,2),IF('1 Data'!C162&lt;=165000,3,4)),IF('1 Data'!G162&lt;=0.0652,5,IF('1 Data'!G162&lt;=0.716,6,7)))</f>
        <v/>
      </c>
      <c r="D173" s="23">
        <f>INDEX($F$12:$F$18,C173)</f>
        <v/>
      </c>
      <c r="E173" s="27">
        <f>'1 Data'!I162</f>
        <v/>
      </c>
      <c r="F173" s="30">
        <f>COUNTIF($D$23:$D$1022,"&lt;"&amp;D173)+(COUNTIF($D$23:$D$1022,"="&amp;D173)+1)/2</f>
        <v/>
      </c>
    </row>
    <row r="174">
      <c r="B174" s="27">
        <f>'1 Data'!B163</f>
        <v/>
      </c>
      <c r="C174" s="29">
        <f>IF('1 Data'!E163&lt;=1.5,IF('1 Data'!F163&lt;=1.5,IF('1 Data'!G163&lt;=0.0003,1,2),IF('1 Data'!C163&lt;=165000,3,4)),IF('1 Data'!G163&lt;=0.0652,5,IF('1 Data'!G163&lt;=0.716,6,7)))</f>
        <v/>
      </c>
      <c r="D174" s="23">
        <f>INDEX($F$12:$F$18,C174)</f>
        <v/>
      </c>
      <c r="E174" s="27">
        <f>'1 Data'!I163</f>
        <v/>
      </c>
      <c r="F174" s="30">
        <f>COUNTIF($D$23:$D$1022,"&lt;"&amp;D174)+(COUNTIF($D$23:$D$1022,"="&amp;D174)+1)/2</f>
        <v/>
      </c>
    </row>
    <row r="175">
      <c r="B175" s="27">
        <f>'1 Data'!B164</f>
        <v/>
      </c>
      <c r="C175" s="29">
        <f>IF('1 Data'!E164&lt;=1.5,IF('1 Data'!F164&lt;=1.5,IF('1 Data'!G164&lt;=0.0003,1,2),IF('1 Data'!C164&lt;=165000,3,4)),IF('1 Data'!G164&lt;=0.0652,5,IF('1 Data'!G164&lt;=0.716,6,7)))</f>
        <v/>
      </c>
      <c r="D175" s="23">
        <f>INDEX($F$12:$F$18,C175)</f>
        <v/>
      </c>
      <c r="E175" s="27">
        <f>'1 Data'!I164</f>
        <v/>
      </c>
      <c r="F175" s="30">
        <f>COUNTIF($D$23:$D$1022,"&lt;"&amp;D175)+(COUNTIF($D$23:$D$1022,"="&amp;D175)+1)/2</f>
        <v/>
      </c>
    </row>
    <row r="176">
      <c r="B176" s="27">
        <f>'1 Data'!B165</f>
        <v/>
      </c>
      <c r="C176" s="29">
        <f>IF('1 Data'!E165&lt;=1.5,IF('1 Data'!F165&lt;=1.5,IF('1 Data'!G165&lt;=0.0003,1,2),IF('1 Data'!C165&lt;=165000,3,4)),IF('1 Data'!G165&lt;=0.0652,5,IF('1 Data'!G165&lt;=0.716,6,7)))</f>
        <v/>
      </c>
      <c r="D176" s="23">
        <f>INDEX($F$12:$F$18,C176)</f>
        <v/>
      </c>
      <c r="E176" s="27">
        <f>'1 Data'!I165</f>
        <v/>
      </c>
      <c r="F176" s="30">
        <f>COUNTIF($D$23:$D$1022,"&lt;"&amp;D176)+(COUNTIF($D$23:$D$1022,"="&amp;D176)+1)/2</f>
        <v/>
      </c>
    </row>
    <row r="177">
      <c r="B177" s="27">
        <f>'1 Data'!B166</f>
        <v/>
      </c>
      <c r="C177" s="29">
        <f>IF('1 Data'!E166&lt;=1.5,IF('1 Data'!F166&lt;=1.5,IF('1 Data'!G166&lt;=0.0003,1,2),IF('1 Data'!C166&lt;=165000,3,4)),IF('1 Data'!G166&lt;=0.0652,5,IF('1 Data'!G166&lt;=0.716,6,7)))</f>
        <v/>
      </c>
      <c r="D177" s="23">
        <f>INDEX($F$12:$F$18,C177)</f>
        <v/>
      </c>
      <c r="E177" s="27">
        <f>'1 Data'!I166</f>
        <v/>
      </c>
      <c r="F177" s="30">
        <f>COUNTIF($D$23:$D$1022,"&lt;"&amp;D177)+(COUNTIF($D$23:$D$1022,"="&amp;D177)+1)/2</f>
        <v/>
      </c>
    </row>
    <row r="178">
      <c r="B178" s="27">
        <f>'1 Data'!B167</f>
        <v/>
      </c>
      <c r="C178" s="29">
        <f>IF('1 Data'!E167&lt;=1.5,IF('1 Data'!F167&lt;=1.5,IF('1 Data'!G167&lt;=0.0003,1,2),IF('1 Data'!C167&lt;=165000,3,4)),IF('1 Data'!G167&lt;=0.0652,5,IF('1 Data'!G167&lt;=0.716,6,7)))</f>
        <v/>
      </c>
      <c r="D178" s="23">
        <f>INDEX($F$12:$F$18,C178)</f>
        <v/>
      </c>
      <c r="E178" s="27">
        <f>'1 Data'!I167</f>
        <v/>
      </c>
      <c r="F178" s="30">
        <f>COUNTIF($D$23:$D$1022,"&lt;"&amp;D178)+(COUNTIF($D$23:$D$1022,"="&amp;D178)+1)/2</f>
        <v/>
      </c>
    </row>
    <row r="179">
      <c r="B179" s="27">
        <f>'1 Data'!B168</f>
        <v/>
      </c>
      <c r="C179" s="29">
        <f>IF('1 Data'!E168&lt;=1.5,IF('1 Data'!F168&lt;=1.5,IF('1 Data'!G168&lt;=0.0003,1,2),IF('1 Data'!C168&lt;=165000,3,4)),IF('1 Data'!G168&lt;=0.0652,5,IF('1 Data'!G168&lt;=0.716,6,7)))</f>
        <v/>
      </c>
      <c r="D179" s="23">
        <f>INDEX($F$12:$F$18,C179)</f>
        <v/>
      </c>
      <c r="E179" s="27">
        <f>'1 Data'!I168</f>
        <v/>
      </c>
      <c r="F179" s="30">
        <f>COUNTIF($D$23:$D$1022,"&lt;"&amp;D179)+(COUNTIF($D$23:$D$1022,"="&amp;D179)+1)/2</f>
        <v/>
      </c>
    </row>
    <row r="180">
      <c r="B180" s="27">
        <f>'1 Data'!B169</f>
        <v/>
      </c>
      <c r="C180" s="29">
        <f>IF('1 Data'!E169&lt;=1.5,IF('1 Data'!F169&lt;=1.5,IF('1 Data'!G169&lt;=0.0003,1,2),IF('1 Data'!C169&lt;=165000,3,4)),IF('1 Data'!G169&lt;=0.0652,5,IF('1 Data'!G169&lt;=0.716,6,7)))</f>
        <v/>
      </c>
      <c r="D180" s="23">
        <f>INDEX($F$12:$F$18,C180)</f>
        <v/>
      </c>
      <c r="E180" s="27">
        <f>'1 Data'!I169</f>
        <v/>
      </c>
      <c r="F180" s="30">
        <f>COUNTIF($D$23:$D$1022,"&lt;"&amp;D180)+(COUNTIF($D$23:$D$1022,"="&amp;D180)+1)/2</f>
        <v/>
      </c>
    </row>
    <row r="181">
      <c r="B181" s="27">
        <f>'1 Data'!B170</f>
        <v/>
      </c>
      <c r="C181" s="29">
        <f>IF('1 Data'!E170&lt;=1.5,IF('1 Data'!F170&lt;=1.5,IF('1 Data'!G170&lt;=0.0003,1,2),IF('1 Data'!C170&lt;=165000,3,4)),IF('1 Data'!G170&lt;=0.0652,5,IF('1 Data'!G170&lt;=0.716,6,7)))</f>
        <v/>
      </c>
      <c r="D181" s="23">
        <f>INDEX($F$12:$F$18,C181)</f>
        <v/>
      </c>
      <c r="E181" s="27">
        <f>'1 Data'!I170</f>
        <v/>
      </c>
      <c r="F181" s="30">
        <f>COUNTIF($D$23:$D$1022,"&lt;"&amp;D181)+(COUNTIF($D$23:$D$1022,"="&amp;D181)+1)/2</f>
        <v/>
      </c>
    </row>
    <row r="182">
      <c r="B182" s="27">
        <f>'1 Data'!B171</f>
        <v/>
      </c>
      <c r="C182" s="29">
        <f>IF('1 Data'!E171&lt;=1.5,IF('1 Data'!F171&lt;=1.5,IF('1 Data'!G171&lt;=0.0003,1,2),IF('1 Data'!C171&lt;=165000,3,4)),IF('1 Data'!G171&lt;=0.0652,5,IF('1 Data'!G171&lt;=0.716,6,7)))</f>
        <v/>
      </c>
      <c r="D182" s="23">
        <f>INDEX($F$12:$F$18,C182)</f>
        <v/>
      </c>
      <c r="E182" s="27">
        <f>'1 Data'!I171</f>
        <v/>
      </c>
      <c r="F182" s="30">
        <f>COUNTIF($D$23:$D$1022,"&lt;"&amp;D182)+(COUNTIF($D$23:$D$1022,"="&amp;D182)+1)/2</f>
        <v/>
      </c>
    </row>
    <row r="183">
      <c r="B183" s="27">
        <f>'1 Data'!B172</f>
        <v/>
      </c>
      <c r="C183" s="29">
        <f>IF('1 Data'!E172&lt;=1.5,IF('1 Data'!F172&lt;=1.5,IF('1 Data'!G172&lt;=0.0003,1,2),IF('1 Data'!C172&lt;=165000,3,4)),IF('1 Data'!G172&lt;=0.0652,5,IF('1 Data'!G172&lt;=0.716,6,7)))</f>
        <v/>
      </c>
      <c r="D183" s="23">
        <f>INDEX($F$12:$F$18,C183)</f>
        <v/>
      </c>
      <c r="E183" s="27">
        <f>'1 Data'!I172</f>
        <v/>
      </c>
      <c r="F183" s="30">
        <f>COUNTIF($D$23:$D$1022,"&lt;"&amp;D183)+(COUNTIF($D$23:$D$1022,"="&amp;D183)+1)/2</f>
        <v/>
      </c>
    </row>
    <row r="184">
      <c r="B184" s="27">
        <f>'1 Data'!B173</f>
        <v/>
      </c>
      <c r="C184" s="29">
        <f>IF('1 Data'!E173&lt;=1.5,IF('1 Data'!F173&lt;=1.5,IF('1 Data'!G173&lt;=0.0003,1,2),IF('1 Data'!C173&lt;=165000,3,4)),IF('1 Data'!G173&lt;=0.0652,5,IF('1 Data'!G173&lt;=0.716,6,7)))</f>
        <v/>
      </c>
      <c r="D184" s="23">
        <f>INDEX($F$12:$F$18,C184)</f>
        <v/>
      </c>
      <c r="E184" s="27">
        <f>'1 Data'!I173</f>
        <v/>
      </c>
      <c r="F184" s="30">
        <f>COUNTIF($D$23:$D$1022,"&lt;"&amp;D184)+(COUNTIF($D$23:$D$1022,"="&amp;D184)+1)/2</f>
        <v/>
      </c>
    </row>
    <row r="185">
      <c r="B185" s="27">
        <f>'1 Data'!B174</f>
        <v/>
      </c>
      <c r="C185" s="29">
        <f>IF('1 Data'!E174&lt;=1.5,IF('1 Data'!F174&lt;=1.5,IF('1 Data'!G174&lt;=0.0003,1,2),IF('1 Data'!C174&lt;=165000,3,4)),IF('1 Data'!G174&lt;=0.0652,5,IF('1 Data'!G174&lt;=0.716,6,7)))</f>
        <v/>
      </c>
      <c r="D185" s="23">
        <f>INDEX($F$12:$F$18,C185)</f>
        <v/>
      </c>
      <c r="E185" s="27">
        <f>'1 Data'!I174</f>
        <v/>
      </c>
      <c r="F185" s="30">
        <f>COUNTIF($D$23:$D$1022,"&lt;"&amp;D185)+(COUNTIF($D$23:$D$1022,"="&amp;D185)+1)/2</f>
        <v/>
      </c>
    </row>
    <row r="186">
      <c r="B186" s="27">
        <f>'1 Data'!B175</f>
        <v/>
      </c>
      <c r="C186" s="29">
        <f>IF('1 Data'!E175&lt;=1.5,IF('1 Data'!F175&lt;=1.5,IF('1 Data'!G175&lt;=0.0003,1,2),IF('1 Data'!C175&lt;=165000,3,4)),IF('1 Data'!G175&lt;=0.0652,5,IF('1 Data'!G175&lt;=0.716,6,7)))</f>
        <v/>
      </c>
      <c r="D186" s="23">
        <f>INDEX($F$12:$F$18,C186)</f>
        <v/>
      </c>
      <c r="E186" s="27">
        <f>'1 Data'!I175</f>
        <v/>
      </c>
      <c r="F186" s="30">
        <f>COUNTIF($D$23:$D$1022,"&lt;"&amp;D186)+(COUNTIF($D$23:$D$1022,"="&amp;D186)+1)/2</f>
        <v/>
      </c>
    </row>
    <row r="187">
      <c r="B187" s="27">
        <f>'1 Data'!B176</f>
        <v/>
      </c>
      <c r="C187" s="29">
        <f>IF('1 Data'!E176&lt;=1.5,IF('1 Data'!F176&lt;=1.5,IF('1 Data'!G176&lt;=0.0003,1,2),IF('1 Data'!C176&lt;=165000,3,4)),IF('1 Data'!G176&lt;=0.0652,5,IF('1 Data'!G176&lt;=0.716,6,7)))</f>
        <v/>
      </c>
      <c r="D187" s="23">
        <f>INDEX($F$12:$F$18,C187)</f>
        <v/>
      </c>
      <c r="E187" s="27">
        <f>'1 Data'!I176</f>
        <v/>
      </c>
      <c r="F187" s="30">
        <f>COUNTIF($D$23:$D$1022,"&lt;"&amp;D187)+(COUNTIF($D$23:$D$1022,"="&amp;D187)+1)/2</f>
        <v/>
      </c>
    </row>
    <row r="188">
      <c r="B188" s="27">
        <f>'1 Data'!B177</f>
        <v/>
      </c>
      <c r="C188" s="29">
        <f>IF('1 Data'!E177&lt;=1.5,IF('1 Data'!F177&lt;=1.5,IF('1 Data'!G177&lt;=0.0003,1,2),IF('1 Data'!C177&lt;=165000,3,4)),IF('1 Data'!G177&lt;=0.0652,5,IF('1 Data'!G177&lt;=0.716,6,7)))</f>
        <v/>
      </c>
      <c r="D188" s="23">
        <f>INDEX($F$12:$F$18,C188)</f>
        <v/>
      </c>
      <c r="E188" s="27">
        <f>'1 Data'!I177</f>
        <v/>
      </c>
      <c r="F188" s="30">
        <f>COUNTIF($D$23:$D$1022,"&lt;"&amp;D188)+(COUNTIF($D$23:$D$1022,"="&amp;D188)+1)/2</f>
        <v/>
      </c>
    </row>
    <row r="189">
      <c r="B189" s="27">
        <f>'1 Data'!B178</f>
        <v/>
      </c>
      <c r="C189" s="29">
        <f>IF('1 Data'!E178&lt;=1.5,IF('1 Data'!F178&lt;=1.5,IF('1 Data'!G178&lt;=0.0003,1,2),IF('1 Data'!C178&lt;=165000,3,4)),IF('1 Data'!G178&lt;=0.0652,5,IF('1 Data'!G178&lt;=0.716,6,7)))</f>
        <v/>
      </c>
      <c r="D189" s="23">
        <f>INDEX($F$12:$F$18,C189)</f>
        <v/>
      </c>
      <c r="E189" s="27">
        <f>'1 Data'!I178</f>
        <v/>
      </c>
      <c r="F189" s="30">
        <f>COUNTIF($D$23:$D$1022,"&lt;"&amp;D189)+(COUNTIF($D$23:$D$1022,"="&amp;D189)+1)/2</f>
        <v/>
      </c>
    </row>
    <row r="190">
      <c r="B190" s="27">
        <f>'1 Data'!B179</f>
        <v/>
      </c>
      <c r="C190" s="29">
        <f>IF('1 Data'!E179&lt;=1.5,IF('1 Data'!F179&lt;=1.5,IF('1 Data'!G179&lt;=0.0003,1,2),IF('1 Data'!C179&lt;=165000,3,4)),IF('1 Data'!G179&lt;=0.0652,5,IF('1 Data'!G179&lt;=0.716,6,7)))</f>
        <v/>
      </c>
      <c r="D190" s="23">
        <f>INDEX($F$12:$F$18,C190)</f>
        <v/>
      </c>
      <c r="E190" s="27">
        <f>'1 Data'!I179</f>
        <v/>
      </c>
      <c r="F190" s="30">
        <f>COUNTIF($D$23:$D$1022,"&lt;"&amp;D190)+(COUNTIF($D$23:$D$1022,"="&amp;D190)+1)/2</f>
        <v/>
      </c>
    </row>
    <row r="191">
      <c r="B191" s="27">
        <f>'1 Data'!B180</f>
        <v/>
      </c>
      <c r="C191" s="29">
        <f>IF('1 Data'!E180&lt;=1.5,IF('1 Data'!F180&lt;=1.5,IF('1 Data'!G180&lt;=0.0003,1,2),IF('1 Data'!C180&lt;=165000,3,4)),IF('1 Data'!G180&lt;=0.0652,5,IF('1 Data'!G180&lt;=0.716,6,7)))</f>
        <v/>
      </c>
      <c r="D191" s="23">
        <f>INDEX($F$12:$F$18,C191)</f>
        <v/>
      </c>
      <c r="E191" s="27">
        <f>'1 Data'!I180</f>
        <v/>
      </c>
      <c r="F191" s="30">
        <f>COUNTIF($D$23:$D$1022,"&lt;"&amp;D191)+(COUNTIF($D$23:$D$1022,"="&amp;D191)+1)/2</f>
        <v/>
      </c>
    </row>
    <row r="192">
      <c r="B192" s="27">
        <f>'1 Data'!B181</f>
        <v/>
      </c>
      <c r="C192" s="29">
        <f>IF('1 Data'!E181&lt;=1.5,IF('1 Data'!F181&lt;=1.5,IF('1 Data'!G181&lt;=0.0003,1,2),IF('1 Data'!C181&lt;=165000,3,4)),IF('1 Data'!G181&lt;=0.0652,5,IF('1 Data'!G181&lt;=0.716,6,7)))</f>
        <v/>
      </c>
      <c r="D192" s="23">
        <f>INDEX($F$12:$F$18,C192)</f>
        <v/>
      </c>
      <c r="E192" s="27">
        <f>'1 Data'!I181</f>
        <v/>
      </c>
      <c r="F192" s="30">
        <f>COUNTIF($D$23:$D$1022,"&lt;"&amp;D192)+(COUNTIF($D$23:$D$1022,"="&amp;D192)+1)/2</f>
        <v/>
      </c>
    </row>
    <row r="193">
      <c r="B193" s="27">
        <f>'1 Data'!B182</f>
        <v/>
      </c>
      <c r="C193" s="29">
        <f>IF('1 Data'!E182&lt;=1.5,IF('1 Data'!F182&lt;=1.5,IF('1 Data'!G182&lt;=0.0003,1,2),IF('1 Data'!C182&lt;=165000,3,4)),IF('1 Data'!G182&lt;=0.0652,5,IF('1 Data'!G182&lt;=0.716,6,7)))</f>
        <v/>
      </c>
      <c r="D193" s="23">
        <f>INDEX($F$12:$F$18,C193)</f>
        <v/>
      </c>
      <c r="E193" s="27">
        <f>'1 Data'!I182</f>
        <v/>
      </c>
      <c r="F193" s="30">
        <f>COUNTIF($D$23:$D$1022,"&lt;"&amp;D193)+(COUNTIF($D$23:$D$1022,"="&amp;D193)+1)/2</f>
        <v/>
      </c>
    </row>
    <row r="194">
      <c r="B194" s="27">
        <f>'1 Data'!B183</f>
        <v/>
      </c>
      <c r="C194" s="29">
        <f>IF('1 Data'!E183&lt;=1.5,IF('1 Data'!F183&lt;=1.5,IF('1 Data'!G183&lt;=0.0003,1,2),IF('1 Data'!C183&lt;=165000,3,4)),IF('1 Data'!G183&lt;=0.0652,5,IF('1 Data'!G183&lt;=0.716,6,7)))</f>
        <v/>
      </c>
      <c r="D194" s="23">
        <f>INDEX($F$12:$F$18,C194)</f>
        <v/>
      </c>
      <c r="E194" s="27">
        <f>'1 Data'!I183</f>
        <v/>
      </c>
      <c r="F194" s="30">
        <f>COUNTIF($D$23:$D$1022,"&lt;"&amp;D194)+(COUNTIF($D$23:$D$1022,"="&amp;D194)+1)/2</f>
        <v/>
      </c>
    </row>
    <row r="195">
      <c r="B195" s="27">
        <f>'1 Data'!B184</f>
        <v/>
      </c>
      <c r="C195" s="29">
        <f>IF('1 Data'!E184&lt;=1.5,IF('1 Data'!F184&lt;=1.5,IF('1 Data'!G184&lt;=0.0003,1,2),IF('1 Data'!C184&lt;=165000,3,4)),IF('1 Data'!G184&lt;=0.0652,5,IF('1 Data'!G184&lt;=0.716,6,7)))</f>
        <v/>
      </c>
      <c r="D195" s="23">
        <f>INDEX($F$12:$F$18,C195)</f>
        <v/>
      </c>
      <c r="E195" s="27">
        <f>'1 Data'!I184</f>
        <v/>
      </c>
      <c r="F195" s="30">
        <f>COUNTIF($D$23:$D$1022,"&lt;"&amp;D195)+(COUNTIF($D$23:$D$1022,"="&amp;D195)+1)/2</f>
        <v/>
      </c>
    </row>
    <row r="196">
      <c r="B196" s="27">
        <f>'1 Data'!B185</f>
        <v/>
      </c>
      <c r="C196" s="29">
        <f>IF('1 Data'!E185&lt;=1.5,IF('1 Data'!F185&lt;=1.5,IF('1 Data'!G185&lt;=0.0003,1,2),IF('1 Data'!C185&lt;=165000,3,4)),IF('1 Data'!G185&lt;=0.0652,5,IF('1 Data'!G185&lt;=0.716,6,7)))</f>
        <v/>
      </c>
      <c r="D196" s="23">
        <f>INDEX($F$12:$F$18,C196)</f>
        <v/>
      </c>
      <c r="E196" s="27">
        <f>'1 Data'!I185</f>
        <v/>
      </c>
      <c r="F196" s="30">
        <f>COUNTIF($D$23:$D$1022,"&lt;"&amp;D196)+(COUNTIF($D$23:$D$1022,"="&amp;D196)+1)/2</f>
        <v/>
      </c>
    </row>
    <row r="197">
      <c r="B197" s="27">
        <f>'1 Data'!B186</f>
        <v/>
      </c>
      <c r="C197" s="29">
        <f>IF('1 Data'!E186&lt;=1.5,IF('1 Data'!F186&lt;=1.5,IF('1 Data'!G186&lt;=0.0003,1,2),IF('1 Data'!C186&lt;=165000,3,4)),IF('1 Data'!G186&lt;=0.0652,5,IF('1 Data'!G186&lt;=0.716,6,7)))</f>
        <v/>
      </c>
      <c r="D197" s="23">
        <f>INDEX($F$12:$F$18,C197)</f>
        <v/>
      </c>
      <c r="E197" s="27">
        <f>'1 Data'!I186</f>
        <v/>
      </c>
      <c r="F197" s="30">
        <f>COUNTIF($D$23:$D$1022,"&lt;"&amp;D197)+(COUNTIF($D$23:$D$1022,"="&amp;D197)+1)/2</f>
        <v/>
      </c>
    </row>
    <row r="198">
      <c r="B198" s="27">
        <f>'1 Data'!B187</f>
        <v/>
      </c>
      <c r="C198" s="29">
        <f>IF('1 Data'!E187&lt;=1.5,IF('1 Data'!F187&lt;=1.5,IF('1 Data'!G187&lt;=0.0003,1,2),IF('1 Data'!C187&lt;=165000,3,4)),IF('1 Data'!G187&lt;=0.0652,5,IF('1 Data'!G187&lt;=0.716,6,7)))</f>
        <v/>
      </c>
      <c r="D198" s="23">
        <f>INDEX($F$12:$F$18,C198)</f>
        <v/>
      </c>
      <c r="E198" s="27">
        <f>'1 Data'!I187</f>
        <v/>
      </c>
      <c r="F198" s="30">
        <f>COUNTIF($D$23:$D$1022,"&lt;"&amp;D198)+(COUNTIF($D$23:$D$1022,"="&amp;D198)+1)/2</f>
        <v/>
      </c>
    </row>
    <row r="199">
      <c r="B199" s="27">
        <f>'1 Data'!B188</f>
        <v/>
      </c>
      <c r="C199" s="29">
        <f>IF('1 Data'!E188&lt;=1.5,IF('1 Data'!F188&lt;=1.5,IF('1 Data'!G188&lt;=0.0003,1,2),IF('1 Data'!C188&lt;=165000,3,4)),IF('1 Data'!G188&lt;=0.0652,5,IF('1 Data'!G188&lt;=0.716,6,7)))</f>
        <v/>
      </c>
      <c r="D199" s="23">
        <f>INDEX($F$12:$F$18,C199)</f>
        <v/>
      </c>
      <c r="E199" s="27">
        <f>'1 Data'!I188</f>
        <v/>
      </c>
      <c r="F199" s="30">
        <f>COUNTIF($D$23:$D$1022,"&lt;"&amp;D199)+(COUNTIF($D$23:$D$1022,"="&amp;D199)+1)/2</f>
        <v/>
      </c>
    </row>
    <row r="200">
      <c r="B200" s="27">
        <f>'1 Data'!B189</f>
        <v/>
      </c>
      <c r="C200" s="29">
        <f>IF('1 Data'!E189&lt;=1.5,IF('1 Data'!F189&lt;=1.5,IF('1 Data'!G189&lt;=0.0003,1,2),IF('1 Data'!C189&lt;=165000,3,4)),IF('1 Data'!G189&lt;=0.0652,5,IF('1 Data'!G189&lt;=0.716,6,7)))</f>
        <v/>
      </c>
      <c r="D200" s="23">
        <f>INDEX($F$12:$F$18,C200)</f>
        <v/>
      </c>
      <c r="E200" s="27">
        <f>'1 Data'!I189</f>
        <v/>
      </c>
      <c r="F200" s="30">
        <f>COUNTIF($D$23:$D$1022,"&lt;"&amp;D200)+(COUNTIF($D$23:$D$1022,"="&amp;D200)+1)/2</f>
        <v/>
      </c>
    </row>
    <row r="201">
      <c r="B201" s="27">
        <f>'1 Data'!B190</f>
        <v/>
      </c>
      <c r="C201" s="29">
        <f>IF('1 Data'!E190&lt;=1.5,IF('1 Data'!F190&lt;=1.5,IF('1 Data'!G190&lt;=0.0003,1,2),IF('1 Data'!C190&lt;=165000,3,4)),IF('1 Data'!G190&lt;=0.0652,5,IF('1 Data'!G190&lt;=0.716,6,7)))</f>
        <v/>
      </c>
      <c r="D201" s="23">
        <f>INDEX($F$12:$F$18,C201)</f>
        <v/>
      </c>
      <c r="E201" s="27">
        <f>'1 Data'!I190</f>
        <v/>
      </c>
      <c r="F201" s="30">
        <f>COUNTIF($D$23:$D$1022,"&lt;"&amp;D201)+(COUNTIF($D$23:$D$1022,"="&amp;D201)+1)/2</f>
        <v/>
      </c>
    </row>
    <row r="202">
      <c r="B202" s="27">
        <f>'1 Data'!B191</f>
        <v/>
      </c>
      <c r="C202" s="29">
        <f>IF('1 Data'!E191&lt;=1.5,IF('1 Data'!F191&lt;=1.5,IF('1 Data'!G191&lt;=0.0003,1,2),IF('1 Data'!C191&lt;=165000,3,4)),IF('1 Data'!G191&lt;=0.0652,5,IF('1 Data'!G191&lt;=0.716,6,7)))</f>
        <v/>
      </c>
      <c r="D202" s="23">
        <f>INDEX($F$12:$F$18,C202)</f>
        <v/>
      </c>
      <c r="E202" s="27">
        <f>'1 Data'!I191</f>
        <v/>
      </c>
      <c r="F202" s="30">
        <f>COUNTIF($D$23:$D$1022,"&lt;"&amp;D202)+(COUNTIF($D$23:$D$1022,"="&amp;D202)+1)/2</f>
        <v/>
      </c>
    </row>
    <row r="203">
      <c r="B203" s="27">
        <f>'1 Data'!B192</f>
        <v/>
      </c>
      <c r="C203" s="29">
        <f>IF('1 Data'!E192&lt;=1.5,IF('1 Data'!F192&lt;=1.5,IF('1 Data'!G192&lt;=0.0003,1,2),IF('1 Data'!C192&lt;=165000,3,4)),IF('1 Data'!G192&lt;=0.0652,5,IF('1 Data'!G192&lt;=0.716,6,7)))</f>
        <v/>
      </c>
      <c r="D203" s="23">
        <f>INDEX($F$12:$F$18,C203)</f>
        <v/>
      </c>
      <c r="E203" s="27">
        <f>'1 Data'!I192</f>
        <v/>
      </c>
      <c r="F203" s="30">
        <f>COUNTIF($D$23:$D$1022,"&lt;"&amp;D203)+(COUNTIF($D$23:$D$1022,"="&amp;D203)+1)/2</f>
        <v/>
      </c>
    </row>
    <row r="204">
      <c r="B204" s="27">
        <f>'1 Data'!B193</f>
        <v/>
      </c>
      <c r="C204" s="29">
        <f>IF('1 Data'!E193&lt;=1.5,IF('1 Data'!F193&lt;=1.5,IF('1 Data'!G193&lt;=0.0003,1,2),IF('1 Data'!C193&lt;=165000,3,4)),IF('1 Data'!G193&lt;=0.0652,5,IF('1 Data'!G193&lt;=0.716,6,7)))</f>
        <v/>
      </c>
      <c r="D204" s="23">
        <f>INDEX($F$12:$F$18,C204)</f>
        <v/>
      </c>
      <c r="E204" s="27">
        <f>'1 Data'!I193</f>
        <v/>
      </c>
      <c r="F204" s="30">
        <f>COUNTIF($D$23:$D$1022,"&lt;"&amp;D204)+(COUNTIF($D$23:$D$1022,"="&amp;D204)+1)/2</f>
        <v/>
      </c>
    </row>
    <row r="205">
      <c r="B205" s="27">
        <f>'1 Data'!B194</f>
        <v/>
      </c>
      <c r="C205" s="29">
        <f>IF('1 Data'!E194&lt;=1.5,IF('1 Data'!F194&lt;=1.5,IF('1 Data'!G194&lt;=0.0003,1,2),IF('1 Data'!C194&lt;=165000,3,4)),IF('1 Data'!G194&lt;=0.0652,5,IF('1 Data'!G194&lt;=0.716,6,7)))</f>
        <v/>
      </c>
      <c r="D205" s="23">
        <f>INDEX($F$12:$F$18,C205)</f>
        <v/>
      </c>
      <c r="E205" s="27">
        <f>'1 Data'!I194</f>
        <v/>
      </c>
      <c r="F205" s="30">
        <f>COUNTIF($D$23:$D$1022,"&lt;"&amp;D205)+(COUNTIF($D$23:$D$1022,"="&amp;D205)+1)/2</f>
        <v/>
      </c>
    </row>
    <row r="206">
      <c r="B206" s="27">
        <f>'1 Data'!B195</f>
        <v/>
      </c>
      <c r="C206" s="29">
        <f>IF('1 Data'!E195&lt;=1.5,IF('1 Data'!F195&lt;=1.5,IF('1 Data'!G195&lt;=0.0003,1,2),IF('1 Data'!C195&lt;=165000,3,4)),IF('1 Data'!G195&lt;=0.0652,5,IF('1 Data'!G195&lt;=0.716,6,7)))</f>
        <v/>
      </c>
      <c r="D206" s="23">
        <f>INDEX($F$12:$F$18,C206)</f>
        <v/>
      </c>
      <c r="E206" s="27">
        <f>'1 Data'!I195</f>
        <v/>
      </c>
      <c r="F206" s="30">
        <f>COUNTIF($D$23:$D$1022,"&lt;"&amp;D206)+(COUNTIF($D$23:$D$1022,"="&amp;D206)+1)/2</f>
        <v/>
      </c>
    </row>
    <row r="207">
      <c r="B207" s="27">
        <f>'1 Data'!B196</f>
        <v/>
      </c>
      <c r="C207" s="29">
        <f>IF('1 Data'!E196&lt;=1.5,IF('1 Data'!F196&lt;=1.5,IF('1 Data'!G196&lt;=0.0003,1,2),IF('1 Data'!C196&lt;=165000,3,4)),IF('1 Data'!G196&lt;=0.0652,5,IF('1 Data'!G196&lt;=0.716,6,7)))</f>
        <v/>
      </c>
      <c r="D207" s="23">
        <f>INDEX($F$12:$F$18,C207)</f>
        <v/>
      </c>
      <c r="E207" s="27">
        <f>'1 Data'!I196</f>
        <v/>
      </c>
      <c r="F207" s="30">
        <f>COUNTIF($D$23:$D$1022,"&lt;"&amp;D207)+(COUNTIF($D$23:$D$1022,"="&amp;D207)+1)/2</f>
        <v/>
      </c>
    </row>
    <row r="208">
      <c r="B208" s="27">
        <f>'1 Data'!B197</f>
        <v/>
      </c>
      <c r="C208" s="29">
        <f>IF('1 Data'!E197&lt;=1.5,IF('1 Data'!F197&lt;=1.5,IF('1 Data'!G197&lt;=0.0003,1,2),IF('1 Data'!C197&lt;=165000,3,4)),IF('1 Data'!G197&lt;=0.0652,5,IF('1 Data'!G197&lt;=0.716,6,7)))</f>
        <v/>
      </c>
      <c r="D208" s="23">
        <f>INDEX($F$12:$F$18,C208)</f>
        <v/>
      </c>
      <c r="E208" s="27">
        <f>'1 Data'!I197</f>
        <v/>
      </c>
      <c r="F208" s="30">
        <f>COUNTIF($D$23:$D$1022,"&lt;"&amp;D208)+(COUNTIF($D$23:$D$1022,"="&amp;D208)+1)/2</f>
        <v/>
      </c>
    </row>
    <row r="209">
      <c r="B209" s="27">
        <f>'1 Data'!B198</f>
        <v/>
      </c>
      <c r="C209" s="29">
        <f>IF('1 Data'!E198&lt;=1.5,IF('1 Data'!F198&lt;=1.5,IF('1 Data'!G198&lt;=0.0003,1,2),IF('1 Data'!C198&lt;=165000,3,4)),IF('1 Data'!G198&lt;=0.0652,5,IF('1 Data'!G198&lt;=0.716,6,7)))</f>
        <v/>
      </c>
      <c r="D209" s="23">
        <f>INDEX($F$12:$F$18,C209)</f>
        <v/>
      </c>
      <c r="E209" s="27">
        <f>'1 Data'!I198</f>
        <v/>
      </c>
      <c r="F209" s="30">
        <f>COUNTIF($D$23:$D$1022,"&lt;"&amp;D209)+(COUNTIF($D$23:$D$1022,"="&amp;D209)+1)/2</f>
        <v/>
      </c>
    </row>
    <row r="210">
      <c r="B210" s="27">
        <f>'1 Data'!B199</f>
        <v/>
      </c>
      <c r="C210" s="29">
        <f>IF('1 Data'!E199&lt;=1.5,IF('1 Data'!F199&lt;=1.5,IF('1 Data'!G199&lt;=0.0003,1,2),IF('1 Data'!C199&lt;=165000,3,4)),IF('1 Data'!G199&lt;=0.0652,5,IF('1 Data'!G199&lt;=0.716,6,7)))</f>
        <v/>
      </c>
      <c r="D210" s="23">
        <f>INDEX($F$12:$F$18,C210)</f>
        <v/>
      </c>
      <c r="E210" s="27">
        <f>'1 Data'!I199</f>
        <v/>
      </c>
      <c r="F210" s="30">
        <f>COUNTIF($D$23:$D$1022,"&lt;"&amp;D210)+(COUNTIF($D$23:$D$1022,"="&amp;D210)+1)/2</f>
        <v/>
      </c>
    </row>
    <row r="211">
      <c r="B211" s="27">
        <f>'1 Data'!B200</f>
        <v/>
      </c>
      <c r="C211" s="29">
        <f>IF('1 Data'!E200&lt;=1.5,IF('1 Data'!F200&lt;=1.5,IF('1 Data'!G200&lt;=0.0003,1,2),IF('1 Data'!C200&lt;=165000,3,4)),IF('1 Data'!G200&lt;=0.0652,5,IF('1 Data'!G200&lt;=0.716,6,7)))</f>
        <v/>
      </c>
      <c r="D211" s="23">
        <f>INDEX($F$12:$F$18,C211)</f>
        <v/>
      </c>
      <c r="E211" s="27">
        <f>'1 Data'!I200</f>
        <v/>
      </c>
      <c r="F211" s="30">
        <f>COUNTIF($D$23:$D$1022,"&lt;"&amp;D211)+(COUNTIF($D$23:$D$1022,"="&amp;D211)+1)/2</f>
        <v/>
      </c>
    </row>
    <row r="212">
      <c r="B212" s="27">
        <f>'1 Data'!B201</f>
        <v/>
      </c>
      <c r="C212" s="29">
        <f>IF('1 Data'!E201&lt;=1.5,IF('1 Data'!F201&lt;=1.5,IF('1 Data'!G201&lt;=0.0003,1,2),IF('1 Data'!C201&lt;=165000,3,4)),IF('1 Data'!G201&lt;=0.0652,5,IF('1 Data'!G201&lt;=0.716,6,7)))</f>
        <v/>
      </c>
      <c r="D212" s="23">
        <f>INDEX($F$12:$F$18,C212)</f>
        <v/>
      </c>
      <c r="E212" s="27">
        <f>'1 Data'!I201</f>
        <v/>
      </c>
      <c r="F212" s="30">
        <f>COUNTIF($D$23:$D$1022,"&lt;"&amp;D212)+(COUNTIF($D$23:$D$1022,"="&amp;D212)+1)/2</f>
        <v/>
      </c>
    </row>
    <row r="213">
      <c r="B213" s="27">
        <f>'1 Data'!B202</f>
        <v/>
      </c>
      <c r="C213" s="29">
        <f>IF('1 Data'!E202&lt;=1.5,IF('1 Data'!F202&lt;=1.5,IF('1 Data'!G202&lt;=0.0003,1,2),IF('1 Data'!C202&lt;=165000,3,4)),IF('1 Data'!G202&lt;=0.0652,5,IF('1 Data'!G202&lt;=0.716,6,7)))</f>
        <v/>
      </c>
      <c r="D213" s="23">
        <f>INDEX($F$12:$F$18,C213)</f>
        <v/>
      </c>
      <c r="E213" s="27">
        <f>'1 Data'!I202</f>
        <v/>
      </c>
      <c r="F213" s="30">
        <f>COUNTIF($D$23:$D$1022,"&lt;"&amp;D213)+(COUNTIF($D$23:$D$1022,"="&amp;D213)+1)/2</f>
        <v/>
      </c>
    </row>
    <row r="214">
      <c r="B214" s="27">
        <f>'1 Data'!B203</f>
        <v/>
      </c>
      <c r="C214" s="29">
        <f>IF('1 Data'!E203&lt;=1.5,IF('1 Data'!F203&lt;=1.5,IF('1 Data'!G203&lt;=0.0003,1,2),IF('1 Data'!C203&lt;=165000,3,4)),IF('1 Data'!G203&lt;=0.0652,5,IF('1 Data'!G203&lt;=0.716,6,7)))</f>
        <v/>
      </c>
      <c r="D214" s="23">
        <f>INDEX($F$12:$F$18,C214)</f>
        <v/>
      </c>
      <c r="E214" s="27">
        <f>'1 Data'!I203</f>
        <v/>
      </c>
      <c r="F214" s="30">
        <f>COUNTIF($D$23:$D$1022,"&lt;"&amp;D214)+(COUNTIF($D$23:$D$1022,"="&amp;D214)+1)/2</f>
        <v/>
      </c>
    </row>
    <row r="215">
      <c r="B215" s="27">
        <f>'1 Data'!B204</f>
        <v/>
      </c>
      <c r="C215" s="29">
        <f>IF('1 Data'!E204&lt;=1.5,IF('1 Data'!F204&lt;=1.5,IF('1 Data'!G204&lt;=0.0003,1,2),IF('1 Data'!C204&lt;=165000,3,4)),IF('1 Data'!G204&lt;=0.0652,5,IF('1 Data'!G204&lt;=0.716,6,7)))</f>
        <v/>
      </c>
      <c r="D215" s="23">
        <f>INDEX($F$12:$F$18,C215)</f>
        <v/>
      </c>
      <c r="E215" s="27">
        <f>'1 Data'!I204</f>
        <v/>
      </c>
      <c r="F215" s="30">
        <f>COUNTIF($D$23:$D$1022,"&lt;"&amp;D215)+(COUNTIF($D$23:$D$1022,"="&amp;D215)+1)/2</f>
        <v/>
      </c>
    </row>
    <row r="216">
      <c r="B216" s="27">
        <f>'1 Data'!B205</f>
        <v/>
      </c>
      <c r="C216" s="29">
        <f>IF('1 Data'!E205&lt;=1.5,IF('1 Data'!F205&lt;=1.5,IF('1 Data'!G205&lt;=0.0003,1,2),IF('1 Data'!C205&lt;=165000,3,4)),IF('1 Data'!G205&lt;=0.0652,5,IF('1 Data'!G205&lt;=0.716,6,7)))</f>
        <v/>
      </c>
      <c r="D216" s="23">
        <f>INDEX($F$12:$F$18,C216)</f>
        <v/>
      </c>
      <c r="E216" s="27">
        <f>'1 Data'!I205</f>
        <v/>
      </c>
      <c r="F216" s="30">
        <f>COUNTIF($D$23:$D$1022,"&lt;"&amp;D216)+(COUNTIF($D$23:$D$1022,"="&amp;D216)+1)/2</f>
        <v/>
      </c>
    </row>
    <row r="217">
      <c r="B217" s="27">
        <f>'1 Data'!B206</f>
        <v/>
      </c>
      <c r="C217" s="29">
        <f>IF('1 Data'!E206&lt;=1.5,IF('1 Data'!F206&lt;=1.5,IF('1 Data'!G206&lt;=0.0003,1,2),IF('1 Data'!C206&lt;=165000,3,4)),IF('1 Data'!G206&lt;=0.0652,5,IF('1 Data'!G206&lt;=0.716,6,7)))</f>
        <v/>
      </c>
      <c r="D217" s="23">
        <f>INDEX($F$12:$F$18,C217)</f>
        <v/>
      </c>
      <c r="E217" s="27">
        <f>'1 Data'!I206</f>
        <v/>
      </c>
      <c r="F217" s="30">
        <f>COUNTIF($D$23:$D$1022,"&lt;"&amp;D217)+(COUNTIF($D$23:$D$1022,"="&amp;D217)+1)/2</f>
        <v/>
      </c>
    </row>
    <row r="218">
      <c r="B218" s="27">
        <f>'1 Data'!B207</f>
        <v/>
      </c>
      <c r="C218" s="29">
        <f>IF('1 Data'!E207&lt;=1.5,IF('1 Data'!F207&lt;=1.5,IF('1 Data'!G207&lt;=0.0003,1,2),IF('1 Data'!C207&lt;=165000,3,4)),IF('1 Data'!G207&lt;=0.0652,5,IF('1 Data'!G207&lt;=0.716,6,7)))</f>
        <v/>
      </c>
      <c r="D218" s="23">
        <f>INDEX($F$12:$F$18,C218)</f>
        <v/>
      </c>
      <c r="E218" s="27">
        <f>'1 Data'!I207</f>
        <v/>
      </c>
      <c r="F218" s="30">
        <f>COUNTIF($D$23:$D$1022,"&lt;"&amp;D218)+(COUNTIF($D$23:$D$1022,"="&amp;D218)+1)/2</f>
        <v/>
      </c>
    </row>
    <row r="219">
      <c r="B219" s="27">
        <f>'1 Data'!B208</f>
        <v/>
      </c>
      <c r="C219" s="29">
        <f>IF('1 Data'!E208&lt;=1.5,IF('1 Data'!F208&lt;=1.5,IF('1 Data'!G208&lt;=0.0003,1,2),IF('1 Data'!C208&lt;=165000,3,4)),IF('1 Data'!G208&lt;=0.0652,5,IF('1 Data'!G208&lt;=0.716,6,7)))</f>
        <v/>
      </c>
      <c r="D219" s="23">
        <f>INDEX($F$12:$F$18,C219)</f>
        <v/>
      </c>
      <c r="E219" s="27">
        <f>'1 Data'!I208</f>
        <v/>
      </c>
      <c r="F219" s="30">
        <f>COUNTIF($D$23:$D$1022,"&lt;"&amp;D219)+(COUNTIF($D$23:$D$1022,"="&amp;D219)+1)/2</f>
        <v/>
      </c>
    </row>
    <row r="220">
      <c r="B220" s="27">
        <f>'1 Data'!B209</f>
        <v/>
      </c>
      <c r="C220" s="29">
        <f>IF('1 Data'!E209&lt;=1.5,IF('1 Data'!F209&lt;=1.5,IF('1 Data'!G209&lt;=0.0003,1,2),IF('1 Data'!C209&lt;=165000,3,4)),IF('1 Data'!G209&lt;=0.0652,5,IF('1 Data'!G209&lt;=0.716,6,7)))</f>
        <v/>
      </c>
      <c r="D220" s="23">
        <f>INDEX($F$12:$F$18,C220)</f>
        <v/>
      </c>
      <c r="E220" s="27">
        <f>'1 Data'!I209</f>
        <v/>
      </c>
      <c r="F220" s="30">
        <f>COUNTIF($D$23:$D$1022,"&lt;"&amp;D220)+(COUNTIF($D$23:$D$1022,"="&amp;D220)+1)/2</f>
        <v/>
      </c>
    </row>
    <row r="221">
      <c r="B221" s="27">
        <f>'1 Data'!B210</f>
        <v/>
      </c>
      <c r="C221" s="29">
        <f>IF('1 Data'!E210&lt;=1.5,IF('1 Data'!F210&lt;=1.5,IF('1 Data'!G210&lt;=0.0003,1,2),IF('1 Data'!C210&lt;=165000,3,4)),IF('1 Data'!G210&lt;=0.0652,5,IF('1 Data'!G210&lt;=0.716,6,7)))</f>
        <v/>
      </c>
      <c r="D221" s="23">
        <f>INDEX($F$12:$F$18,C221)</f>
        <v/>
      </c>
      <c r="E221" s="27">
        <f>'1 Data'!I210</f>
        <v/>
      </c>
      <c r="F221" s="30">
        <f>COUNTIF($D$23:$D$1022,"&lt;"&amp;D221)+(COUNTIF($D$23:$D$1022,"="&amp;D221)+1)/2</f>
        <v/>
      </c>
    </row>
    <row r="222">
      <c r="B222" s="27">
        <f>'1 Data'!B211</f>
        <v/>
      </c>
      <c r="C222" s="29">
        <f>IF('1 Data'!E211&lt;=1.5,IF('1 Data'!F211&lt;=1.5,IF('1 Data'!G211&lt;=0.0003,1,2),IF('1 Data'!C211&lt;=165000,3,4)),IF('1 Data'!G211&lt;=0.0652,5,IF('1 Data'!G211&lt;=0.716,6,7)))</f>
        <v/>
      </c>
      <c r="D222" s="23">
        <f>INDEX($F$12:$F$18,C222)</f>
        <v/>
      </c>
      <c r="E222" s="27">
        <f>'1 Data'!I211</f>
        <v/>
      </c>
      <c r="F222" s="30">
        <f>COUNTIF($D$23:$D$1022,"&lt;"&amp;D222)+(COUNTIF($D$23:$D$1022,"="&amp;D222)+1)/2</f>
        <v/>
      </c>
    </row>
    <row r="223">
      <c r="B223" s="27">
        <f>'1 Data'!B212</f>
        <v/>
      </c>
      <c r="C223" s="29">
        <f>IF('1 Data'!E212&lt;=1.5,IF('1 Data'!F212&lt;=1.5,IF('1 Data'!G212&lt;=0.0003,1,2),IF('1 Data'!C212&lt;=165000,3,4)),IF('1 Data'!G212&lt;=0.0652,5,IF('1 Data'!G212&lt;=0.716,6,7)))</f>
        <v/>
      </c>
      <c r="D223" s="23">
        <f>INDEX($F$12:$F$18,C223)</f>
        <v/>
      </c>
      <c r="E223" s="27">
        <f>'1 Data'!I212</f>
        <v/>
      </c>
      <c r="F223" s="30">
        <f>COUNTIF($D$23:$D$1022,"&lt;"&amp;D223)+(COUNTIF($D$23:$D$1022,"="&amp;D223)+1)/2</f>
        <v/>
      </c>
    </row>
    <row r="224">
      <c r="B224" s="27">
        <f>'1 Data'!B213</f>
        <v/>
      </c>
      <c r="C224" s="29">
        <f>IF('1 Data'!E213&lt;=1.5,IF('1 Data'!F213&lt;=1.5,IF('1 Data'!G213&lt;=0.0003,1,2),IF('1 Data'!C213&lt;=165000,3,4)),IF('1 Data'!G213&lt;=0.0652,5,IF('1 Data'!G213&lt;=0.716,6,7)))</f>
        <v/>
      </c>
      <c r="D224" s="23">
        <f>INDEX($F$12:$F$18,C224)</f>
        <v/>
      </c>
      <c r="E224" s="27">
        <f>'1 Data'!I213</f>
        <v/>
      </c>
      <c r="F224" s="30">
        <f>COUNTIF($D$23:$D$1022,"&lt;"&amp;D224)+(COUNTIF($D$23:$D$1022,"="&amp;D224)+1)/2</f>
        <v/>
      </c>
    </row>
    <row r="225">
      <c r="B225" s="27">
        <f>'1 Data'!B214</f>
        <v/>
      </c>
      <c r="C225" s="29">
        <f>IF('1 Data'!E214&lt;=1.5,IF('1 Data'!F214&lt;=1.5,IF('1 Data'!G214&lt;=0.0003,1,2),IF('1 Data'!C214&lt;=165000,3,4)),IF('1 Data'!G214&lt;=0.0652,5,IF('1 Data'!G214&lt;=0.716,6,7)))</f>
        <v/>
      </c>
      <c r="D225" s="23">
        <f>INDEX($F$12:$F$18,C225)</f>
        <v/>
      </c>
      <c r="E225" s="27">
        <f>'1 Data'!I214</f>
        <v/>
      </c>
      <c r="F225" s="30">
        <f>COUNTIF($D$23:$D$1022,"&lt;"&amp;D225)+(COUNTIF($D$23:$D$1022,"="&amp;D225)+1)/2</f>
        <v/>
      </c>
    </row>
    <row r="226">
      <c r="B226" s="27">
        <f>'1 Data'!B215</f>
        <v/>
      </c>
      <c r="C226" s="29">
        <f>IF('1 Data'!E215&lt;=1.5,IF('1 Data'!F215&lt;=1.5,IF('1 Data'!G215&lt;=0.0003,1,2),IF('1 Data'!C215&lt;=165000,3,4)),IF('1 Data'!G215&lt;=0.0652,5,IF('1 Data'!G215&lt;=0.716,6,7)))</f>
        <v/>
      </c>
      <c r="D226" s="23">
        <f>INDEX($F$12:$F$18,C226)</f>
        <v/>
      </c>
      <c r="E226" s="27">
        <f>'1 Data'!I215</f>
        <v/>
      </c>
      <c r="F226" s="30">
        <f>COUNTIF($D$23:$D$1022,"&lt;"&amp;D226)+(COUNTIF($D$23:$D$1022,"="&amp;D226)+1)/2</f>
        <v/>
      </c>
    </row>
    <row r="227">
      <c r="B227" s="27">
        <f>'1 Data'!B216</f>
        <v/>
      </c>
      <c r="C227" s="29">
        <f>IF('1 Data'!E216&lt;=1.5,IF('1 Data'!F216&lt;=1.5,IF('1 Data'!G216&lt;=0.0003,1,2),IF('1 Data'!C216&lt;=165000,3,4)),IF('1 Data'!G216&lt;=0.0652,5,IF('1 Data'!G216&lt;=0.716,6,7)))</f>
        <v/>
      </c>
      <c r="D227" s="23">
        <f>INDEX($F$12:$F$18,C227)</f>
        <v/>
      </c>
      <c r="E227" s="27">
        <f>'1 Data'!I216</f>
        <v/>
      </c>
      <c r="F227" s="30">
        <f>COUNTIF($D$23:$D$1022,"&lt;"&amp;D227)+(COUNTIF($D$23:$D$1022,"="&amp;D227)+1)/2</f>
        <v/>
      </c>
    </row>
    <row r="228">
      <c r="B228" s="27">
        <f>'1 Data'!B217</f>
        <v/>
      </c>
      <c r="C228" s="29">
        <f>IF('1 Data'!E217&lt;=1.5,IF('1 Data'!F217&lt;=1.5,IF('1 Data'!G217&lt;=0.0003,1,2),IF('1 Data'!C217&lt;=165000,3,4)),IF('1 Data'!G217&lt;=0.0652,5,IF('1 Data'!G217&lt;=0.716,6,7)))</f>
        <v/>
      </c>
      <c r="D228" s="23">
        <f>INDEX($F$12:$F$18,C228)</f>
        <v/>
      </c>
      <c r="E228" s="27">
        <f>'1 Data'!I217</f>
        <v/>
      </c>
      <c r="F228" s="30">
        <f>COUNTIF($D$23:$D$1022,"&lt;"&amp;D228)+(COUNTIF($D$23:$D$1022,"="&amp;D228)+1)/2</f>
        <v/>
      </c>
    </row>
    <row r="229">
      <c r="B229" s="27">
        <f>'1 Data'!B218</f>
        <v/>
      </c>
      <c r="C229" s="29">
        <f>IF('1 Data'!E218&lt;=1.5,IF('1 Data'!F218&lt;=1.5,IF('1 Data'!G218&lt;=0.0003,1,2),IF('1 Data'!C218&lt;=165000,3,4)),IF('1 Data'!G218&lt;=0.0652,5,IF('1 Data'!G218&lt;=0.716,6,7)))</f>
        <v/>
      </c>
      <c r="D229" s="23">
        <f>INDEX($F$12:$F$18,C229)</f>
        <v/>
      </c>
      <c r="E229" s="27">
        <f>'1 Data'!I218</f>
        <v/>
      </c>
      <c r="F229" s="30">
        <f>COUNTIF($D$23:$D$1022,"&lt;"&amp;D229)+(COUNTIF($D$23:$D$1022,"="&amp;D229)+1)/2</f>
        <v/>
      </c>
    </row>
    <row r="230">
      <c r="B230" s="27">
        <f>'1 Data'!B219</f>
        <v/>
      </c>
      <c r="C230" s="29">
        <f>IF('1 Data'!E219&lt;=1.5,IF('1 Data'!F219&lt;=1.5,IF('1 Data'!G219&lt;=0.0003,1,2),IF('1 Data'!C219&lt;=165000,3,4)),IF('1 Data'!G219&lt;=0.0652,5,IF('1 Data'!G219&lt;=0.716,6,7)))</f>
        <v/>
      </c>
      <c r="D230" s="23">
        <f>INDEX($F$12:$F$18,C230)</f>
        <v/>
      </c>
      <c r="E230" s="27">
        <f>'1 Data'!I219</f>
        <v/>
      </c>
      <c r="F230" s="30">
        <f>COUNTIF($D$23:$D$1022,"&lt;"&amp;D230)+(COUNTIF($D$23:$D$1022,"="&amp;D230)+1)/2</f>
        <v/>
      </c>
    </row>
    <row r="231">
      <c r="B231" s="27">
        <f>'1 Data'!B220</f>
        <v/>
      </c>
      <c r="C231" s="29">
        <f>IF('1 Data'!E220&lt;=1.5,IF('1 Data'!F220&lt;=1.5,IF('1 Data'!G220&lt;=0.0003,1,2),IF('1 Data'!C220&lt;=165000,3,4)),IF('1 Data'!G220&lt;=0.0652,5,IF('1 Data'!G220&lt;=0.716,6,7)))</f>
        <v/>
      </c>
      <c r="D231" s="23">
        <f>INDEX($F$12:$F$18,C231)</f>
        <v/>
      </c>
      <c r="E231" s="27">
        <f>'1 Data'!I220</f>
        <v/>
      </c>
      <c r="F231" s="30">
        <f>COUNTIF($D$23:$D$1022,"&lt;"&amp;D231)+(COUNTIF($D$23:$D$1022,"="&amp;D231)+1)/2</f>
        <v/>
      </c>
    </row>
    <row r="232">
      <c r="B232" s="27">
        <f>'1 Data'!B221</f>
        <v/>
      </c>
      <c r="C232" s="29">
        <f>IF('1 Data'!E221&lt;=1.5,IF('1 Data'!F221&lt;=1.5,IF('1 Data'!G221&lt;=0.0003,1,2),IF('1 Data'!C221&lt;=165000,3,4)),IF('1 Data'!G221&lt;=0.0652,5,IF('1 Data'!G221&lt;=0.716,6,7)))</f>
        <v/>
      </c>
      <c r="D232" s="23">
        <f>INDEX($F$12:$F$18,C232)</f>
        <v/>
      </c>
      <c r="E232" s="27">
        <f>'1 Data'!I221</f>
        <v/>
      </c>
      <c r="F232" s="30">
        <f>COUNTIF($D$23:$D$1022,"&lt;"&amp;D232)+(COUNTIF($D$23:$D$1022,"="&amp;D232)+1)/2</f>
        <v/>
      </c>
    </row>
    <row r="233">
      <c r="B233" s="27">
        <f>'1 Data'!B222</f>
        <v/>
      </c>
      <c r="C233" s="29">
        <f>IF('1 Data'!E222&lt;=1.5,IF('1 Data'!F222&lt;=1.5,IF('1 Data'!G222&lt;=0.0003,1,2),IF('1 Data'!C222&lt;=165000,3,4)),IF('1 Data'!G222&lt;=0.0652,5,IF('1 Data'!G222&lt;=0.716,6,7)))</f>
        <v/>
      </c>
      <c r="D233" s="23">
        <f>INDEX($F$12:$F$18,C233)</f>
        <v/>
      </c>
      <c r="E233" s="27">
        <f>'1 Data'!I222</f>
        <v/>
      </c>
      <c r="F233" s="30">
        <f>COUNTIF($D$23:$D$1022,"&lt;"&amp;D233)+(COUNTIF($D$23:$D$1022,"="&amp;D233)+1)/2</f>
        <v/>
      </c>
    </row>
    <row r="234">
      <c r="B234" s="27">
        <f>'1 Data'!B223</f>
        <v/>
      </c>
      <c r="C234" s="29">
        <f>IF('1 Data'!E223&lt;=1.5,IF('1 Data'!F223&lt;=1.5,IF('1 Data'!G223&lt;=0.0003,1,2),IF('1 Data'!C223&lt;=165000,3,4)),IF('1 Data'!G223&lt;=0.0652,5,IF('1 Data'!G223&lt;=0.716,6,7)))</f>
        <v/>
      </c>
      <c r="D234" s="23">
        <f>INDEX($F$12:$F$18,C234)</f>
        <v/>
      </c>
      <c r="E234" s="27">
        <f>'1 Data'!I223</f>
        <v/>
      </c>
      <c r="F234" s="30">
        <f>COUNTIF($D$23:$D$1022,"&lt;"&amp;D234)+(COUNTIF($D$23:$D$1022,"="&amp;D234)+1)/2</f>
        <v/>
      </c>
    </row>
    <row r="235">
      <c r="B235" s="27">
        <f>'1 Data'!B224</f>
        <v/>
      </c>
      <c r="C235" s="29">
        <f>IF('1 Data'!E224&lt;=1.5,IF('1 Data'!F224&lt;=1.5,IF('1 Data'!G224&lt;=0.0003,1,2),IF('1 Data'!C224&lt;=165000,3,4)),IF('1 Data'!G224&lt;=0.0652,5,IF('1 Data'!G224&lt;=0.716,6,7)))</f>
        <v/>
      </c>
      <c r="D235" s="23">
        <f>INDEX($F$12:$F$18,C235)</f>
        <v/>
      </c>
      <c r="E235" s="27">
        <f>'1 Data'!I224</f>
        <v/>
      </c>
      <c r="F235" s="30">
        <f>COUNTIF($D$23:$D$1022,"&lt;"&amp;D235)+(COUNTIF($D$23:$D$1022,"="&amp;D235)+1)/2</f>
        <v/>
      </c>
    </row>
    <row r="236">
      <c r="B236" s="27">
        <f>'1 Data'!B225</f>
        <v/>
      </c>
      <c r="C236" s="29">
        <f>IF('1 Data'!E225&lt;=1.5,IF('1 Data'!F225&lt;=1.5,IF('1 Data'!G225&lt;=0.0003,1,2),IF('1 Data'!C225&lt;=165000,3,4)),IF('1 Data'!G225&lt;=0.0652,5,IF('1 Data'!G225&lt;=0.716,6,7)))</f>
        <v/>
      </c>
      <c r="D236" s="23">
        <f>INDEX($F$12:$F$18,C236)</f>
        <v/>
      </c>
      <c r="E236" s="27">
        <f>'1 Data'!I225</f>
        <v/>
      </c>
      <c r="F236" s="30">
        <f>COUNTIF($D$23:$D$1022,"&lt;"&amp;D236)+(COUNTIF($D$23:$D$1022,"="&amp;D236)+1)/2</f>
        <v/>
      </c>
    </row>
    <row r="237">
      <c r="B237" s="27">
        <f>'1 Data'!B226</f>
        <v/>
      </c>
      <c r="C237" s="29">
        <f>IF('1 Data'!E226&lt;=1.5,IF('1 Data'!F226&lt;=1.5,IF('1 Data'!G226&lt;=0.0003,1,2),IF('1 Data'!C226&lt;=165000,3,4)),IF('1 Data'!G226&lt;=0.0652,5,IF('1 Data'!G226&lt;=0.716,6,7)))</f>
        <v/>
      </c>
      <c r="D237" s="23">
        <f>INDEX($F$12:$F$18,C237)</f>
        <v/>
      </c>
      <c r="E237" s="27">
        <f>'1 Data'!I226</f>
        <v/>
      </c>
      <c r="F237" s="30">
        <f>COUNTIF($D$23:$D$1022,"&lt;"&amp;D237)+(COUNTIF($D$23:$D$1022,"="&amp;D237)+1)/2</f>
        <v/>
      </c>
    </row>
    <row r="238">
      <c r="B238" s="27">
        <f>'1 Data'!B227</f>
        <v/>
      </c>
      <c r="C238" s="29">
        <f>IF('1 Data'!E227&lt;=1.5,IF('1 Data'!F227&lt;=1.5,IF('1 Data'!G227&lt;=0.0003,1,2),IF('1 Data'!C227&lt;=165000,3,4)),IF('1 Data'!G227&lt;=0.0652,5,IF('1 Data'!G227&lt;=0.716,6,7)))</f>
        <v/>
      </c>
      <c r="D238" s="23">
        <f>INDEX($F$12:$F$18,C238)</f>
        <v/>
      </c>
      <c r="E238" s="27">
        <f>'1 Data'!I227</f>
        <v/>
      </c>
      <c r="F238" s="30">
        <f>COUNTIF($D$23:$D$1022,"&lt;"&amp;D238)+(COUNTIF($D$23:$D$1022,"="&amp;D238)+1)/2</f>
        <v/>
      </c>
    </row>
    <row r="239">
      <c r="B239" s="27">
        <f>'1 Data'!B228</f>
        <v/>
      </c>
      <c r="C239" s="29">
        <f>IF('1 Data'!E228&lt;=1.5,IF('1 Data'!F228&lt;=1.5,IF('1 Data'!G228&lt;=0.0003,1,2),IF('1 Data'!C228&lt;=165000,3,4)),IF('1 Data'!G228&lt;=0.0652,5,IF('1 Data'!G228&lt;=0.716,6,7)))</f>
        <v/>
      </c>
      <c r="D239" s="23">
        <f>INDEX($F$12:$F$18,C239)</f>
        <v/>
      </c>
      <c r="E239" s="27">
        <f>'1 Data'!I228</f>
        <v/>
      </c>
      <c r="F239" s="30">
        <f>COUNTIF($D$23:$D$1022,"&lt;"&amp;D239)+(COUNTIF($D$23:$D$1022,"="&amp;D239)+1)/2</f>
        <v/>
      </c>
    </row>
    <row r="240">
      <c r="B240" s="27">
        <f>'1 Data'!B229</f>
        <v/>
      </c>
      <c r="C240" s="29">
        <f>IF('1 Data'!E229&lt;=1.5,IF('1 Data'!F229&lt;=1.5,IF('1 Data'!G229&lt;=0.0003,1,2),IF('1 Data'!C229&lt;=165000,3,4)),IF('1 Data'!G229&lt;=0.0652,5,IF('1 Data'!G229&lt;=0.716,6,7)))</f>
        <v/>
      </c>
      <c r="D240" s="23">
        <f>INDEX($F$12:$F$18,C240)</f>
        <v/>
      </c>
      <c r="E240" s="27">
        <f>'1 Data'!I229</f>
        <v/>
      </c>
      <c r="F240" s="30">
        <f>COUNTIF($D$23:$D$1022,"&lt;"&amp;D240)+(COUNTIF($D$23:$D$1022,"="&amp;D240)+1)/2</f>
        <v/>
      </c>
    </row>
    <row r="241">
      <c r="B241" s="27">
        <f>'1 Data'!B230</f>
        <v/>
      </c>
      <c r="C241" s="29">
        <f>IF('1 Data'!E230&lt;=1.5,IF('1 Data'!F230&lt;=1.5,IF('1 Data'!G230&lt;=0.0003,1,2),IF('1 Data'!C230&lt;=165000,3,4)),IF('1 Data'!G230&lt;=0.0652,5,IF('1 Data'!G230&lt;=0.716,6,7)))</f>
        <v/>
      </c>
      <c r="D241" s="23">
        <f>INDEX($F$12:$F$18,C241)</f>
        <v/>
      </c>
      <c r="E241" s="27">
        <f>'1 Data'!I230</f>
        <v/>
      </c>
      <c r="F241" s="30">
        <f>COUNTIF($D$23:$D$1022,"&lt;"&amp;D241)+(COUNTIF($D$23:$D$1022,"="&amp;D241)+1)/2</f>
        <v/>
      </c>
    </row>
    <row r="242">
      <c r="B242" s="27">
        <f>'1 Data'!B231</f>
        <v/>
      </c>
      <c r="C242" s="29">
        <f>IF('1 Data'!E231&lt;=1.5,IF('1 Data'!F231&lt;=1.5,IF('1 Data'!G231&lt;=0.0003,1,2),IF('1 Data'!C231&lt;=165000,3,4)),IF('1 Data'!G231&lt;=0.0652,5,IF('1 Data'!G231&lt;=0.716,6,7)))</f>
        <v/>
      </c>
      <c r="D242" s="23">
        <f>INDEX($F$12:$F$18,C242)</f>
        <v/>
      </c>
      <c r="E242" s="27">
        <f>'1 Data'!I231</f>
        <v/>
      </c>
      <c r="F242" s="30">
        <f>COUNTIF($D$23:$D$1022,"&lt;"&amp;D242)+(COUNTIF($D$23:$D$1022,"="&amp;D242)+1)/2</f>
        <v/>
      </c>
    </row>
    <row r="243">
      <c r="B243" s="27">
        <f>'1 Data'!B232</f>
        <v/>
      </c>
      <c r="C243" s="29">
        <f>IF('1 Data'!E232&lt;=1.5,IF('1 Data'!F232&lt;=1.5,IF('1 Data'!G232&lt;=0.0003,1,2),IF('1 Data'!C232&lt;=165000,3,4)),IF('1 Data'!G232&lt;=0.0652,5,IF('1 Data'!G232&lt;=0.716,6,7)))</f>
        <v/>
      </c>
      <c r="D243" s="23">
        <f>INDEX($F$12:$F$18,C243)</f>
        <v/>
      </c>
      <c r="E243" s="27">
        <f>'1 Data'!I232</f>
        <v/>
      </c>
      <c r="F243" s="30">
        <f>COUNTIF($D$23:$D$1022,"&lt;"&amp;D243)+(COUNTIF($D$23:$D$1022,"="&amp;D243)+1)/2</f>
        <v/>
      </c>
    </row>
    <row r="244">
      <c r="B244" s="27">
        <f>'1 Data'!B233</f>
        <v/>
      </c>
      <c r="C244" s="29">
        <f>IF('1 Data'!E233&lt;=1.5,IF('1 Data'!F233&lt;=1.5,IF('1 Data'!G233&lt;=0.0003,1,2),IF('1 Data'!C233&lt;=165000,3,4)),IF('1 Data'!G233&lt;=0.0652,5,IF('1 Data'!G233&lt;=0.716,6,7)))</f>
        <v/>
      </c>
      <c r="D244" s="23">
        <f>INDEX($F$12:$F$18,C244)</f>
        <v/>
      </c>
      <c r="E244" s="27">
        <f>'1 Data'!I233</f>
        <v/>
      </c>
      <c r="F244" s="30">
        <f>COUNTIF($D$23:$D$1022,"&lt;"&amp;D244)+(COUNTIF($D$23:$D$1022,"="&amp;D244)+1)/2</f>
        <v/>
      </c>
    </row>
    <row r="245">
      <c r="B245" s="27">
        <f>'1 Data'!B234</f>
        <v/>
      </c>
      <c r="C245" s="29">
        <f>IF('1 Data'!E234&lt;=1.5,IF('1 Data'!F234&lt;=1.5,IF('1 Data'!G234&lt;=0.0003,1,2),IF('1 Data'!C234&lt;=165000,3,4)),IF('1 Data'!G234&lt;=0.0652,5,IF('1 Data'!G234&lt;=0.716,6,7)))</f>
        <v/>
      </c>
      <c r="D245" s="23">
        <f>INDEX($F$12:$F$18,C245)</f>
        <v/>
      </c>
      <c r="E245" s="27">
        <f>'1 Data'!I234</f>
        <v/>
      </c>
      <c r="F245" s="30">
        <f>COUNTIF($D$23:$D$1022,"&lt;"&amp;D245)+(COUNTIF($D$23:$D$1022,"="&amp;D245)+1)/2</f>
        <v/>
      </c>
    </row>
    <row r="246">
      <c r="B246" s="27">
        <f>'1 Data'!B235</f>
        <v/>
      </c>
      <c r="C246" s="29">
        <f>IF('1 Data'!E235&lt;=1.5,IF('1 Data'!F235&lt;=1.5,IF('1 Data'!G235&lt;=0.0003,1,2),IF('1 Data'!C235&lt;=165000,3,4)),IF('1 Data'!G235&lt;=0.0652,5,IF('1 Data'!G235&lt;=0.716,6,7)))</f>
        <v/>
      </c>
      <c r="D246" s="23">
        <f>INDEX($F$12:$F$18,C246)</f>
        <v/>
      </c>
      <c r="E246" s="27">
        <f>'1 Data'!I235</f>
        <v/>
      </c>
      <c r="F246" s="30">
        <f>COUNTIF($D$23:$D$1022,"&lt;"&amp;D246)+(COUNTIF($D$23:$D$1022,"="&amp;D246)+1)/2</f>
        <v/>
      </c>
    </row>
    <row r="247">
      <c r="B247" s="27">
        <f>'1 Data'!B236</f>
        <v/>
      </c>
      <c r="C247" s="29">
        <f>IF('1 Data'!E236&lt;=1.5,IF('1 Data'!F236&lt;=1.5,IF('1 Data'!G236&lt;=0.0003,1,2),IF('1 Data'!C236&lt;=165000,3,4)),IF('1 Data'!G236&lt;=0.0652,5,IF('1 Data'!G236&lt;=0.716,6,7)))</f>
        <v/>
      </c>
      <c r="D247" s="23">
        <f>INDEX($F$12:$F$18,C247)</f>
        <v/>
      </c>
      <c r="E247" s="27">
        <f>'1 Data'!I236</f>
        <v/>
      </c>
      <c r="F247" s="30">
        <f>COUNTIF($D$23:$D$1022,"&lt;"&amp;D247)+(COUNTIF($D$23:$D$1022,"="&amp;D247)+1)/2</f>
        <v/>
      </c>
    </row>
    <row r="248">
      <c r="B248" s="27">
        <f>'1 Data'!B237</f>
        <v/>
      </c>
      <c r="C248" s="29">
        <f>IF('1 Data'!E237&lt;=1.5,IF('1 Data'!F237&lt;=1.5,IF('1 Data'!G237&lt;=0.0003,1,2),IF('1 Data'!C237&lt;=165000,3,4)),IF('1 Data'!G237&lt;=0.0652,5,IF('1 Data'!G237&lt;=0.716,6,7)))</f>
        <v/>
      </c>
      <c r="D248" s="23">
        <f>INDEX($F$12:$F$18,C248)</f>
        <v/>
      </c>
      <c r="E248" s="27">
        <f>'1 Data'!I237</f>
        <v/>
      </c>
      <c r="F248" s="30">
        <f>COUNTIF($D$23:$D$1022,"&lt;"&amp;D248)+(COUNTIF($D$23:$D$1022,"="&amp;D248)+1)/2</f>
        <v/>
      </c>
    </row>
    <row r="249">
      <c r="B249" s="27">
        <f>'1 Data'!B238</f>
        <v/>
      </c>
      <c r="C249" s="29">
        <f>IF('1 Data'!E238&lt;=1.5,IF('1 Data'!F238&lt;=1.5,IF('1 Data'!G238&lt;=0.0003,1,2),IF('1 Data'!C238&lt;=165000,3,4)),IF('1 Data'!G238&lt;=0.0652,5,IF('1 Data'!G238&lt;=0.716,6,7)))</f>
        <v/>
      </c>
      <c r="D249" s="23">
        <f>INDEX($F$12:$F$18,C249)</f>
        <v/>
      </c>
      <c r="E249" s="27">
        <f>'1 Data'!I238</f>
        <v/>
      </c>
      <c r="F249" s="30">
        <f>COUNTIF($D$23:$D$1022,"&lt;"&amp;D249)+(COUNTIF($D$23:$D$1022,"="&amp;D249)+1)/2</f>
        <v/>
      </c>
    </row>
    <row r="250">
      <c r="B250" s="27">
        <f>'1 Data'!B239</f>
        <v/>
      </c>
      <c r="C250" s="29">
        <f>IF('1 Data'!E239&lt;=1.5,IF('1 Data'!F239&lt;=1.5,IF('1 Data'!G239&lt;=0.0003,1,2),IF('1 Data'!C239&lt;=165000,3,4)),IF('1 Data'!G239&lt;=0.0652,5,IF('1 Data'!G239&lt;=0.716,6,7)))</f>
        <v/>
      </c>
      <c r="D250" s="23">
        <f>INDEX($F$12:$F$18,C250)</f>
        <v/>
      </c>
      <c r="E250" s="27">
        <f>'1 Data'!I239</f>
        <v/>
      </c>
      <c r="F250" s="30">
        <f>COUNTIF($D$23:$D$1022,"&lt;"&amp;D250)+(COUNTIF($D$23:$D$1022,"="&amp;D250)+1)/2</f>
        <v/>
      </c>
    </row>
    <row r="251">
      <c r="B251" s="27">
        <f>'1 Data'!B240</f>
        <v/>
      </c>
      <c r="C251" s="29">
        <f>IF('1 Data'!E240&lt;=1.5,IF('1 Data'!F240&lt;=1.5,IF('1 Data'!G240&lt;=0.0003,1,2),IF('1 Data'!C240&lt;=165000,3,4)),IF('1 Data'!G240&lt;=0.0652,5,IF('1 Data'!G240&lt;=0.716,6,7)))</f>
        <v/>
      </c>
      <c r="D251" s="23">
        <f>INDEX($F$12:$F$18,C251)</f>
        <v/>
      </c>
      <c r="E251" s="27">
        <f>'1 Data'!I240</f>
        <v/>
      </c>
      <c r="F251" s="30">
        <f>COUNTIF($D$23:$D$1022,"&lt;"&amp;D251)+(COUNTIF($D$23:$D$1022,"="&amp;D251)+1)/2</f>
        <v/>
      </c>
    </row>
    <row r="252">
      <c r="B252" s="27">
        <f>'1 Data'!B241</f>
        <v/>
      </c>
      <c r="C252" s="29">
        <f>IF('1 Data'!E241&lt;=1.5,IF('1 Data'!F241&lt;=1.5,IF('1 Data'!G241&lt;=0.0003,1,2),IF('1 Data'!C241&lt;=165000,3,4)),IF('1 Data'!G241&lt;=0.0652,5,IF('1 Data'!G241&lt;=0.716,6,7)))</f>
        <v/>
      </c>
      <c r="D252" s="23">
        <f>INDEX($F$12:$F$18,C252)</f>
        <v/>
      </c>
      <c r="E252" s="27">
        <f>'1 Data'!I241</f>
        <v/>
      </c>
      <c r="F252" s="30">
        <f>COUNTIF($D$23:$D$1022,"&lt;"&amp;D252)+(COUNTIF($D$23:$D$1022,"="&amp;D252)+1)/2</f>
        <v/>
      </c>
    </row>
    <row r="253">
      <c r="B253" s="27">
        <f>'1 Data'!B242</f>
        <v/>
      </c>
      <c r="C253" s="29">
        <f>IF('1 Data'!E242&lt;=1.5,IF('1 Data'!F242&lt;=1.5,IF('1 Data'!G242&lt;=0.0003,1,2),IF('1 Data'!C242&lt;=165000,3,4)),IF('1 Data'!G242&lt;=0.0652,5,IF('1 Data'!G242&lt;=0.716,6,7)))</f>
        <v/>
      </c>
      <c r="D253" s="23">
        <f>INDEX($F$12:$F$18,C253)</f>
        <v/>
      </c>
      <c r="E253" s="27">
        <f>'1 Data'!I242</f>
        <v/>
      </c>
      <c r="F253" s="30">
        <f>COUNTIF($D$23:$D$1022,"&lt;"&amp;D253)+(COUNTIF($D$23:$D$1022,"="&amp;D253)+1)/2</f>
        <v/>
      </c>
    </row>
    <row r="254">
      <c r="B254" s="27">
        <f>'1 Data'!B243</f>
        <v/>
      </c>
      <c r="C254" s="29">
        <f>IF('1 Data'!E243&lt;=1.5,IF('1 Data'!F243&lt;=1.5,IF('1 Data'!G243&lt;=0.0003,1,2),IF('1 Data'!C243&lt;=165000,3,4)),IF('1 Data'!G243&lt;=0.0652,5,IF('1 Data'!G243&lt;=0.716,6,7)))</f>
        <v/>
      </c>
      <c r="D254" s="23">
        <f>INDEX($F$12:$F$18,C254)</f>
        <v/>
      </c>
      <c r="E254" s="27">
        <f>'1 Data'!I243</f>
        <v/>
      </c>
      <c r="F254" s="30">
        <f>COUNTIF($D$23:$D$1022,"&lt;"&amp;D254)+(COUNTIF($D$23:$D$1022,"="&amp;D254)+1)/2</f>
        <v/>
      </c>
    </row>
    <row r="255">
      <c r="B255" s="27">
        <f>'1 Data'!B244</f>
        <v/>
      </c>
      <c r="C255" s="29">
        <f>IF('1 Data'!E244&lt;=1.5,IF('1 Data'!F244&lt;=1.5,IF('1 Data'!G244&lt;=0.0003,1,2),IF('1 Data'!C244&lt;=165000,3,4)),IF('1 Data'!G244&lt;=0.0652,5,IF('1 Data'!G244&lt;=0.716,6,7)))</f>
        <v/>
      </c>
      <c r="D255" s="23">
        <f>INDEX($F$12:$F$18,C255)</f>
        <v/>
      </c>
      <c r="E255" s="27">
        <f>'1 Data'!I244</f>
        <v/>
      </c>
      <c r="F255" s="30">
        <f>COUNTIF($D$23:$D$1022,"&lt;"&amp;D255)+(COUNTIF($D$23:$D$1022,"="&amp;D255)+1)/2</f>
        <v/>
      </c>
    </row>
    <row r="256">
      <c r="B256" s="27">
        <f>'1 Data'!B245</f>
        <v/>
      </c>
      <c r="C256" s="29">
        <f>IF('1 Data'!E245&lt;=1.5,IF('1 Data'!F245&lt;=1.5,IF('1 Data'!G245&lt;=0.0003,1,2),IF('1 Data'!C245&lt;=165000,3,4)),IF('1 Data'!G245&lt;=0.0652,5,IF('1 Data'!G245&lt;=0.716,6,7)))</f>
        <v/>
      </c>
      <c r="D256" s="23">
        <f>INDEX($F$12:$F$18,C256)</f>
        <v/>
      </c>
      <c r="E256" s="27">
        <f>'1 Data'!I245</f>
        <v/>
      </c>
      <c r="F256" s="30">
        <f>COUNTIF($D$23:$D$1022,"&lt;"&amp;D256)+(COUNTIF($D$23:$D$1022,"="&amp;D256)+1)/2</f>
        <v/>
      </c>
    </row>
    <row r="257">
      <c r="B257" s="27">
        <f>'1 Data'!B246</f>
        <v/>
      </c>
      <c r="C257" s="29">
        <f>IF('1 Data'!E246&lt;=1.5,IF('1 Data'!F246&lt;=1.5,IF('1 Data'!G246&lt;=0.0003,1,2),IF('1 Data'!C246&lt;=165000,3,4)),IF('1 Data'!G246&lt;=0.0652,5,IF('1 Data'!G246&lt;=0.716,6,7)))</f>
        <v/>
      </c>
      <c r="D257" s="23">
        <f>INDEX($F$12:$F$18,C257)</f>
        <v/>
      </c>
      <c r="E257" s="27">
        <f>'1 Data'!I246</f>
        <v/>
      </c>
      <c r="F257" s="30">
        <f>COUNTIF($D$23:$D$1022,"&lt;"&amp;D257)+(COUNTIF($D$23:$D$1022,"="&amp;D257)+1)/2</f>
        <v/>
      </c>
    </row>
    <row r="258">
      <c r="B258" s="27">
        <f>'1 Data'!B247</f>
        <v/>
      </c>
      <c r="C258" s="29">
        <f>IF('1 Data'!E247&lt;=1.5,IF('1 Data'!F247&lt;=1.5,IF('1 Data'!G247&lt;=0.0003,1,2),IF('1 Data'!C247&lt;=165000,3,4)),IF('1 Data'!G247&lt;=0.0652,5,IF('1 Data'!G247&lt;=0.716,6,7)))</f>
        <v/>
      </c>
      <c r="D258" s="23">
        <f>INDEX($F$12:$F$18,C258)</f>
        <v/>
      </c>
      <c r="E258" s="27">
        <f>'1 Data'!I247</f>
        <v/>
      </c>
      <c r="F258" s="30">
        <f>COUNTIF($D$23:$D$1022,"&lt;"&amp;D258)+(COUNTIF($D$23:$D$1022,"="&amp;D258)+1)/2</f>
        <v/>
      </c>
    </row>
    <row r="259">
      <c r="B259" s="27">
        <f>'1 Data'!B248</f>
        <v/>
      </c>
      <c r="C259" s="29">
        <f>IF('1 Data'!E248&lt;=1.5,IF('1 Data'!F248&lt;=1.5,IF('1 Data'!G248&lt;=0.0003,1,2),IF('1 Data'!C248&lt;=165000,3,4)),IF('1 Data'!G248&lt;=0.0652,5,IF('1 Data'!G248&lt;=0.716,6,7)))</f>
        <v/>
      </c>
      <c r="D259" s="23">
        <f>INDEX($F$12:$F$18,C259)</f>
        <v/>
      </c>
      <c r="E259" s="27">
        <f>'1 Data'!I248</f>
        <v/>
      </c>
      <c r="F259" s="30">
        <f>COUNTIF($D$23:$D$1022,"&lt;"&amp;D259)+(COUNTIF($D$23:$D$1022,"="&amp;D259)+1)/2</f>
        <v/>
      </c>
    </row>
    <row r="260">
      <c r="B260" s="27">
        <f>'1 Data'!B249</f>
        <v/>
      </c>
      <c r="C260" s="29">
        <f>IF('1 Data'!E249&lt;=1.5,IF('1 Data'!F249&lt;=1.5,IF('1 Data'!G249&lt;=0.0003,1,2),IF('1 Data'!C249&lt;=165000,3,4)),IF('1 Data'!G249&lt;=0.0652,5,IF('1 Data'!G249&lt;=0.716,6,7)))</f>
        <v/>
      </c>
      <c r="D260" s="23">
        <f>INDEX($F$12:$F$18,C260)</f>
        <v/>
      </c>
      <c r="E260" s="27">
        <f>'1 Data'!I249</f>
        <v/>
      </c>
      <c r="F260" s="30">
        <f>COUNTIF($D$23:$D$1022,"&lt;"&amp;D260)+(COUNTIF($D$23:$D$1022,"="&amp;D260)+1)/2</f>
        <v/>
      </c>
    </row>
    <row r="261">
      <c r="B261" s="27">
        <f>'1 Data'!B250</f>
        <v/>
      </c>
      <c r="C261" s="29">
        <f>IF('1 Data'!E250&lt;=1.5,IF('1 Data'!F250&lt;=1.5,IF('1 Data'!G250&lt;=0.0003,1,2),IF('1 Data'!C250&lt;=165000,3,4)),IF('1 Data'!G250&lt;=0.0652,5,IF('1 Data'!G250&lt;=0.716,6,7)))</f>
        <v/>
      </c>
      <c r="D261" s="23">
        <f>INDEX($F$12:$F$18,C261)</f>
        <v/>
      </c>
      <c r="E261" s="27">
        <f>'1 Data'!I250</f>
        <v/>
      </c>
      <c r="F261" s="30">
        <f>COUNTIF($D$23:$D$1022,"&lt;"&amp;D261)+(COUNTIF($D$23:$D$1022,"="&amp;D261)+1)/2</f>
        <v/>
      </c>
    </row>
    <row r="262">
      <c r="B262" s="27">
        <f>'1 Data'!B251</f>
        <v/>
      </c>
      <c r="C262" s="29">
        <f>IF('1 Data'!E251&lt;=1.5,IF('1 Data'!F251&lt;=1.5,IF('1 Data'!G251&lt;=0.0003,1,2),IF('1 Data'!C251&lt;=165000,3,4)),IF('1 Data'!G251&lt;=0.0652,5,IF('1 Data'!G251&lt;=0.716,6,7)))</f>
        <v/>
      </c>
      <c r="D262" s="23">
        <f>INDEX($F$12:$F$18,C262)</f>
        <v/>
      </c>
      <c r="E262" s="27">
        <f>'1 Data'!I251</f>
        <v/>
      </c>
      <c r="F262" s="30">
        <f>COUNTIF($D$23:$D$1022,"&lt;"&amp;D262)+(COUNTIF($D$23:$D$1022,"="&amp;D262)+1)/2</f>
        <v/>
      </c>
    </row>
    <row r="263">
      <c r="B263" s="27">
        <f>'1 Data'!B252</f>
        <v/>
      </c>
      <c r="C263" s="29">
        <f>IF('1 Data'!E252&lt;=1.5,IF('1 Data'!F252&lt;=1.5,IF('1 Data'!G252&lt;=0.0003,1,2),IF('1 Data'!C252&lt;=165000,3,4)),IF('1 Data'!G252&lt;=0.0652,5,IF('1 Data'!G252&lt;=0.716,6,7)))</f>
        <v/>
      </c>
      <c r="D263" s="23">
        <f>INDEX($F$12:$F$18,C263)</f>
        <v/>
      </c>
      <c r="E263" s="27">
        <f>'1 Data'!I252</f>
        <v/>
      </c>
      <c r="F263" s="30">
        <f>COUNTIF($D$23:$D$1022,"&lt;"&amp;D263)+(COUNTIF($D$23:$D$1022,"="&amp;D263)+1)/2</f>
        <v/>
      </c>
    </row>
    <row r="264">
      <c r="B264" s="27">
        <f>'1 Data'!B253</f>
        <v/>
      </c>
      <c r="C264" s="29">
        <f>IF('1 Data'!E253&lt;=1.5,IF('1 Data'!F253&lt;=1.5,IF('1 Data'!G253&lt;=0.0003,1,2),IF('1 Data'!C253&lt;=165000,3,4)),IF('1 Data'!G253&lt;=0.0652,5,IF('1 Data'!G253&lt;=0.716,6,7)))</f>
        <v/>
      </c>
      <c r="D264" s="23">
        <f>INDEX($F$12:$F$18,C264)</f>
        <v/>
      </c>
      <c r="E264" s="27">
        <f>'1 Data'!I253</f>
        <v/>
      </c>
      <c r="F264" s="30">
        <f>COUNTIF($D$23:$D$1022,"&lt;"&amp;D264)+(COUNTIF($D$23:$D$1022,"="&amp;D264)+1)/2</f>
        <v/>
      </c>
    </row>
    <row r="265">
      <c r="B265" s="27">
        <f>'1 Data'!B254</f>
        <v/>
      </c>
      <c r="C265" s="29">
        <f>IF('1 Data'!E254&lt;=1.5,IF('1 Data'!F254&lt;=1.5,IF('1 Data'!G254&lt;=0.0003,1,2),IF('1 Data'!C254&lt;=165000,3,4)),IF('1 Data'!G254&lt;=0.0652,5,IF('1 Data'!G254&lt;=0.716,6,7)))</f>
        <v/>
      </c>
      <c r="D265" s="23">
        <f>INDEX($F$12:$F$18,C265)</f>
        <v/>
      </c>
      <c r="E265" s="27">
        <f>'1 Data'!I254</f>
        <v/>
      </c>
      <c r="F265" s="30">
        <f>COUNTIF($D$23:$D$1022,"&lt;"&amp;D265)+(COUNTIF($D$23:$D$1022,"="&amp;D265)+1)/2</f>
        <v/>
      </c>
    </row>
    <row r="266">
      <c r="B266" s="27">
        <f>'1 Data'!B255</f>
        <v/>
      </c>
      <c r="C266" s="29">
        <f>IF('1 Data'!E255&lt;=1.5,IF('1 Data'!F255&lt;=1.5,IF('1 Data'!G255&lt;=0.0003,1,2),IF('1 Data'!C255&lt;=165000,3,4)),IF('1 Data'!G255&lt;=0.0652,5,IF('1 Data'!G255&lt;=0.716,6,7)))</f>
        <v/>
      </c>
      <c r="D266" s="23">
        <f>INDEX($F$12:$F$18,C266)</f>
        <v/>
      </c>
      <c r="E266" s="27">
        <f>'1 Data'!I255</f>
        <v/>
      </c>
      <c r="F266" s="30">
        <f>COUNTIF($D$23:$D$1022,"&lt;"&amp;D266)+(COUNTIF($D$23:$D$1022,"="&amp;D266)+1)/2</f>
        <v/>
      </c>
    </row>
    <row r="267">
      <c r="B267" s="27">
        <f>'1 Data'!B256</f>
        <v/>
      </c>
      <c r="C267" s="29">
        <f>IF('1 Data'!E256&lt;=1.5,IF('1 Data'!F256&lt;=1.5,IF('1 Data'!G256&lt;=0.0003,1,2),IF('1 Data'!C256&lt;=165000,3,4)),IF('1 Data'!G256&lt;=0.0652,5,IF('1 Data'!G256&lt;=0.716,6,7)))</f>
        <v/>
      </c>
      <c r="D267" s="23">
        <f>INDEX($F$12:$F$18,C267)</f>
        <v/>
      </c>
      <c r="E267" s="27">
        <f>'1 Data'!I256</f>
        <v/>
      </c>
      <c r="F267" s="30">
        <f>COUNTIF($D$23:$D$1022,"&lt;"&amp;D267)+(COUNTIF($D$23:$D$1022,"="&amp;D267)+1)/2</f>
        <v/>
      </c>
    </row>
    <row r="268">
      <c r="B268" s="27">
        <f>'1 Data'!B257</f>
        <v/>
      </c>
      <c r="C268" s="29">
        <f>IF('1 Data'!E257&lt;=1.5,IF('1 Data'!F257&lt;=1.5,IF('1 Data'!G257&lt;=0.0003,1,2),IF('1 Data'!C257&lt;=165000,3,4)),IF('1 Data'!G257&lt;=0.0652,5,IF('1 Data'!G257&lt;=0.716,6,7)))</f>
        <v/>
      </c>
      <c r="D268" s="23">
        <f>INDEX($F$12:$F$18,C268)</f>
        <v/>
      </c>
      <c r="E268" s="27">
        <f>'1 Data'!I257</f>
        <v/>
      </c>
      <c r="F268" s="30">
        <f>COUNTIF($D$23:$D$1022,"&lt;"&amp;D268)+(COUNTIF($D$23:$D$1022,"="&amp;D268)+1)/2</f>
        <v/>
      </c>
    </row>
    <row r="269">
      <c r="B269" s="27">
        <f>'1 Data'!B258</f>
        <v/>
      </c>
      <c r="C269" s="29">
        <f>IF('1 Data'!E258&lt;=1.5,IF('1 Data'!F258&lt;=1.5,IF('1 Data'!G258&lt;=0.0003,1,2),IF('1 Data'!C258&lt;=165000,3,4)),IF('1 Data'!G258&lt;=0.0652,5,IF('1 Data'!G258&lt;=0.716,6,7)))</f>
        <v/>
      </c>
      <c r="D269" s="23">
        <f>INDEX($F$12:$F$18,C269)</f>
        <v/>
      </c>
      <c r="E269" s="27">
        <f>'1 Data'!I258</f>
        <v/>
      </c>
      <c r="F269" s="30">
        <f>COUNTIF($D$23:$D$1022,"&lt;"&amp;D269)+(COUNTIF($D$23:$D$1022,"="&amp;D269)+1)/2</f>
        <v/>
      </c>
    </row>
    <row r="270">
      <c r="B270" s="27">
        <f>'1 Data'!B259</f>
        <v/>
      </c>
      <c r="C270" s="29">
        <f>IF('1 Data'!E259&lt;=1.5,IF('1 Data'!F259&lt;=1.5,IF('1 Data'!G259&lt;=0.0003,1,2),IF('1 Data'!C259&lt;=165000,3,4)),IF('1 Data'!G259&lt;=0.0652,5,IF('1 Data'!G259&lt;=0.716,6,7)))</f>
        <v/>
      </c>
      <c r="D270" s="23">
        <f>INDEX($F$12:$F$18,C270)</f>
        <v/>
      </c>
      <c r="E270" s="27">
        <f>'1 Data'!I259</f>
        <v/>
      </c>
      <c r="F270" s="30">
        <f>COUNTIF($D$23:$D$1022,"&lt;"&amp;D270)+(COUNTIF($D$23:$D$1022,"="&amp;D270)+1)/2</f>
        <v/>
      </c>
    </row>
    <row r="271">
      <c r="B271" s="27">
        <f>'1 Data'!B260</f>
        <v/>
      </c>
      <c r="C271" s="29">
        <f>IF('1 Data'!E260&lt;=1.5,IF('1 Data'!F260&lt;=1.5,IF('1 Data'!G260&lt;=0.0003,1,2),IF('1 Data'!C260&lt;=165000,3,4)),IF('1 Data'!G260&lt;=0.0652,5,IF('1 Data'!G260&lt;=0.716,6,7)))</f>
        <v/>
      </c>
      <c r="D271" s="23">
        <f>INDEX($F$12:$F$18,C271)</f>
        <v/>
      </c>
      <c r="E271" s="27">
        <f>'1 Data'!I260</f>
        <v/>
      </c>
      <c r="F271" s="30">
        <f>COUNTIF($D$23:$D$1022,"&lt;"&amp;D271)+(COUNTIF($D$23:$D$1022,"="&amp;D271)+1)/2</f>
        <v/>
      </c>
    </row>
    <row r="272">
      <c r="B272" s="27">
        <f>'1 Data'!B261</f>
        <v/>
      </c>
      <c r="C272" s="29">
        <f>IF('1 Data'!E261&lt;=1.5,IF('1 Data'!F261&lt;=1.5,IF('1 Data'!G261&lt;=0.0003,1,2),IF('1 Data'!C261&lt;=165000,3,4)),IF('1 Data'!G261&lt;=0.0652,5,IF('1 Data'!G261&lt;=0.716,6,7)))</f>
        <v/>
      </c>
      <c r="D272" s="23">
        <f>INDEX($F$12:$F$18,C272)</f>
        <v/>
      </c>
      <c r="E272" s="27">
        <f>'1 Data'!I261</f>
        <v/>
      </c>
      <c r="F272" s="30">
        <f>COUNTIF($D$23:$D$1022,"&lt;"&amp;D272)+(COUNTIF($D$23:$D$1022,"="&amp;D272)+1)/2</f>
        <v/>
      </c>
    </row>
    <row r="273">
      <c r="B273" s="27">
        <f>'1 Data'!B262</f>
        <v/>
      </c>
      <c r="C273" s="29">
        <f>IF('1 Data'!E262&lt;=1.5,IF('1 Data'!F262&lt;=1.5,IF('1 Data'!G262&lt;=0.0003,1,2),IF('1 Data'!C262&lt;=165000,3,4)),IF('1 Data'!G262&lt;=0.0652,5,IF('1 Data'!G262&lt;=0.716,6,7)))</f>
        <v/>
      </c>
      <c r="D273" s="23">
        <f>INDEX($F$12:$F$18,C273)</f>
        <v/>
      </c>
      <c r="E273" s="27">
        <f>'1 Data'!I262</f>
        <v/>
      </c>
      <c r="F273" s="30">
        <f>COUNTIF($D$23:$D$1022,"&lt;"&amp;D273)+(COUNTIF($D$23:$D$1022,"="&amp;D273)+1)/2</f>
        <v/>
      </c>
    </row>
    <row r="274">
      <c r="B274" s="27">
        <f>'1 Data'!B263</f>
        <v/>
      </c>
      <c r="C274" s="29">
        <f>IF('1 Data'!E263&lt;=1.5,IF('1 Data'!F263&lt;=1.5,IF('1 Data'!G263&lt;=0.0003,1,2),IF('1 Data'!C263&lt;=165000,3,4)),IF('1 Data'!G263&lt;=0.0652,5,IF('1 Data'!G263&lt;=0.716,6,7)))</f>
        <v/>
      </c>
      <c r="D274" s="23">
        <f>INDEX($F$12:$F$18,C274)</f>
        <v/>
      </c>
      <c r="E274" s="27">
        <f>'1 Data'!I263</f>
        <v/>
      </c>
      <c r="F274" s="30">
        <f>COUNTIF($D$23:$D$1022,"&lt;"&amp;D274)+(COUNTIF($D$23:$D$1022,"="&amp;D274)+1)/2</f>
        <v/>
      </c>
    </row>
    <row r="275">
      <c r="B275" s="27">
        <f>'1 Data'!B264</f>
        <v/>
      </c>
      <c r="C275" s="29">
        <f>IF('1 Data'!E264&lt;=1.5,IF('1 Data'!F264&lt;=1.5,IF('1 Data'!G264&lt;=0.0003,1,2),IF('1 Data'!C264&lt;=165000,3,4)),IF('1 Data'!G264&lt;=0.0652,5,IF('1 Data'!G264&lt;=0.716,6,7)))</f>
        <v/>
      </c>
      <c r="D275" s="23">
        <f>INDEX($F$12:$F$18,C275)</f>
        <v/>
      </c>
      <c r="E275" s="27">
        <f>'1 Data'!I264</f>
        <v/>
      </c>
      <c r="F275" s="30">
        <f>COUNTIF($D$23:$D$1022,"&lt;"&amp;D275)+(COUNTIF($D$23:$D$1022,"="&amp;D275)+1)/2</f>
        <v/>
      </c>
    </row>
    <row r="276">
      <c r="B276" s="27">
        <f>'1 Data'!B265</f>
        <v/>
      </c>
      <c r="C276" s="29">
        <f>IF('1 Data'!E265&lt;=1.5,IF('1 Data'!F265&lt;=1.5,IF('1 Data'!G265&lt;=0.0003,1,2),IF('1 Data'!C265&lt;=165000,3,4)),IF('1 Data'!G265&lt;=0.0652,5,IF('1 Data'!G265&lt;=0.716,6,7)))</f>
        <v/>
      </c>
      <c r="D276" s="23">
        <f>INDEX($F$12:$F$18,C276)</f>
        <v/>
      </c>
      <c r="E276" s="27">
        <f>'1 Data'!I265</f>
        <v/>
      </c>
      <c r="F276" s="30">
        <f>COUNTIF($D$23:$D$1022,"&lt;"&amp;D276)+(COUNTIF($D$23:$D$1022,"="&amp;D276)+1)/2</f>
        <v/>
      </c>
    </row>
    <row r="277">
      <c r="B277" s="27">
        <f>'1 Data'!B266</f>
        <v/>
      </c>
      <c r="C277" s="29">
        <f>IF('1 Data'!E266&lt;=1.5,IF('1 Data'!F266&lt;=1.5,IF('1 Data'!G266&lt;=0.0003,1,2),IF('1 Data'!C266&lt;=165000,3,4)),IF('1 Data'!G266&lt;=0.0652,5,IF('1 Data'!G266&lt;=0.716,6,7)))</f>
        <v/>
      </c>
      <c r="D277" s="23">
        <f>INDEX($F$12:$F$18,C277)</f>
        <v/>
      </c>
      <c r="E277" s="27">
        <f>'1 Data'!I266</f>
        <v/>
      </c>
      <c r="F277" s="30">
        <f>COUNTIF($D$23:$D$1022,"&lt;"&amp;D277)+(COUNTIF($D$23:$D$1022,"="&amp;D277)+1)/2</f>
        <v/>
      </c>
    </row>
    <row r="278">
      <c r="B278" s="27">
        <f>'1 Data'!B267</f>
        <v/>
      </c>
      <c r="C278" s="29">
        <f>IF('1 Data'!E267&lt;=1.5,IF('1 Data'!F267&lt;=1.5,IF('1 Data'!G267&lt;=0.0003,1,2),IF('1 Data'!C267&lt;=165000,3,4)),IF('1 Data'!G267&lt;=0.0652,5,IF('1 Data'!G267&lt;=0.716,6,7)))</f>
        <v/>
      </c>
      <c r="D278" s="23">
        <f>INDEX($F$12:$F$18,C278)</f>
        <v/>
      </c>
      <c r="E278" s="27">
        <f>'1 Data'!I267</f>
        <v/>
      </c>
      <c r="F278" s="30">
        <f>COUNTIF($D$23:$D$1022,"&lt;"&amp;D278)+(COUNTIF($D$23:$D$1022,"="&amp;D278)+1)/2</f>
        <v/>
      </c>
    </row>
    <row r="279">
      <c r="B279" s="27">
        <f>'1 Data'!B268</f>
        <v/>
      </c>
      <c r="C279" s="29">
        <f>IF('1 Data'!E268&lt;=1.5,IF('1 Data'!F268&lt;=1.5,IF('1 Data'!G268&lt;=0.0003,1,2),IF('1 Data'!C268&lt;=165000,3,4)),IF('1 Data'!G268&lt;=0.0652,5,IF('1 Data'!G268&lt;=0.716,6,7)))</f>
        <v/>
      </c>
      <c r="D279" s="23">
        <f>INDEX($F$12:$F$18,C279)</f>
        <v/>
      </c>
      <c r="E279" s="27">
        <f>'1 Data'!I268</f>
        <v/>
      </c>
      <c r="F279" s="30">
        <f>COUNTIF($D$23:$D$1022,"&lt;"&amp;D279)+(COUNTIF($D$23:$D$1022,"="&amp;D279)+1)/2</f>
        <v/>
      </c>
    </row>
    <row r="280">
      <c r="B280" s="27">
        <f>'1 Data'!B269</f>
        <v/>
      </c>
      <c r="C280" s="29">
        <f>IF('1 Data'!E269&lt;=1.5,IF('1 Data'!F269&lt;=1.5,IF('1 Data'!G269&lt;=0.0003,1,2),IF('1 Data'!C269&lt;=165000,3,4)),IF('1 Data'!G269&lt;=0.0652,5,IF('1 Data'!G269&lt;=0.716,6,7)))</f>
        <v/>
      </c>
      <c r="D280" s="23">
        <f>INDEX($F$12:$F$18,C280)</f>
        <v/>
      </c>
      <c r="E280" s="27">
        <f>'1 Data'!I269</f>
        <v/>
      </c>
      <c r="F280" s="30">
        <f>COUNTIF($D$23:$D$1022,"&lt;"&amp;D280)+(COUNTIF($D$23:$D$1022,"="&amp;D280)+1)/2</f>
        <v/>
      </c>
    </row>
    <row r="281">
      <c r="B281" s="27">
        <f>'1 Data'!B270</f>
        <v/>
      </c>
      <c r="C281" s="29">
        <f>IF('1 Data'!E270&lt;=1.5,IF('1 Data'!F270&lt;=1.5,IF('1 Data'!G270&lt;=0.0003,1,2),IF('1 Data'!C270&lt;=165000,3,4)),IF('1 Data'!G270&lt;=0.0652,5,IF('1 Data'!G270&lt;=0.716,6,7)))</f>
        <v/>
      </c>
      <c r="D281" s="23">
        <f>INDEX($F$12:$F$18,C281)</f>
        <v/>
      </c>
      <c r="E281" s="27">
        <f>'1 Data'!I270</f>
        <v/>
      </c>
      <c r="F281" s="30">
        <f>COUNTIF($D$23:$D$1022,"&lt;"&amp;D281)+(COUNTIF($D$23:$D$1022,"="&amp;D281)+1)/2</f>
        <v/>
      </c>
    </row>
    <row r="282">
      <c r="B282" s="27">
        <f>'1 Data'!B271</f>
        <v/>
      </c>
      <c r="C282" s="29">
        <f>IF('1 Data'!E271&lt;=1.5,IF('1 Data'!F271&lt;=1.5,IF('1 Data'!G271&lt;=0.0003,1,2),IF('1 Data'!C271&lt;=165000,3,4)),IF('1 Data'!G271&lt;=0.0652,5,IF('1 Data'!G271&lt;=0.716,6,7)))</f>
        <v/>
      </c>
      <c r="D282" s="23">
        <f>INDEX($F$12:$F$18,C282)</f>
        <v/>
      </c>
      <c r="E282" s="27">
        <f>'1 Data'!I271</f>
        <v/>
      </c>
      <c r="F282" s="30">
        <f>COUNTIF($D$23:$D$1022,"&lt;"&amp;D282)+(COUNTIF($D$23:$D$1022,"="&amp;D282)+1)/2</f>
        <v/>
      </c>
    </row>
    <row r="283">
      <c r="B283" s="27">
        <f>'1 Data'!B272</f>
        <v/>
      </c>
      <c r="C283" s="29">
        <f>IF('1 Data'!E272&lt;=1.5,IF('1 Data'!F272&lt;=1.5,IF('1 Data'!G272&lt;=0.0003,1,2),IF('1 Data'!C272&lt;=165000,3,4)),IF('1 Data'!G272&lt;=0.0652,5,IF('1 Data'!G272&lt;=0.716,6,7)))</f>
        <v/>
      </c>
      <c r="D283" s="23">
        <f>INDEX($F$12:$F$18,C283)</f>
        <v/>
      </c>
      <c r="E283" s="27">
        <f>'1 Data'!I272</f>
        <v/>
      </c>
      <c r="F283" s="30">
        <f>COUNTIF($D$23:$D$1022,"&lt;"&amp;D283)+(COUNTIF($D$23:$D$1022,"="&amp;D283)+1)/2</f>
        <v/>
      </c>
    </row>
    <row r="284">
      <c r="B284" s="27">
        <f>'1 Data'!B273</f>
        <v/>
      </c>
      <c r="C284" s="29">
        <f>IF('1 Data'!E273&lt;=1.5,IF('1 Data'!F273&lt;=1.5,IF('1 Data'!G273&lt;=0.0003,1,2),IF('1 Data'!C273&lt;=165000,3,4)),IF('1 Data'!G273&lt;=0.0652,5,IF('1 Data'!G273&lt;=0.716,6,7)))</f>
        <v/>
      </c>
      <c r="D284" s="23">
        <f>INDEX($F$12:$F$18,C284)</f>
        <v/>
      </c>
      <c r="E284" s="27">
        <f>'1 Data'!I273</f>
        <v/>
      </c>
      <c r="F284" s="30">
        <f>COUNTIF($D$23:$D$1022,"&lt;"&amp;D284)+(COUNTIF($D$23:$D$1022,"="&amp;D284)+1)/2</f>
        <v/>
      </c>
    </row>
    <row r="285">
      <c r="B285" s="27">
        <f>'1 Data'!B274</f>
        <v/>
      </c>
      <c r="C285" s="29">
        <f>IF('1 Data'!E274&lt;=1.5,IF('1 Data'!F274&lt;=1.5,IF('1 Data'!G274&lt;=0.0003,1,2),IF('1 Data'!C274&lt;=165000,3,4)),IF('1 Data'!G274&lt;=0.0652,5,IF('1 Data'!G274&lt;=0.716,6,7)))</f>
        <v/>
      </c>
      <c r="D285" s="23">
        <f>INDEX($F$12:$F$18,C285)</f>
        <v/>
      </c>
      <c r="E285" s="27">
        <f>'1 Data'!I274</f>
        <v/>
      </c>
      <c r="F285" s="30">
        <f>COUNTIF($D$23:$D$1022,"&lt;"&amp;D285)+(COUNTIF($D$23:$D$1022,"="&amp;D285)+1)/2</f>
        <v/>
      </c>
    </row>
    <row r="286">
      <c r="B286" s="27">
        <f>'1 Data'!B275</f>
        <v/>
      </c>
      <c r="C286" s="29">
        <f>IF('1 Data'!E275&lt;=1.5,IF('1 Data'!F275&lt;=1.5,IF('1 Data'!G275&lt;=0.0003,1,2),IF('1 Data'!C275&lt;=165000,3,4)),IF('1 Data'!G275&lt;=0.0652,5,IF('1 Data'!G275&lt;=0.716,6,7)))</f>
        <v/>
      </c>
      <c r="D286" s="23">
        <f>INDEX($F$12:$F$18,C286)</f>
        <v/>
      </c>
      <c r="E286" s="27">
        <f>'1 Data'!I275</f>
        <v/>
      </c>
      <c r="F286" s="30">
        <f>COUNTIF($D$23:$D$1022,"&lt;"&amp;D286)+(COUNTIF($D$23:$D$1022,"="&amp;D286)+1)/2</f>
        <v/>
      </c>
    </row>
    <row r="287">
      <c r="B287" s="27">
        <f>'1 Data'!B276</f>
        <v/>
      </c>
      <c r="C287" s="29">
        <f>IF('1 Data'!E276&lt;=1.5,IF('1 Data'!F276&lt;=1.5,IF('1 Data'!G276&lt;=0.0003,1,2),IF('1 Data'!C276&lt;=165000,3,4)),IF('1 Data'!G276&lt;=0.0652,5,IF('1 Data'!G276&lt;=0.716,6,7)))</f>
        <v/>
      </c>
      <c r="D287" s="23">
        <f>INDEX($F$12:$F$18,C287)</f>
        <v/>
      </c>
      <c r="E287" s="27">
        <f>'1 Data'!I276</f>
        <v/>
      </c>
      <c r="F287" s="30">
        <f>COUNTIF($D$23:$D$1022,"&lt;"&amp;D287)+(COUNTIF($D$23:$D$1022,"="&amp;D287)+1)/2</f>
        <v/>
      </c>
    </row>
    <row r="288">
      <c r="B288" s="27">
        <f>'1 Data'!B277</f>
        <v/>
      </c>
      <c r="C288" s="29">
        <f>IF('1 Data'!E277&lt;=1.5,IF('1 Data'!F277&lt;=1.5,IF('1 Data'!G277&lt;=0.0003,1,2),IF('1 Data'!C277&lt;=165000,3,4)),IF('1 Data'!G277&lt;=0.0652,5,IF('1 Data'!G277&lt;=0.716,6,7)))</f>
        <v/>
      </c>
      <c r="D288" s="23">
        <f>INDEX($F$12:$F$18,C288)</f>
        <v/>
      </c>
      <c r="E288" s="27">
        <f>'1 Data'!I277</f>
        <v/>
      </c>
      <c r="F288" s="30">
        <f>COUNTIF($D$23:$D$1022,"&lt;"&amp;D288)+(COUNTIF($D$23:$D$1022,"="&amp;D288)+1)/2</f>
        <v/>
      </c>
    </row>
    <row r="289">
      <c r="B289" s="27">
        <f>'1 Data'!B278</f>
        <v/>
      </c>
      <c r="C289" s="29">
        <f>IF('1 Data'!E278&lt;=1.5,IF('1 Data'!F278&lt;=1.5,IF('1 Data'!G278&lt;=0.0003,1,2),IF('1 Data'!C278&lt;=165000,3,4)),IF('1 Data'!G278&lt;=0.0652,5,IF('1 Data'!G278&lt;=0.716,6,7)))</f>
        <v/>
      </c>
      <c r="D289" s="23">
        <f>INDEX($F$12:$F$18,C289)</f>
        <v/>
      </c>
      <c r="E289" s="27">
        <f>'1 Data'!I278</f>
        <v/>
      </c>
      <c r="F289" s="30">
        <f>COUNTIF($D$23:$D$1022,"&lt;"&amp;D289)+(COUNTIF($D$23:$D$1022,"="&amp;D289)+1)/2</f>
        <v/>
      </c>
    </row>
    <row r="290">
      <c r="B290" s="27">
        <f>'1 Data'!B279</f>
        <v/>
      </c>
      <c r="C290" s="29">
        <f>IF('1 Data'!E279&lt;=1.5,IF('1 Data'!F279&lt;=1.5,IF('1 Data'!G279&lt;=0.0003,1,2),IF('1 Data'!C279&lt;=165000,3,4)),IF('1 Data'!G279&lt;=0.0652,5,IF('1 Data'!G279&lt;=0.716,6,7)))</f>
        <v/>
      </c>
      <c r="D290" s="23">
        <f>INDEX($F$12:$F$18,C290)</f>
        <v/>
      </c>
      <c r="E290" s="27">
        <f>'1 Data'!I279</f>
        <v/>
      </c>
      <c r="F290" s="30">
        <f>COUNTIF($D$23:$D$1022,"&lt;"&amp;D290)+(COUNTIF($D$23:$D$1022,"="&amp;D290)+1)/2</f>
        <v/>
      </c>
    </row>
    <row r="291">
      <c r="B291" s="27">
        <f>'1 Data'!B280</f>
        <v/>
      </c>
      <c r="C291" s="29">
        <f>IF('1 Data'!E280&lt;=1.5,IF('1 Data'!F280&lt;=1.5,IF('1 Data'!G280&lt;=0.0003,1,2),IF('1 Data'!C280&lt;=165000,3,4)),IF('1 Data'!G280&lt;=0.0652,5,IF('1 Data'!G280&lt;=0.716,6,7)))</f>
        <v/>
      </c>
      <c r="D291" s="23">
        <f>INDEX($F$12:$F$18,C291)</f>
        <v/>
      </c>
      <c r="E291" s="27">
        <f>'1 Data'!I280</f>
        <v/>
      </c>
      <c r="F291" s="30">
        <f>COUNTIF($D$23:$D$1022,"&lt;"&amp;D291)+(COUNTIF($D$23:$D$1022,"="&amp;D291)+1)/2</f>
        <v/>
      </c>
    </row>
    <row r="292">
      <c r="B292" s="27">
        <f>'1 Data'!B281</f>
        <v/>
      </c>
      <c r="C292" s="29">
        <f>IF('1 Data'!E281&lt;=1.5,IF('1 Data'!F281&lt;=1.5,IF('1 Data'!G281&lt;=0.0003,1,2),IF('1 Data'!C281&lt;=165000,3,4)),IF('1 Data'!G281&lt;=0.0652,5,IF('1 Data'!G281&lt;=0.716,6,7)))</f>
        <v/>
      </c>
      <c r="D292" s="23">
        <f>INDEX($F$12:$F$18,C292)</f>
        <v/>
      </c>
      <c r="E292" s="27">
        <f>'1 Data'!I281</f>
        <v/>
      </c>
      <c r="F292" s="30">
        <f>COUNTIF($D$23:$D$1022,"&lt;"&amp;D292)+(COUNTIF($D$23:$D$1022,"="&amp;D292)+1)/2</f>
        <v/>
      </c>
    </row>
    <row r="293">
      <c r="B293" s="27">
        <f>'1 Data'!B282</f>
        <v/>
      </c>
      <c r="C293" s="29">
        <f>IF('1 Data'!E282&lt;=1.5,IF('1 Data'!F282&lt;=1.5,IF('1 Data'!G282&lt;=0.0003,1,2),IF('1 Data'!C282&lt;=165000,3,4)),IF('1 Data'!G282&lt;=0.0652,5,IF('1 Data'!G282&lt;=0.716,6,7)))</f>
        <v/>
      </c>
      <c r="D293" s="23">
        <f>INDEX($F$12:$F$18,C293)</f>
        <v/>
      </c>
      <c r="E293" s="27">
        <f>'1 Data'!I282</f>
        <v/>
      </c>
      <c r="F293" s="30">
        <f>COUNTIF($D$23:$D$1022,"&lt;"&amp;D293)+(COUNTIF($D$23:$D$1022,"="&amp;D293)+1)/2</f>
        <v/>
      </c>
    </row>
    <row r="294">
      <c r="B294" s="27">
        <f>'1 Data'!B283</f>
        <v/>
      </c>
      <c r="C294" s="29">
        <f>IF('1 Data'!E283&lt;=1.5,IF('1 Data'!F283&lt;=1.5,IF('1 Data'!G283&lt;=0.0003,1,2),IF('1 Data'!C283&lt;=165000,3,4)),IF('1 Data'!G283&lt;=0.0652,5,IF('1 Data'!G283&lt;=0.716,6,7)))</f>
        <v/>
      </c>
      <c r="D294" s="23">
        <f>INDEX($F$12:$F$18,C294)</f>
        <v/>
      </c>
      <c r="E294" s="27">
        <f>'1 Data'!I283</f>
        <v/>
      </c>
      <c r="F294" s="30">
        <f>COUNTIF($D$23:$D$1022,"&lt;"&amp;D294)+(COUNTIF($D$23:$D$1022,"="&amp;D294)+1)/2</f>
        <v/>
      </c>
    </row>
    <row r="295">
      <c r="B295" s="27">
        <f>'1 Data'!B284</f>
        <v/>
      </c>
      <c r="C295" s="29">
        <f>IF('1 Data'!E284&lt;=1.5,IF('1 Data'!F284&lt;=1.5,IF('1 Data'!G284&lt;=0.0003,1,2),IF('1 Data'!C284&lt;=165000,3,4)),IF('1 Data'!G284&lt;=0.0652,5,IF('1 Data'!G284&lt;=0.716,6,7)))</f>
        <v/>
      </c>
      <c r="D295" s="23">
        <f>INDEX($F$12:$F$18,C295)</f>
        <v/>
      </c>
      <c r="E295" s="27">
        <f>'1 Data'!I284</f>
        <v/>
      </c>
      <c r="F295" s="30">
        <f>COUNTIF($D$23:$D$1022,"&lt;"&amp;D295)+(COUNTIF($D$23:$D$1022,"="&amp;D295)+1)/2</f>
        <v/>
      </c>
    </row>
    <row r="296">
      <c r="B296" s="27">
        <f>'1 Data'!B285</f>
        <v/>
      </c>
      <c r="C296" s="29">
        <f>IF('1 Data'!E285&lt;=1.5,IF('1 Data'!F285&lt;=1.5,IF('1 Data'!G285&lt;=0.0003,1,2),IF('1 Data'!C285&lt;=165000,3,4)),IF('1 Data'!G285&lt;=0.0652,5,IF('1 Data'!G285&lt;=0.716,6,7)))</f>
        <v/>
      </c>
      <c r="D296" s="23">
        <f>INDEX($F$12:$F$18,C296)</f>
        <v/>
      </c>
      <c r="E296" s="27">
        <f>'1 Data'!I285</f>
        <v/>
      </c>
      <c r="F296" s="30">
        <f>COUNTIF($D$23:$D$1022,"&lt;"&amp;D296)+(COUNTIF($D$23:$D$1022,"="&amp;D296)+1)/2</f>
        <v/>
      </c>
    </row>
    <row r="297">
      <c r="B297" s="27">
        <f>'1 Data'!B286</f>
        <v/>
      </c>
      <c r="C297" s="29">
        <f>IF('1 Data'!E286&lt;=1.5,IF('1 Data'!F286&lt;=1.5,IF('1 Data'!G286&lt;=0.0003,1,2),IF('1 Data'!C286&lt;=165000,3,4)),IF('1 Data'!G286&lt;=0.0652,5,IF('1 Data'!G286&lt;=0.716,6,7)))</f>
        <v/>
      </c>
      <c r="D297" s="23">
        <f>INDEX($F$12:$F$18,C297)</f>
        <v/>
      </c>
      <c r="E297" s="27">
        <f>'1 Data'!I286</f>
        <v/>
      </c>
      <c r="F297" s="30">
        <f>COUNTIF($D$23:$D$1022,"&lt;"&amp;D297)+(COUNTIF($D$23:$D$1022,"="&amp;D297)+1)/2</f>
        <v/>
      </c>
    </row>
    <row r="298">
      <c r="B298" s="27">
        <f>'1 Data'!B287</f>
        <v/>
      </c>
      <c r="C298" s="29">
        <f>IF('1 Data'!E287&lt;=1.5,IF('1 Data'!F287&lt;=1.5,IF('1 Data'!G287&lt;=0.0003,1,2),IF('1 Data'!C287&lt;=165000,3,4)),IF('1 Data'!G287&lt;=0.0652,5,IF('1 Data'!G287&lt;=0.716,6,7)))</f>
        <v/>
      </c>
      <c r="D298" s="23">
        <f>INDEX($F$12:$F$18,C298)</f>
        <v/>
      </c>
      <c r="E298" s="27">
        <f>'1 Data'!I287</f>
        <v/>
      </c>
      <c r="F298" s="30">
        <f>COUNTIF($D$23:$D$1022,"&lt;"&amp;D298)+(COUNTIF($D$23:$D$1022,"="&amp;D298)+1)/2</f>
        <v/>
      </c>
    </row>
    <row r="299">
      <c r="B299" s="27">
        <f>'1 Data'!B288</f>
        <v/>
      </c>
      <c r="C299" s="29">
        <f>IF('1 Data'!E288&lt;=1.5,IF('1 Data'!F288&lt;=1.5,IF('1 Data'!G288&lt;=0.0003,1,2),IF('1 Data'!C288&lt;=165000,3,4)),IF('1 Data'!G288&lt;=0.0652,5,IF('1 Data'!G288&lt;=0.716,6,7)))</f>
        <v/>
      </c>
      <c r="D299" s="23">
        <f>INDEX($F$12:$F$18,C299)</f>
        <v/>
      </c>
      <c r="E299" s="27">
        <f>'1 Data'!I288</f>
        <v/>
      </c>
      <c r="F299" s="30">
        <f>COUNTIF($D$23:$D$1022,"&lt;"&amp;D299)+(COUNTIF($D$23:$D$1022,"="&amp;D299)+1)/2</f>
        <v/>
      </c>
    </row>
    <row r="300">
      <c r="B300" s="27">
        <f>'1 Data'!B289</f>
        <v/>
      </c>
      <c r="C300" s="29">
        <f>IF('1 Data'!E289&lt;=1.5,IF('1 Data'!F289&lt;=1.5,IF('1 Data'!G289&lt;=0.0003,1,2),IF('1 Data'!C289&lt;=165000,3,4)),IF('1 Data'!G289&lt;=0.0652,5,IF('1 Data'!G289&lt;=0.716,6,7)))</f>
        <v/>
      </c>
      <c r="D300" s="23">
        <f>INDEX($F$12:$F$18,C300)</f>
        <v/>
      </c>
      <c r="E300" s="27">
        <f>'1 Data'!I289</f>
        <v/>
      </c>
      <c r="F300" s="30">
        <f>COUNTIF($D$23:$D$1022,"&lt;"&amp;D300)+(COUNTIF($D$23:$D$1022,"="&amp;D300)+1)/2</f>
        <v/>
      </c>
    </row>
    <row r="301">
      <c r="B301" s="27">
        <f>'1 Data'!B290</f>
        <v/>
      </c>
      <c r="C301" s="29">
        <f>IF('1 Data'!E290&lt;=1.5,IF('1 Data'!F290&lt;=1.5,IF('1 Data'!G290&lt;=0.0003,1,2),IF('1 Data'!C290&lt;=165000,3,4)),IF('1 Data'!G290&lt;=0.0652,5,IF('1 Data'!G290&lt;=0.716,6,7)))</f>
        <v/>
      </c>
      <c r="D301" s="23">
        <f>INDEX($F$12:$F$18,C301)</f>
        <v/>
      </c>
      <c r="E301" s="27">
        <f>'1 Data'!I290</f>
        <v/>
      </c>
      <c r="F301" s="30">
        <f>COUNTIF($D$23:$D$1022,"&lt;"&amp;D301)+(COUNTIF($D$23:$D$1022,"="&amp;D301)+1)/2</f>
        <v/>
      </c>
    </row>
    <row r="302">
      <c r="B302" s="27">
        <f>'1 Data'!B291</f>
        <v/>
      </c>
      <c r="C302" s="29">
        <f>IF('1 Data'!E291&lt;=1.5,IF('1 Data'!F291&lt;=1.5,IF('1 Data'!G291&lt;=0.0003,1,2),IF('1 Data'!C291&lt;=165000,3,4)),IF('1 Data'!G291&lt;=0.0652,5,IF('1 Data'!G291&lt;=0.716,6,7)))</f>
        <v/>
      </c>
      <c r="D302" s="23">
        <f>INDEX($F$12:$F$18,C302)</f>
        <v/>
      </c>
      <c r="E302" s="27">
        <f>'1 Data'!I291</f>
        <v/>
      </c>
      <c r="F302" s="30">
        <f>COUNTIF($D$23:$D$1022,"&lt;"&amp;D302)+(COUNTIF($D$23:$D$1022,"="&amp;D302)+1)/2</f>
        <v/>
      </c>
    </row>
    <row r="303">
      <c r="B303" s="27">
        <f>'1 Data'!B292</f>
        <v/>
      </c>
      <c r="C303" s="29">
        <f>IF('1 Data'!E292&lt;=1.5,IF('1 Data'!F292&lt;=1.5,IF('1 Data'!G292&lt;=0.0003,1,2),IF('1 Data'!C292&lt;=165000,3,4)),IF('1 Data'!G292&lt;=0.0652,5,IF('1 Data'!G292&lt;=0.716,6,7)))</f>
        <v/>
      </c>
      <c r="D303" s="23">
        <f>INDEX($F$12:$F$18,C303)</f>
        <v/>
      </c>
      <c r="E303" s="27">
        <f>'1 Data'!I292</f>
        <v/>
      </c>
      <c r="F303" s="30">
        <f>COUNTIF($D$23:$D$1022,"&lt;"&amp;D303)+(COUNTIF($D$23:$D$1022,"="&amp;D303)+1)/2</f>
        <v/>
      </c>
    </row>
    <row r="304">
      <c r="B304" s="27">
        <f>'1 Data'!B293</f>
        <v/>
      </c>
      <c r="C304" s="29">
        <f>IF('1 Data'!E293&lt;=1.5,IF('1 Data'!F293&lt;=1.5,IF('1 Data'!G293&lt;=0.0003,1,2),IF('1 Data'!C293&lt;=165000,3,4)),IF('1 Data'!G293&lt;=0.0652,5,IF('1 Data'!G293&lt;=0.716,6,7)))</f>
        <v/>
      </c>
      <c r="D304" s="23">
        <f>INDEX($F$12:$F$18,C304)</f>
        <v/>
      </c>
      <c r="E304" s="27">
        <f>'1 Data'!I293</f>
        <v/>
      </c>
      <c r="F304" s="30">
        <f>COUNTIF($D$23:$D$1022,"&lt;"&amp;D304)+(COUNTIF($D$23:$D$1022,"="&amp;D304)+1)/2</f>
        <v/>
      </c>
    </row>
    <row r="305">
      <c r="B305" s="27">
        <f>'1 Data'!B294</f>
        <v/>
      </c>
      <c r="C305" s="29">
        <f>IF('1 Data'!E294&lt;=1.5,IF('1 Data'!F294&lt;=1.5,IF('1 Data'!G294&lt;=0.0003,1,2),IF('1 Data'!C294&lt;=165000,3,4)),IF('1 Data'!G294&lt;=0.0652,5,IF('1 Data'!G294&lt;=0.716,6,7)))</f>
        <v/>
      </c>
      <c r="D305" s="23">
        <f>INDEX($F$12:$F$18,C305)</f>
        <v/>
      </c>
      <c r="E305" s="27">
        <f>'1 Data'!I294</f>
        <v/>
      </c>
      <c r="F305" s="30">
        <f>COUNTIF($D$23:$D$1022,"&lt;"&amp;D305)+(COUNTIF($D$23:$D$1022,"="&amp;D305)+1)/2</f>
        <v/>
      </c>
    </row>
    <row r="306">
      <c r="B306" s="27">
        <f>'1 Data'!B295</f>
        <v/>
      </c>
      <c r="C306" s="29">
        <f>IF('1 Data'!E295&lt;=1.5,IF('1 Data'!F295&lt;=1.5,IF('1 Data'!G295&lt;=0.0003,1,2),IF('1 Data'!C295&lt;=165000,3,4)),IF('1 Data'!G295&lt;=0.0652,5,IF('1 Data'!G295&lt;=0.716,6,7)))</f>
        <v/>
      </c>
      <c r="D306" s="23">
        <f>INDEX($F$12:$F$18,C306)</f>
        <v/>
      </c>
      <c r="E306" s="27">
        <f>'1 Data'!I295</f>
        <v/>
      </c>
      <c r="F306" s="30">
        <f>COUNTIF($D$23:$D$1022,"&lt;"&amp;D306)+(COUNTIF($D$23:$D$1022,"="&amp;D306)+1)/2</f>
        <v/>
      </c>
    </row>
    <row r="307">
      <c r="B307" s="27">
        <f>'1 Data'!B296</f>
        <v/>
      </c>
      <c r="C307" s="29">
        <f>IF('1 Data'!E296&lt;=1.5,IF('1 Data'!F296&lt;=1.5,IF('1 Data'!G296&lt;=0.0003,1,2),IF('1 Data'!C296&lt;=165000,3,4)),IF('1 Data'!G296&lt;=0.0652,5,IF('1 Data'!G296&lt;=0.716,6,7)))</f>
        <v/>
      </c>
      <c r="D307" s="23">
        <f>INDEX($F$12:$F$18,C307)</f>
        <v/>
      </c>
      <c r="E307" s="27">
        <f>'1 Data'!I296</f>
        <v/>
      </c>
      <c r="F307" s="30">
        <f>COUNTIF($D$23:$D$1022,"&lt;"&amp;D307)+(COUNTIF($D$23:$D$1022,"="&amp;D307)+1)/2</f>
        <v/>
      </c>
    </row>
    <row r="308">
      <c r="B308" s="27">
        <f>'1 Data'!B297</f>
        <v/>
      </c>
      <c r="C308" s="29">
        <f>IF('1 Data'!E297&lt;=1.5,IF('1 Data'!F297&lt;=1.5,IF('1 Data'!G297&lt;=0.0003,1,2),IF('1 Data'!C297&lt;=165000,3,4)),IF('1 Data'!G297&lt;=0.0652,5,IF('1 Data'!G297&lt;=0.716,6,7)))</f>
        <v/>
      </c>
      <c r="D308" s="23">
        <f>INDEX($F$12:$F$18,C308)</f>
        <v/>
      </c>
      <c r="E308" s="27">
        <f>'1 Data'!I297</f>
        <v/>
      </c>
      <c r="F308" s="30">
        <f>COUNTIF($D$23:$D$1022,"&lt;"&amp;D308)+(COUNTIF($D$23:$D$1022,"="&amp;D308)+1)/2</f>
        <v/>
      </c>
    </row>
    <row r="309">
      <c r="B309" s="27">
        <f>'1 Data'!B298</f>
        <v/>
      </c>
      <c r="C309" s="29">
        <f>IF('1 Data'!E298&lt;=1.5,IF('1 Data'!F298&lt;=1.5,IF('1 Data'!G298&lt;=0.0003,1,2),IF('1 Data'!C298&lt;=165000,3,4)),IF('1 Data'!G298&lt;=0.0652,5,IF('1 Data'!G298&lt;=0.716,6,7)))</f>
        <v/>
      </c>
      <c r="D309" s="23">
        <f>INDEX($F$12:$F$18,C309)</f>
        <v/>
      </c>
      <c r="E309" s="27">
        <f>'1 Data'!I298</f>
        <v/>
      </c>
      <c r="F309" s="30">
        <f>COUNTIF($D$23:$D$1022,"&lt;"&amp;D309)+(COUNTIF($D$23:$D$1022,"="&amp;D309)+1)/2</f>
        <v/>
      </c>
    </row>
    <row r="310">
      <c r="B310" s="27">
        <f>'1 Data'!B299</f>
        <v/>
      </c>
      <c r="C310" s="29">
        <f>IF('1 Data'!E299&lt;=1.5,IF('1 Data'!F299&lt;=1.5,IF('1 Data'!G299&lt;=0.0003,1,2),IF('1 Data'!C299&lt;=165000,3,4)),IF('1 Data'!G299&lt;=0.0652,5,IF('1 Data'!G299&lt;=0.716,6,7)))</f>
        <v/>
      </c>
      <c r="D310" s="23">
        <f>INDEX($F$12:$F$18,C310)</f>
        <v/>
      </c>
      <c r="E310" s="27">
        <f>'1 Data'!I299</f>
        <v/>
      </c>
      <c r="F310" s="30">
        <f>COUNTIF($D$23:$D$1022,"&lt;"&amp;D310)+(COUNTIF($D$23:$D$1022,"="&amp;D310)+1)/2</f>
        <v/>
      </c>
    </row>
    <row r="311">
      <c r="B311" s="27">
        <f>'1 Data'!B300</f>
        <v/>
      </c>
      <c r="C311" s="29">
        <f>IF('1 Data'!E300&lt;=1.5,IF('1 Data'!F300&lt;=1.5,IF('1 Data'!G300&lt;=0.0003,1,2),IF('1 Data'!C300&lt;=165000,3,4)),IF('1 Data'!G300&lt;=0.0652,5,IF('1 Data'!G300&lt;=0.716,6,7)))</f>
        <v/>
      </c>
      <c r="D311" s="23">
        <f>INDEX($F$12:$F$18,C311)</f>
        <v/>
      </c>
      <c r="E311" s="27">
        <f>'1 Data'!I300</f>
        <v/>
      </c>
      <c r="F311" s="30">
        <f>COUNTIF($D$23:$D$1022,"&lt;"&amp;D311)+(COUNTIF($D$23:$D$1022,"="&amp;D311)+1)/2</f>
        <v/>
      </c>
    </row>
    <row r="312">
      <c r="B312" s="27">
        <f>'1 Data'!B301</f>
        <v/>
      </c>
      <c r="C312" s="29">
        <f>IF('1 Data'!E301&lt;=1.5,IF('1 Data'!F301&lt;=1.5,IF('1 Data'!G301&lt;=0.0003,1,2),IF('1 Data'!C301&lt;=165000,3,4)),IF('1 Data'!G301&lt;=0.0652,5,IF('1 Data'!G301&lt;=0.716,6,7)))</f>
        <v/>
      </c>
      <c r="D312" s="23">
        <f>INDEX($F$12:$F$18,C312)</f>
        <v/>
      </c>
      <c r="E312" s="27">
        <f>'1 Data'!I301</f>
        <v/>
      </c>
      <c r="F312" s="30">
        <f>COUNTIF($D$23:$D$1022,"&lt;"&amp;D312)+(COUNTIF($D$23:$D$1022,"="&amp;D312)+1)/2</f>
        <v/>
      </c>
    </row>
    <row r="313">
      <c r="B313" s="27">
        <f>'1 Data'!B302</f>
        <v/>
      </c>
      <c r="C313" s="29">
        <f>IF('1 Data'!E302&lt;=1.5,IF('1 Data'!F302&lt;=1.5,IF('1 Data'!G302&lt;=0.0003,1,2),IF('1 Data'!C302&lt;=165000,3,4)),IF('1 Data'!G302&lt;=0.0652,5,IF('1 Data'!G302&lt;=0.716,6,7)))</f>
        <v/>
      </c>
      <c r="D313" s="23">
        <f>INDEX($F$12:$F$18,C313)</f>
        <v/>
      </c>
      <c r="E313" s="27">
        <f>'1 Data'!I302</f>
        <v/>
      </c>
      <c r="F313" s="30">
        <f>COUNTIF($D$23:$D$1022,"&lt;"&amp;D313)+(COUNTIF($D$23:$D$1022,"="&amp;D313)+1)/2</f>
        <v/>
      </c>
    </row>
    <row r="314">
      <c r="B314" s="27">
        <f>'1 Data'!B303</f>
        <v/>
      </c>
      <c r="C314" s="29">
        <f>IF('1 Data'!E303&lt;=1.5,IF('1 Data'!F303&lt;=1.5,IF('1 Data'!G303&lt;=0.0003,1,2),IF('1 Data'!C303&lt;=165000,3,4)),IF('1 Data'!G303&lt;=0.0652,5,IF('1 Data'!G303&lt;=0.716,6,7)))</f>
        <v/>
      </c>
      <c r="D314" s="23">
        <f>INDEX($F$12:$F$18,C314)</f>
        <v/>
      </c>
      <c r="E314" s="27">
        <f>'1 Data'!I303</f>
        <v/>
      </c>
      <c r="F314" s="30">
        <f>COUNTIF($D$23:$D$1022,"&lt;"&amp;D314)+(COUNTIF($D$23:$D$1022,"="&amp;D314)+1)/2</f>
        <v/>
      </c>
    </row>
    <row r="315">
      <c r="B315" s="27">
        <f>'1 Data'!B304</f>
        <v/>
      </c>
      <c r="C315" s="29">
        <f>IF('1 Data'!E304&lt;=1.5,IF('1 Data'!F304&lt;=1.5,IF('1 Data'!G304&lt;=0.0003,1,2),IF('1 Data'!C304&lt;=165000,3,4)),IF('1 Data'!G304&lt;=0.0652,5,IF('1 Data'!G304&lt;=0.716,6,7)))</f>
        <v/>
      </c>
      <c r="D315" s="23">
        <f>INDEX($F$12:$F$18,C315)</f>
        <v/>
      </c>
      <c r="E315" s="27">
        <f>'1 Data'!I304</f>
        <v/>
      </c>
      <c r="F315" s="30">
        <f>COUNTIF($D$23:$D$1022,"&lt;"&amp;D315)+(COUNTIF($D$23:$D$1022,"="&amp;D315)+1)/2</f>
        <v/>
      </c>
    </row>
    <row r="316">
      <c r="B316" s="27">
        <f>'1 Data'!B305</f>
        <v/>
      </c>
      <c r="C316" s="29">
        <f>IF('1 Data'!E305&lt;=1.5,IF('1 Data'!F305&lt;=1.5,IF('1 Data'!G305&lt;=0.0003,1,2),IF('1 Data'!C305&lt;=165000,3,4)),IF('1 Data'!G305&lt;=0.0652,5,IF('1 Data'!G305&lt;=0.716,6,7)))</f>
        <v/>
      </c>
      <c r="D316" s="23">
        <f>INDEX($F$12:$F$18,C316)</f>
        <v/>
      </c>
      <c r="E316" s="27">
        <f>'1 Data'!I305</f>
        <v/>
      </c>
      <c r="F316" s="30">
        <f>COUNTIF($D$23:$D$1022,"&lt;"&amp;D316)+(COUNTIF($D$23:$D$1022,"="&amp;D316)+1)/2</f>
        <v/>
      </c>
    </row>
    <row r="317">
      <c r="B317" s="27">
        <f>'1 Data'!B306</f>
        <v/>
      </c>
      <c r="C317" s="29">
        <f>IF('1 Data'!E306&lt;=1.5,IF('1 Data'!F306&lt;=1.5,IF('1 Data'!G306&lt;=0.0003,1,2),IF('1 Data'!C306&lt;=165000,3,4)),IF('1 Data'!G306&lt;=0.0652,5,IF('1 Data'!G306&lt;=0.716,6,7)))</f>
        <v/>
      </c>
      <c r="D317" s="23">
        <f>INDEX($F$12:$F$18,C317)</f>
        <v/>
      </c>
      <c r="E317" s="27">
        <f>'1 Data'!I306</f>
        <v/>
      </c>
      <c r="F317" s="30">
        <f>COUNTIF($D$23:$D$1022,"&lt;"&amp;D317)+(COUNTIF($D$23:$D$1022,"="&amp;D317)+1)/2</f>
        <v/>
      </c>
    </row>
    <row r="318">
      <c r="B318" s="27">
        <f>'1 Data'!B307</f>
        <v/>
      </c>
      <c r="C318" s="29">
        <f>IF('1 Data'!E307&lt;=1.5,IF('1 Data'!F307&lt;=1.5,IF('1 Data'!G307&lt;=0.0003,1,2),IF('1 Data'!C307&lt;=165000,3,4)),IF('1 Data'!G307&lt;=0.0652,5,IF('1 Data'!G307&lt;=0.716,6,7)))</f>
        <v/>
      </c>
      <c r="D318" s="23">
        <f>INDEX($F$12:$F$18,C318)</f>
        <v/>
      </c>
      <c r="E318" s="27">
        <f>'1 Data'!I307</f>
        <v/>
      </c>
      <c r="F318" s="30">
        <f>COUNTIF($D$23:$D$1022,"&lt;"&amp;D318)+(COUNTIF($D$23:$D$1022,"="&amp;D318)+1)/2</f>
        <v/>
      </c>
    </row>
    <row r="319">
      <c r="B319" s="27">
        <f>'1 Data'!B308</f>
        <v/>
      </c>
      <c r="C319" s="29">
        <f>IF('1 Data'!E308&lt;=1.5,IF('1 Data'!F308&lt;=1.5,IF('1 Data'!G308&lt;=0.0003,1,2),IF('1 Data'!C308&lt;=165000,3,4)),IF('1 Data'!G308&lt;=0.0652,5,IF('1 Data'!G308&lt;=0.716,6,7)))</f>
        <v/>
      </c>
      <c r="D319" s="23">
        <f>INDEX($F$12:$F$18,C319)</f>
        <v/>
      </c>
      <c r="E319" s="27">
        <f>'1 Data'!I308</f>
        <v/>
      </c>
      <c r="F319" s="30">
        <f>COUNTIF($D$23:$D$1022,"&lt;"&amp;D319)+(COUNTIF($D$23:$D$1022,"="&amp;D319)+1)/2</f>
        <v/>
      </c>
    </row>
    <row r="320">
      <c r="B320" s="27">
        <f>'1 Data'!B309</f>
        <v/>
      </c>
      <c r="C320" s="29">
        <f>IF('1 Data'!E309&lt;=1.5,IF('1 Data'!F309&lt;=1.5,IF('1 Data'!G309&lt;=0.0003,1,2),IF('1 Data'!C309&lt;=165000,3,4)),IF('1 Data'!G309&lt;=0.0652,5,IF('1 Data'!G309&lt;=0.716,6,7)))</f>
        <v/>
      </c>
      <c r="D320" s="23">
        <f>INDEX($F$12:$F$18,C320)</f>
        <v/>
      </c>
      <c r="E320" s="27">
        <f>'1 Data'!I309</f>
        <v/>
      </c>
      <c r="F320" s="30">
        <f>COUNTIF($D$23:$D$1022,"&lt;"&amp;D320)+(COUNTIF($D$23:$D$1022,"="&amp;D320)+1)/2</f>
        <v/>
      </c>
    </row>
    <row r="321">
      <c r="B321" s="27">
        <f>'1 Data'!B310</f>
        <v/>
      </c>
      <c r="C321" s="29">
        <f>IF('1 Data'!E310&lt;=1.5,IF('1 Data'!F310&lt;=1.5,IF('1 Data'!G310&lt;=0.0003,1,2),IF('1 Data'!C310&lt;=165000,3,4)),IF('1 Data'!G310&lt;=0.0652,5,IF('1 Data'!G310&lt;=0.716,6,7)))</f>
        <v/>
      </c>
      <c r="D321" s="23">
        <f>INDEX($F$12:$F$18,C321)</f>
        <v/>
      </c>
      <c r="E321" s="27">
        <f>'1 Data'!I310</f>
        <v/>
      </c>
      <c r="F321" s="30">
        <f>COUNTIF($D$23:$D$1022,"&lt;"&amp;D321)+(COUNTIF($D$23:$D$1022,"="&amp;D321)+1)/2</f>
        <v/>
      </c>
    </row>
    <row r="322">
      <c r="B322" s="27">
        <f>'1 Data'!B311</f>
        <v/>
      </c>
      <c r="C322" s="29">
        <f>IF('1 Data'!E311&lt;=1.5,IF('1 Data'!F311&lt;=1.5,IF('1 Data'!G311&lt;=0.0003,1,2),IF('1 Data'!C311&lt;=165000,3,4)),IF('1 Data'!G311&lt;=0.0652,5,IF('1 Data'!G311&lt;=0.716,6,7)))</f>
        <v/>
      </c>
      <c r="D322" s="23">
        <f>INDEX($F$12:$F$18,C322)</f>
        <v/>
      </c>
      <c r="E322" s="27">
        <f>'1 Data'!I311</f>
        <v/>
      </c>
      <c r="F322" s="30">
        <f>COUNTIF($D$23:$D$1022,"&lt;"&amp;D322)+(COUNTIF($D$23:$D$1022,"="&amp;D322)+1)/2</f>
        <v/>
      </c>
    </row>
    <row r="323">
      <c r="B323" s="27">
        <f>'1 Data'!B312</f>
        <v/>
      </c>
      <c r="C323" s="29">
        <f>IF('1 Data'!E312&lt;=1.5,IF('1 Data'!F312&lt;=1.5,IF('1 Data'!G312&lt;=0.0003,1,2),IF('1 Data'!C312&lt;=165000,3,4)),IF('1 Data'!G312&lt;=0.0652,5,IF('1 Data'!G312&lt;=0.716,6,7)))</f>
        <v/>
      </c>
      <c r="D323" s="23">
        <f>INDEX($F$12:$F$18,C323)</f>
        <v/>
      </c>
      <c r="E323" s="27">
        <f>'1 Data'!I312</f>
        <v/>
      </c>
      <c r="F323" s="30">
        <f>COUNTIF($D$23:$D$1022,"&lt;"&amp;D323)+(COUNTIF($D$23:$D$1022,"="&amp;D323)+1)/2</f>
        <v/>
      </c>
    </row>
    <row r="324">
      <c r="B324" s="27">
        <f>'1 Data'!B313</f>
        <v/>
      </c>
      <c r="C324" s="29">
        <f>IF('1 Data'!E313&lt;=1.5,IF('1 Data'!F313&lt;=1.5,IF('1 Data'!G313&lt;=0.0003,1,2),IF('1 Data'!C313&lt;=165000,3,4)),IF('1 Data'!G313&lt;=0.0652,5,IF('1 Data'!G313&lt;=0.716,6,7)))</f>
        <v/>
      </c>
      <c r="D324" s="23">
        <f>INDEX($F$12:$F$18,C324)</f>
        <v/>
      </c>
      <c r="E324" s="27">
        <f>'1 Data'!I313</f>
        <v/>
      </c>
      <c r="F324" s="30">
        <f>COUNTIF($D$23:$D$1022,"&lt;"&amp;D324)+(COUNTIF($D$23:$D$1022,"="&amp;D324)+1)/2</f>
        <v/>
      </c>
    </row>
    <row r="325">
      <c r="B325" s="27">
        <f>'1 Data'!B314</f>
        <v/>
      </c>
      <c r="C325" s="29">
        <f>IF('1 Data'!E314&lt;=1.5,IF('1 Data'!F314&lt;=1.5,IF('1 Data'!G314&lt;=0.0003,1,2),IF('1 Data'!C314&lt;=165000,3,4)),IF('1 Data'!G314&lt;=0.0652,5,IF('1 Data'!G314&lt;=0.716,6,7)))</f>
        <v/>
      </c>
      <c r="D325" s="23">
        <f>INDEX($F$12:$F$18,C325)</f>
        <v/>
      </c>
      <c r="E325" s="27">
        <f>'1 Data'!I314</f>
        <v/>
      </c>
      <c r="F325" s="30">
        <f>COUNTIF($D$23:$D$1022,"&lt;"&amp;D325)+(COUNTIF($D$23:$D$1022,"="&amp;D325)+1)/2</f>
        <v/>
      </c>
    </row>
    <row r="326">
      <c r="B326" s="27">
        <f>'1 Data'!B315</f>
        <v/>
      </c>
      <c r="C326" s="29">
        <f>IF('1 Data'!E315&lt;=1.5,IF('1 Data'!F315&lt;=1.5,IF('1 Data'!G315&lt;=0.0003,1,2),IF('1 Data'!C315&lt;=165000,3,4)),IF('1 Data'!G315&lt;=0.0652,5,IF('1 Data'!G315&lt;=0.716,6,7)))</f>
        <v/>
      </c>
      <c r="D326" s="23">
        <f>INDEX($F$12:$F$18,C326)</f>
        <v/>
      </c>
      <c r="E326" s="27">
        <f>'1 Data'!I315</f>
        <v/>
      </c>
      <c r="F326" s="30">
        <f>COUNTIF($D$23:$D$1022,"&lt;"&amp;D326)+(COUNTIF($D$23:$D$1022,"="&amp;D326)+1)/2</f>
        <v/>
      </c>
    </row>
    <row r="327">
      <c r="B327" s="27">
        <f>'1 Data'!B316</f>
        <v/>
      </c>
      <c r="C327" s="29">
        <f>IF('1 Data'!E316&lt;=1.5,IF('1 Data'!F316&lt;=1.5,IF('1 Data'!G316&lt;=0.0003,1,2),IF('1 Data'!C316&lt;=165000,3,4)),IF('1 Data'!G316&lt;=0.0652,5,IF('1 Data'!G316&lt;=0.716,6,7)))</f>
        <v/>
      </c>
      <c r="D327" s="23">
        <f>INDEX($F$12:$F$18,C327)</f>
        <v/>
      </c>
      <c r="E327" s="27">
        <f>'1 Data'!I316</f>
        <v/>
      </c>
      <c r="F327" s="30">
        <f>COUNTIF($D$23:$D$1022,"&lt;"&amp;D327)+(COUNTIF($D$23:$D$1022,"="&amp;D327)+1)/2</f>
        <v/>
      </c>
    </row>
    <row r="328">
      <c r="B328" s="27">
        <f>'1 Data'!B317</f>
        <v/>
      </c>
      <c r="C328" s="29">
        <f>IF('1 Data'!E317&lt;=1.5,IF('1 Data'!F317&lt;=1.5,IF('1 Data'!G317&lt;=0.0003,1,2),IF('1 Data'!C317&lt;=165000,3,4)),IF('1 Data'!G317&lt;=0.0652,5,IF('1 Data'!G317&lt;=0.716,6,7)))</f>
        <v/>
      </c>
      <c r="D328" s="23">
        <f>INDEX($F$12:$F$18,C328)</f>
        <v/>
      </c>
      <c r="E328" s="27">
        <f>'1 Data'!I317</f>
        <v/>
      </c>
      <c r="F328" s="30">
        <f>COUNTIF($D$23:$D$1022,"&lt;"&amp;D328)+(COUNTIF($D$23:$D$1022,"="&amp;D328)+1)/2</f>
        <v/>
      </c>
    </row>
    <row r="329">
      <c r="B329" s="27">
        <f>'1 Data'!B318</f>
        <v/>
      </c>
      <c r="C329" s="29">
        <f>IF('1 Data'!E318&lt;=1.5,IF('1 Data'!F318&lt;=1.5,IF('1 Data'!G318&lt;=0.0003,1,2),IF('1 Data'!C318&lt;=165000,3,4)),IF('1 Data'!G318&lt;=0.0652,5,IF('1 Data'!G318&lt;=0.716,6,7)))</f>
        <v/>
      </c>
      <c r="D329" s="23">
        <f>INDEX($F$12:$F$18,C329)</f>
        <v/>
      </c>
      <c r="E329" s="27">
        <f>'1 Data'!I318</f>
        <v/>
      </c>
      <c r="F329" s="30">
        <f>COUNTIF($D$23:$D$1022,"&lt;"&amp;D329)+(COUNTIF($D$23:$D$1022,"="&amp;D329)+1)/2</f>
        <v/>
      </c>
    </row>
    <row r="330">
      <c r="B330" s="27">
        <f>'1 Data'!B319</f>
        <v/>
      </c>
      <c r="C330" s="29">
        <f>IF('1 Data'!E319&lt;=1.5,IF('1 Data'!F319&lt;=1.5,IF('1 Data'!G319&lt;=0.0003,1,2),IF('1 Data'!C319&lt;=165000,3,4)),IF('1 Data'!G319&lt;=0.0652,5,IF('1 Data'!G319&lt;=0.716,6,7)))</f>
        <v/>
      </c>
      <c r="D330" s="23">
        <f>INDEX($F$12:$F$18,C330)</f>
        <v/>
      </c>
      <c r="E330" s="27">
        <f>'1 Data'!I319</f>
        <v/>
      </c>
      <c r="F330" s="30">
        <f>COUNTIF($D$23:$D$1022,"&lt;"&amp;D330)+(COUNTIF($D$23:$D$1022,"="&amp;D330)+1)/2</f>
        <v/>
      </c>
    </row>
    <row r="331">
      <c r="B331" s="27">
        <f>'1 Data'!B320</f>
        <v/>
      </c>
      <c r="C331" s="29">
        <f>IF('1 Data'!E320&lt;=1.5,IF('1 Data'!F320&lt;=1.5,IF('1 Data'!G320&lt;=0.0003,1,2),IF('1 Data'!C320&lt;=165000,3,4)),IF('1 Data'!G320&lt;=0.0652,5,IF('1 Data'!G320&lt;=0.716,6,7)))</f>
        <v/>
      </c>
      <c r="D331" s="23">
        <f>INDEX($F$12:$F$18,C331)</f>
        <v/>
      </c>
      <c r="E331" s="27">
        <f>'1 Data'!I320</f>
        <v/>
      </c>
      <c r="F331" s="30">
        <f>COUNTIF($D$23:$D$1022,"&lt;"&amp;D331)+(COUNTIF($D$23:$D$1022,"="&amp;D331)+1)/2</f>
        <v/>
      </c>
    </row>
    <row r="332">
      <c r="B332" s="27">
        <f>'1 Data'!B321</f>
        <v/>
      </c>
      <c r="C332" s="29">
        <f>IF('1 Data'!E321&lt;=1.5,IF('1 Data'!F321&lt;=1.5,IF('1 Data'!G321&lt;=0.0003,1,2),IF('1 Data'!C321&lt;=165000,3,4)),IF('1 Data'!G321&lt;=0.0652,5,IF('1 Data'!G321&lt;=0.716,6,7)))</f>
        <v/>
      </c>
      <c r="D332" s="23">
        <f>INDEX($F$12:$F$18,C332)</f>
        <v/>
      </c>
      <c r="E332" s="27">
        <f>'1 Data'!I321</f>
        <v/>
      </c>
      <c r="F332" s="30">
        <f>COUNTIF($D$23:$D$1022,"&lt;"&amp;D332)+(COUNTIF($D$23:$D$1022,"="&amp;D332)+1)/2</f>
        <v/>
      </c>
    </row>
    <row r="333">
      <c r="B333" s="27">
        <f>'1 Data'!B322</f>
        <v/>
      </c>
      <c r="C333" s="29">
        <f>IF('1 Data'!E322&lt;=1.5,IF('1 Data'!F322&lt;=1.5,IF('1 Data'!G322&lt;=0.0003,1,2),IF('1 Data'!C322&lt;=165000,3,4)),IF('1 Data'!G322&lt;=0.0652,5,IF('1 Data'!G322&lt;=0.716,6,7)))</f>
        <v/>
      </c>
      <c r="D333" s="23">
        <f>INDEX($F$12:$F$18,C333)</f>
        <v/>
      </c>
      <c r="E333" s="27">
        <f>'1 Data'!I322</f>
        <v/>
      </c>
      <c r="F333" s="30">
        <f>COUNTIF($D$23:$D$1022,"&lt;"&amp;D333)+(COUNTIF($D$23:$D$1022,"="&amp;D333)+1)/2</f>
        <v/>
      </c>
    </row>
    <row r="334">
      <c r="B334" s="27">
        <f>'1 Data'!B323</f>
        <v/>
      </c>
      <c r="C334" s="29">
        <f>IF('1 Data'!E323&lt;=1.5,IF('1 Data'!F323&lt;=1.5,IF('1 Data'!G323&lt;=0.0003,1,2),IF('1 Data'!C323&lt;=165000,3,4)),IF('1 Data'!G323&lt;=0.0652,5,IF('1 Data'!G323&lt;=0.716,6,7)))</f>
        <v/>
      </c>
      <c r="D334" s="23">
        <f>INDEX($F$12:$F$18,C334)</f>
        <v/>
      </c>
      <c r="E334" s="27">
        <f>'1 Data'!I323</f>
        <v/>
      </c>
      <c r="F334" s="30">
        <f>COUNTIF($D$23:$D$1022,"&lt;"&amp;D334)+(COUNTIF($D$23:$D$1022,"="&amp;D334)+1)/2</f>
        <v/>
      </c>
    </row>
    <row r="335">
      <c r="B335" s="27">
        <f>'1 Data'!B324</f>
        <v/>
      </c>
      <c r="C335" s="29">
        <f>IF('1 Data'!E324&lt;=1.5,IF('1 Data'!F324&lt;=1.5,IF('1 Data'!G324&lt;=0.0003,1,2),IF('1 Data'!C324&lt;=165000,3,4)),IF('1 Data'!G324&lt;=0.0652,5,IF('1 Data'!G324&lt;=0.716,6,7)))</f>
        <v/>
      </c>
      <c r="D335" s="23">
        <f>INDEX($F$12:$F$18,C335)</f>
        <v/>
      </c>
      <c r="E335" s="27">
        <f>'1 Data'!I324</f>
        <v/>
      </c>
      <c r="F335" s="30">
        <f>COUNTIF($D$23:$D$1022,"&lt;"&amp;D335)+(COUNTIF($D$23:$D$1022,"="&amp;D335)+1)/2</f>
        <v/>
      </c>
    </row>
    <row r="336">
      <c r="B336" s="27">
        <f>'1 Data'!B325</f>
        <v/>
      </c>
      <c r="C336" s="29">
        <f>IF('1 Data'!E325&lt;=1.5,IF('1 Data'!F325&lt;=1.5,IF('1 Data'!G325&lt;=0.0003,1,2),IF('1 Data'!C325&lt;=165000,3,4)),IF('1 Data'!G325&lt;=0.0652,5,IF('1 Data'!G325&lt;=0.716,6,7)))</f>
        <v/>
      </c>
      <c r="D336" s="23">
        <f>INDEX($F$12:$F$18,C336)</f>
        <v/>
      </c>
      <c r="E336" s="27">
        <f>'1 Data'!I325</f>
        <v/>
      </c>
      <c r="F336" s="30">
        <f>COUNTIF($D$23:$D$1022,"&lt;"&amp;D336)+(COUNTIF($D$23:$D$1022,"="&amp;D336)+1)/2</f>
        <v/>
      </c>
    </row>
    <row r="337">
      <c r="B337" s="27">
        <f>'1 Data'!B326</f>
        <v/>
      </c>
      <c r="C337" s="29">
        <f>IF('1 Data'!E326&lt;=1.5,IF('1 Data'!F326&lt;=1.5,IF('1 Data'!G326&lt;=0.0003,1,2),IF('1 Data'!C326&lt;=165000,3,4)),IF('1 Data'!G326&lt;=0.0652,5,IF('1 Data'!G326&lt;=0.716,6,7)))</f>
        <v/>
      </c>
      <c r="D337" s="23">
        <f>INDEX($F$12:$F$18,C337)</f>
        <v/>
      </c>
      <c r="E337" s="27">
        <f>'1 Data'!I326</f>
        <v/>
      </c>
      <c r="F337" s="30">
        <f>COUNTIF($D$23:$D$1022,"&lt;"&amp;D337)+(COUNTIF($D$23:$D$1022,"="&amp;D337)+1)/2</f>
        <v/>
      </c>
    </row>
    <row r="338">
      <c r="B338" s="27">
        <f>'1 Data'!B327</f>
        <v/>
      </c>
      <c r="C338" s="29">
        <f>IF('1 Data'!E327&lt;=1.5,IF('1 Data'!F327&lt;=1.5,IF('1 Data'!G327&lt;=0.0003,1,2),IF('1 Data'!C327&lt;=165000,3,4)),IF('1 Data'!G327&lt;=0.0652,5,IF('1 Data'!G327&lt;=0.716,6,7)))</f>
        <v/>
      </c>
      <c r="D338" s="23">
        <f>INDEX($F$12:$F$18,C338)</f>
        <v/>
      </c>
      <c r="E338" s="27">
        <f>'1 Data'!I327</f>
        <v/>
      </c>
      <c r="F338" s="30">
        <f>COUNTIF($D$23:$D$1022,"&lt;"&amp;D338)+(COUNTIF($D$23:$D$1022,"="&amp;D338)+1)/2</f>
        <v/>
      </c>
    </row>
    <row r="339">
      <c r="B339" s="27">
        <f>'1 Data'!B328</f>
        <v/>
      </c>
      <c r="C339" s="29">
        <f>IF('1 Data'!E328&lt;=1.5,IF('1 Data'!F328&lt;=1.5,IF('1 Data'!G328&lt;=0.0003,1,2),IF('1 Data'!C328&lt;=165000,3,4)),IF('1 Data'!G328&lt;=0.0652,5,IF('1 Data'!G328&lt;=0.716,6,7)))</f>
        <v/>
      </c>
      <c r="D339" s="23">
        <f>INDEX($F$12:$F$18,C339)</f>
        <v/>
      </c>
      <c r="E339" s="27">
        <f>'1 Data'!I328</f>
        <v/>
      </c>
      <c r="F339" s="30">
        <f>COUNTIF($D$23:$D$1022,"&lt;"&amp;D339)+(COUNTIF($D$23:$D$1022,"="&amp;D339)+1)/2</f>
        <v/>
      </c>
    </row>
    <row r="340">
      <c r="B340" s="27">
        <f>'1 Data'!B329</f>
        <v/>
      </c>
      <c r="C340" s="29">
        <f>IF('1 Data'!E329&lt;=1.5,IF('1 Data'!F329&lt;=1.5,IF('1 Data'!G329&lt;=0.0003,1,2),IF('1 Data'!C329&lt;=165000,3,4)),IF('1 Data'!G329&lt;=0.0652,5,IF('1 Data'!G329&lt;=0.716,6,7)))</f>
        <v/>
      </c>
      <c r="D340" s="23">
        <f>INDEX($F$12:$F$18,C340)</f>
        <v/>
      </c>
      <c r="E340" s="27">
        <f>'1 Data'!I329</f>
        <v/>
      </c>
      <c r="F340" s="30">
        <f>COUNTIF($D$23:$D$1022,"&lt;"&amp;D340)+(COUNTIF($D$23:$D$1022,"="&amp;D340)+1)/2</f>
        <v/>
      </c>
    </row>
    <row r="341">
      <c r="B341" s="27">
        <f>'1 Data'!B330</f>
        <v/>
      </c>
      <c r="C341" s="29">
        <f>IF('1 Data'!E330&lt;=1.5,IF('1 Data'!F330&lt;=1.5,IF('1 Data'!G330&lt;=0.0003,1,2),IF('1 Data'!C330&lt;=165000,3,4)),IF('1 Data'!G330&lt;=0.0652,5,IF('1 Data'!G330&lt;=0.716,6,7)))</f>
        <v/>
      </c>
      <c r="D341" s="23">
        <f>INDEX($F$12:$F$18,C341)</f>
        <v/>
      </c>
      <c r="E341" s="27">
        <f>'1 Data'!I330</f>
        <v/>
      </c>
      <c r="F341" s="30">
        <f>COUNTIF($D$23:$D$1022,"&lt;"&amp;D341)+(COUNTIF($D$23:$D$1022,"="&amp;D341)+1)/2</f>
        <v/>
      </c>
    </row>
    <row r="342">
      <c r="B342" s="27">
        <f>'1 Data'!B331</f>
        <v/>
      </c>
      <c r="C342" s="29">
        <f>IF('1 Data'!E331&lt;=1.5,IF('1 Data'!F331&lt;=1.5,IF('1 Data'!G331&lt;=0.0003,1,2),IF('1 Data'!C331&lt;=165000,3,4)),IF('1 Data'!G331&lt;=0.0652,5,IF('1 Data'!G331&lt;=0.716,6,7)))</f>
        <v/>
      </c>
      <c r="D342" s="23">
        <f>INDEX($F$12:$F$18,C342)</f>
        <v/>
      </c>
      <c r="E342" s="27">
        <f>'1 Data'!I331</f>
        <v/>
      </c>
      <c r="F342" s="30">
        <f>COUNTIF($D$23:$D$1022,"&lt;"&amp;D342)+(COUNTIF($D$23:$D$1022,"="&amp;D342)+1)/2</f>
        <v/>
      </c>
    </row>
    <row r="343">
      <c r="B343" s="27">
        <f>'1 Data'!B332</f>
        <v/>
      </c>
      <c r="C343" s="29">
        <f>IF('1 Data'!E332&lt;=1.5,IF('1 Data'!F332&lt;=1.5,IF('1 Data'!G332&lt;=0.0003,1,2),IF('1 Data'!C332&lt;=165000,3,4)),IF('1 Data'!G332&lt;=0.0652,5,IF('1 Data'!G332&lt;=0.716,6,7)))</f>
        <v/>
      </c>
      <c r="D343" s="23">
        <f>INDEX($F$12:$F$18,C343)</f>
        <v/>
      </c>
      <c r="E343" s="27">
        <f>'1 Data'!I332</f>
        <v/>
      </c>
      <c r="F343" s="30">
        <f>COUNTIF($D$23:$D$1022,"&lt;"&amp;D343)+(COUNTIF($D$23:$D$1022,"="&amp;D343)+1)/2</f>
        <v/>
      </c>
    </row>
    <row r="344">
      <c r="B344" s="27">
        <f>'1 Data'!B333</f>
        <v/>
      </c>
      <c r="C344" s="29">
        <f>IF('1 Data'!E333&lt;=1.5,IF('1 Data'!F333&lt;=1.5,IF('1 Data'!G333&lt;=0.0003,1,2),IF('1 Data'!C333&lt;=165000,3,4)),IF('1 Data'!G333&lt;=0.0652,5,IF('1 Data'!G333&lt;=0.716,6,7)))</f>
        <v/>
      </c>
      <c r="D344" s="23">
        <f>INDEX($F$12:$F$18,C344)</f>
        <v/>
      </c>
      <c r="E344" s="27">
        <f>'1 Data'!I333</f>
        <v/>
      </c>
      <c r="F344" s="30">
        <f>COUNTIF($D$23:$D$1022,"&lt;"&amp;D344)+(COUNTIF($D$23:$D$1022,"="&amp;D344)+1)/2</f>
        <v/>
      </c>
    </row>
    <row r="345">
      <c r="B345" s="27">
        <f>'1 Data'!B334</f>
        <v/>
      </c>
      <c r="C345" s="29">
        <f>IF('1 Data'!E334&lt;=1.5,IF('1 Data'!F334&lt;=1.5,IF('1 Data'!G334&lt;=0.0003,1,2),IF('1 Data'!C334&lt;=165000,3,4)),IF('1 Data'!G334&lt;=0.0652,5,IF('1 Data'!G334&lt;=0.716,6,7)))</f>
        <v/>
      </c>
      <c r="D345" s="23">
        <f>INDEX($F$12:$F$18,C345)</f>
        <v/>
      </c>
      <c r="E345" s="27">
        <f>'1 Data'!I334</f>
        <v/>
      </c>
      <c r="F345" s="30">
        <f>COUNTIF($D$23:$D$1022,"&lt;"&amp;D345)+(COUNTIF($D$23:$D$1022,"="&amp;D345)+1)/2</f>
        <v/>
      </c>
    </row>
    <row r="346">
      <c r="B346" s="27">
        <f>'1 Data'!B335</f>
        <v/>
      </c>
      <c r="C346" s="29">
        <f>IF('1 Data'!E335&lt;=1.5,IF('1 Data'!F335&lt;=1.5,IF('1 Data'!G335&lt;=0.0003,1,2),IF('1 Data'!C335&lt;=165000,3,4)),IF('1 Data'!G335&lt;=0.0652,5,IF('1 Data'!G335&lt;=0.716,6,7)))</f>
        <v/>
      </c>
      <c r="D346" s="23">
        <f>INDEX($F$12:$F$18,C346)</f>
        <v/>
      </c>
      <c r="E346" s="27">
        <f>'1 Data'!I335</f>
        <v/>
      </c>
      <c r="F346" s="30">
        <f>COUNTIF($D$23:$D$1022,"&lt;"&amp;D346)+(COUNTIF($D$23:$D$1022,"="&amp;D346)+1)/2</f>
        <v/>
      </c>
    </row>
    <row r="347">
      <c r="B347" s="27">
        <f>'1 Data'!B336</f>
        <v/>
      </c>
      <c r="C347" s="29">
        <f>IF('1 Data'!E336&lt;=1.5,IF('1 Data'!F336&lt;=1.5,IF('1 Data'!G336&lt;=0.0003,1,2),IF('1 Data'!C336&lt;=165000,3,4)),IF('1 Data'!G336&lt;=0.0652,5,IF('1 Data'!G336&lt;=0.716,6,7)))</f>
        <v/>
      </c>
      <c r="D347" s="23">
        <f>INDEX($F$12:$F$18,C347)</f>
        <v/>
      </c>
      <c r="E347" s="27">
        <f>'1 Data'!I336</f>
        <v/>
      </c>
      <c r="F347" s="30">
        <f>COUNTIF($D$23:$D$1022,"&lt;"&amp;D347)+(COUNTIF($D$23:$D$1022,"="&amp;D347)+1)/2</f>
        <v/>
      </c>
    </row>
    <row r="348">
      <c r="B348" s="27">
        <f>'1 Data'!B337</f>
        <v/>
      </c>
      <c r="C348" s="29">
        <f>IF('1 Data'!E337&lt;=1.5,IF('1 Data'!F337&lt;=1.5,IF('1 Data'!G337&lt;=0.0003,1,2),IF('1 Data'!C337&lt;=165000,3,4)),IF('1 Data'!G337&lt;=0.0652,5,IF('1 Data'!G337&lt;=0.716,6,7)))</f>
        <v/>
      </c>
      <c r="D348" s="23">
        <f>INDEX($F$12:$F$18,C348)</f>
        <v/>
      </c>
      <c r="E348" s="27">
        <f>'1 Data'!I337</f>
        <v/>
      </c>
      <c r="F348" s="30">
        <f>COUNTIF($D$23:$D$1022,"&lt;"&amp;D348)+(COUNTIF($D$23:$D$1022,"="&amp;D348)+1)/2</f>
        <v/>
      </c>
    </row>
    <row r="349">
      <c r="B349" s="27">
        <f>'1 Data'!B338</f>
        <v/>
      </c>
      <c r="C349" s="29">
        <f>IF('1 Data'!E338&lt;=1.5,IF('1 Data'!F338&lt;=1.5,IF('1 Data'!G338&lt;=0.0003,1,2),IF('1 Data'!C338&lt;=165000,3,4)),IF('1 Data'!G338&lt;=0.0652,5,IF('1 Data'!G338&lt;=0.716,6,7)))</f>
        <v/>
      </c>
      <c r="D349" s="23">
        <f>INDEX($F$12:$F$18,C349)</f>
        <v/>
      </c>
      <c r="E349" s="27">
        <f>'1 Data'!I338</f>
        <v/>
      </c>
      <c r="F349" s="30">
        <f>COUNTIF($D$23:$D$1022,"&lt;"&amp;D349)+(COUNTIF($D$23:$D$1022,"="&amp;D349)+1)/2</f>
        <v/>
      </c>
    </row>
    <row r="350">
      <c r="B350" s="27">
        <f>'1 Data'!B339</f>
        <v/>
      </c>
      <c r="C350" s="29">
        <f>IF('1 Data'!E339&lt;=1.5,IF('1 Data'!F339&lt;=1.5,IF('1 Data'!G339&lt;=0.0003,1,2),IF('1 Data'!C339&lt;=165000,3,4)),IF('1 Data'!G339&lt;=0.0652,5,IF('1 Data'!G339&lt;=0.716,6,7)))</f>
        <v/>
      </c>
      <c r="D350" s="23">
        <f>INDEX($F$12:$F$18,C350)</f>
        <v/>
      </c>
      <c r="E350" s="27">
        <f>'1 Data'!I339</f>
        <v/>
      </c>
      <c r="F350" s="30">
        <f>COUNTIF($D$23:$D$1022,"&lt;"&amp;D350)+(COUNTIF($D$23:$D$1022,"="&amp;D350)+1)/2</f>
        <v/>
      </c>
    </row>
    <row r="351">
      <c r="B351" s="27">
        <f>'1 Data'!B340</f>
        <v/>
      </c>
      <c r="C351" s="29">
        <f>IF('1 Data'!E340&lt;=1.5,IF('1 Data'!F340&lt;=1.5,IF('1 Data'!G340&lt;=0.0003,1,2),IF('1 Data'!C340&lt;=165000,3,4)),IF('1 Data'!G340&lt;=0.0652,5,IF('1 Data'!G340&lt;=0.716,6,7)))</f>
        <v/>
      </c>
      <c r="D351" s="23">
        <f>INDEX($F$12:$F$18,C351)</f>
        <v/>
      </c>
      <c r="E351" s="27">
        <f>'1 Data'!I340</f>
        <v/>
      </c>
      <c r="F351" s="30">
        <f>COUNTIF($D$23:$D$1022,"&lt;"&amp;D351)+(COUNTIF($D$23:$D$1022,"="&amp;D351)+1)/2</f>
        <v/>
      </c>
    </row>
    <row r="352">
      <c r="B352" s="27">
        <f>'1 Data'!B341</f>
        <v/>
      </c>
      <c r="C352" s="29">
        <f>IF('1 Data'!E341&lt;=1.5,IF('1 Data'!F341&lt;=1.5,IF('1 Data'!G341&lt;=0.0003,1,2),IF('1 Data'!C341&lt;=165000,3,4)),IF('1 Data'!G341&lt;=0.0652,5,IF('1 Data'!G341&lt;=0.716,6,7)))</f>
        <v/>
      </c>
      <c r="D352" s="23">
        <f>INDEX($F$12:$F$18,C352)</f>
        <v/>
      </c>
      <c r="E352" s="27">
        <f>'1 Data'!I341</f>
        <v/>
      </c>
      <c r="F352" s="30">
        <f>COUNTIF($D$23:$D$1022,"&lt;"&amp;D352)+(COUNTIF($D$23:$D$1022,"="&amp;D352)+1)/2</f>
        <v/>
      </c>
    </row>
    <row r="353">
      <c r="B353" s="27">
        <f>'1 Data'!B342</f>
        <v/>
      </c>
      <c r="C353" s="29">
        <f>IF('1 Data'!E342&lt;=1.5,IF('1 Data'!F342&lt;=1.5,IF('1 Data'!G342&lt;=0.0003,1,2),IF('1 Data'!C342&lt;=165000,3,4)),IF('1 Data'!G342&lt;=0.0652,5,IF('1 Data'!G342&lt;=0.716,6,7)))</f>
        <v/>
      </c>
      <c r="D353" s="23">
        <f>INDEX($F$12:$F$18,C353)</f>
        <v/>
      </c>
      <c r="E353" s="27">
        <f>'1 Data'!I342</f>
        <v/>
      </c>
      <c r="F353" s="30">
        <f>COUNTIF($D$23:$D$1022,"&lt;"&amp;D353)+(COUNTIF($D$23:$D$1022,"="&amp;D353)+1)/2</f>
        <v/>
      </c>
    </row>
    <row r="354">
      <c r="B354" s="27">
        <f>'1 Data'!B343</f>
        <v/>
      </c>
      <c r="C354" s="29">
        <f>IF('1 Data'!E343&lt;=1.5,IF('1 Data'!F343&lt;=1.5,IF('1 Data'!G343&lt;=0.0003,1,2),IF('1 Data'!C343&lt;=165000,3,4)),IF('1 Data'!G343&lt;=0.0652,5,IF('1 Data'!G343&lt;=0.716,6,7)))</f>
        <v/>
      </c>
      <c r="D354" s="23">
        <f>INDEX($F$12:$F$18,C354)</f>
        <v/>
      </c>
      <c r="E354" s="27">
        <f>'1 Data'!I343</f>
        <v/>
      </c>
      <c r="F354" s="30">
        <f>COUNTIF($D$23:$D$1022,"&lt;"&amp;D354)+(COUNTIF($D$23:$D$1022,"="&amp;D354)+1)/2</f>
        <v/>
      </c>
    </row>
    <row r="355">
      <c r="B355" s="27">
        <f>'1 Data'!B344</f>
        <v/>
      </c>
      <c r="C355" s="29">
        <f>IF('1 Data'!E344&lt;=1.5,IF('1 Data'!F344&lt;=1.5,IF('1 Data'!G344&lt;=0.0003,1,2),IF('1 Data'!C344&lt;=165000,3,4)),IF('1 Data'!G344&lt;=0.0652,5,IF('1 Data'!G344&lt;=0.716,6,7)))</f>
        <v/>
      </c>
      <c r="D355" s="23">
        <f>INDEX($F$12:$F$18,C355)</f>
        <v/>
      </c>
      <c r="E355" s="27">
        <f>'1 Data'!I344</f>
        <v/>
      </c>
      <c r="F355" s="30">
        <f>COUNTIF($D$23:$D$1022,"&lt;"&amp;D355)+(COUNTIF($D$23:$D$1022,"="&amp;D355)+1)/2</f>
        <v/>
      </c>
    </row>
    <row r="356">
      <c r="B356" s="27">
        <f>'1 Data'!B345</f>
        <v/>
      </c>
      <c r="C356" s="29">
        <f>IF('1 Data'!E345&lt;=1.5,IF('1 Data'!F345&lt;=1.5,IF('1 Data'!G345&lt;=0.0003,1,2),IF('1 Data'!C345&lt;=165000,3,4)),IF('1 Data'!G345&lt;=0.0652,5,IF('1 Data'!G345&lt;=0.716,6,7)))</f>
        <v/>
      </c>
      <c r="D356" s="23">
        <f>INDEX($F$12:$F$18,C356)</f>
        <v/>
      </c>
      <c r="E356" s="27">
        <f>'1 Data'!I345</f>
        <v/>
      </c>
      <c r="F356" s="30">
        <f>COUNTIF($D$23:$D$1022,"&lt;"&amp;D356)+(COUNTIF($D$23:$D$1022,"="&amp;D356)+1)/2</f>
        <v/>
      </c>
    </row>
    <row r="357">
      <c r="B357" s="27">
        <f>'1 Data'!B346</f>
        <v/>
      </c>
      <c r="C357" s="29">
        <f>IF('1 Data'!E346&lt;=1.5,IF('1 Data'!F346&lt;=1.5,IF('1 Data'!G346&lt;=0.0003,1,2),IF('1 Data'!C346&lt;=165000,3,4)),IF('1 Data'!G346&lt;=0.0652,5,IF('1 Data'!G346&lt;=0.716,6,7)))</f>
        <v/>
      </c>
      <c r="D357" s="23">
        <f>INDEX($F$12:$F$18,C357)</f>
        <v/>
      </c>
      <c r="E357" s="27">
        <f>'1 Data'!I346</f>
        <v/>
      </c>
      <c r="F357" s="30">
        <f>COUNTIF($D$23:$D$1022,"&lt;"&amp;D357)+(COUNTIF($D$23:$D$1022,"="&amp;D357)+1)/2</f>
        <v/>
      </c>
    </row>
    <row r="358">
      <c r="B358" s="27">
        <f>'1 Data'!B347</f>
        <v/>
      </c>
      <c r="C358" s="29">
        <f>IF('1 Data'!E347&lt;=1.5,IF('1 Data'!F347&lt;=1.5,IF('1 Data'!G347&lt;=0.0003,1,2),IF('1 Data'!C347&lt;=165000,3,4)),IF('1 Data'!G347&lt;=0.0652,5,IF('1 Data'!G347&lt;=0.716,6,7)))</f>
        <v/>
      </c>
      <c r="D358" s="23">
        <f>INDEX($F$12:$F$18,C358)</f>
        <v/>
      </c>
      <c r="E358" s="27">
        <f>'1 Data'!I347</f>
        <v/>
      </c>
      <c r="F358" s="30">
        <f>COUNTIF($D$23:$D$1022,"&lt;"&amp;D358)+(COUNTIF($D$23:$D$1022,"="&amp;D358)+1)/2</f>
        <v/>
      </c>
    </row>
    <row r="359">
      <c r="B359" s="27">
        <f>'1 Data'!B348</f>
        <v/>
      </c>
      <c r="C359" s="29">
        <f>IF('1 Data'!E348&lt;=1.5,IF('1 Data'!F348&lt;=1.5,IF('1 Data'!G348&lt;=0.0003,1,2),IF('1 Data'!C348&lt;=165000,3,4)),IF('1 Data'!G348&lt;=0.0652,5,IF('1 Data'!G348&lt;=0.716,6,7)))</f>
        <v/>
      </c>
      <c r="D359" s="23">
        <f>INDEX($F$12:$F$18,C359)</f>
        <v/>
      </c>
      <c r="E359" s="27">
        <f>'1 Data'!I348</f>
        <v/>
      </c>
      <c r="F359" s="30">
        <f>COUNTIF($D$23:$D$1022,"&lt;"&amp;D359)+(COUNTIF($D$23:$D$1022,"="&amp;D359)+1)/2</f>
        <v/>
      </c>
    </row>
    <row r="360">
      <c r="B360" s="27">
        <f>'1 Data'!B349</f>
        <v/>
      </c>
      <c r="C360" s="29">
        <f>IF('1 Data'!E349&lt;=1.5,IF('1 Data'!F349&lt;=1.5,IF('1 Data'!G349&lt;=0.0003,1,2),IF('1 Data'!C349&lt;=165000,3,4)),IF('1 Data'!G349&lt;=0.0652,5,IF('1 Data'!G349&lt;=0.716,6,7)))</f>
        <v/>
      </c>
      <c r="D360" s="23">
        <f>INDEX($F$12:$F$18,C360)</f>
        <v/>
      </c>
      <c r="E360" s="27">
        <f>'1 Data'!I349</f>
        <v/>
      </c>
      <c r="F360" s="30">
        <f>COUNTIF($D$23:$D$1022,"&lt;"&amp;D360)+(COUNTIF($D$23:$D$1022,"="&amp;D360)+1)/2</f>
        <v/>
      </c>
    </row>
    <row r="361">
      <c r="B361" s="27">
        <f>'1 Data'!B350</f>
        <v/>
      </c>
      <c r="C361" s="29">
        <f>IF('1 Data'!E350&lt;=1.5,IF('1 Data'!F350&lt;=1.5,IF('1 Data'!G350&lt;=0.0003,1,2),IF('1 Data'!C350&lt;=165000,3,4)),IF('1 Data'!G350&lt;=0.0652,5,IF('1 Data'!G350&lt;=0.716,6,7)))</f>
        <v/>
      </c>
      <c r="D361" s="23">
        <f>INDEX($F$12:$F$18,C361)</f>
        <v/>
      </c>
      <c r="E361" s="27">
        <f>'1 Data'!I350</f>
        <v/>
      </c>
      <c r="F361" s="30">
        <f>COUNTIF($D$23:$D$1022,"&lt;"&amp;D361)+(COUNTIF($D$23:$D$1022,"="&amp;D361)+1)/2</f>
        <v/>
      </c>
    </row>
    <row r="362">
      <c r="B362" s="27">
        <f>'1 Data'!B351</f>
        <v/>
      </c>
      <c r="C362" s="29">
        <f>IF('1 Data'!E351&lt;=1.5,IF('1 Data'!F351&lt;=1.5,IF('1 Data'!G351&lt;=0.0003,1,2),IF('1 Data'!C351&lt;=165000,3,4)),IF('1 Data'!G351&lt;=0.0652,5,IF('1 Data'!G351&lt;=0.716,6,7)))</f>
        <v/>
      </c>
      <c r="D362" s="23">
        <f>INDEX($F$12:$F$18,C362)</f>
        <v/>
      </c>
      <c r="E362" s="27">
        <f>'1 Data'!I351</f>
        <v/>
      </c>
      <c r="F362" s="30">
        <f>COUNTIF($D$23:$D$1022,"&lt;"&amp;D362)+(COUNTIF($D$23:$D$1022,"="&amp;D362)+1)/2</f>
        <v/>
      </c>
    </row>
    <row r="363">
      <c r="B363" s="27">
        <f>'1 Data'!B352</f>
        <v/>
      </c>
      <c r="C363" s="29">
        <f>IF('1 Data'!E352&lt;=1.5,IF('1 Data'!F352&lt;=1.5,IF('1 Data'!G352&lt;=0.0003,1,2),IF('1 Data'!C352&lt;=165000,3,4)),IF('1 Data'!G352&lt;=0.0652,5,IF('1 Data'!G352&lt;=0.716,6,7)))</f>
        <v/>
      </c>
      <c r="D363" s="23">
        <f>INDEX($F$12:$F$18,C363)</f>
        <v/>
      </c>
      <c r="E363" s="27">
        <f>'1 Data'!I352</f>
        <v/>
      </c>
      <c r="F363" s="30">
        <f>COUNTIF($D$23:$D$1022,"&lt;"&amp;D363)+(COUNTIF($D$23:$D$1022,"="&amp;D363)+1)/2</f>
        <v/>
      </c>
    </row>
    <row r="364">
      <c r="B364" s="27">
        <f>'1 Data'!B353</f>
        <v/>
      </c>
      <c r="C364" s="29">
        <f>IF('1 Data'!E353&lt;=1.5,IF('1 Data'!F353&lt;=1.5,IF('1 Data'!G353&lt;=0.0003,1,2),IF('1 Data'!C353&lt;=165000,3,4)),IF('1 Data'!G353&lt;=0.0652,5,IF('1 Data'!G353&lt;=0.716,6,7)))</f>
        <v/>
      </c>
      <c r="D364" s="23">
        <f>INDEX($F$12:$F$18,C364)</f>
        <v/>
      </c>
      <c r="E364" s="27">
        <f>'1 Data'!I353</f>
        <v/>
      </c>
      <c r="F364" s="30">
        <f>COUNTIF($D$23:$D$1022,"&lt;"&amp;D364)+(COUNTIF($D$23:$D$1022,"="&amp;D364)+1)/2</f>
        <v/>
      </c>
    </row>
    <row r="365">
      <c r="B365" s="27">
        <f>'1 Data'!B354</f>
        <v/>
      </c>
      <c r="C365" s="29">
        <f>IF('1 Data'!E354&lt;=1.5,IF('1 Data'!F354&lt;=1.5,IF('1 Data'!G354&lt;=0.0003,1,2),IF('1 Data'!C354&lt;=165000,3,4)),IF('1 Data'!G354&lt;=0.0652,5,IF('1 Data'!G354&lt;=0.716,6,7)))</f>
        <v/>
      </c>
      <c r="D365" s="23">
        <f>INDEX($F$12:$F$18,C365)</f>
        <v/>
      </c>
      <c r="E365" s="27">
        <f>'1 Data'!I354</f>
        <v/>
      </c>
      <c r="F365" s="30">
        <f>COUNTIF($D$23:$D$1022,"&lt;"&amp;D365)+(COUNTIF($D$23:$D$1022,"="&amp;D365)+1)/2</f>
        <v/>
      </c>
    </row>
    <row r="366">
      <c r="B366" s="27">
        <f>'1 Data'!B355</f>
        <v/>
      </c>
      <c r="C366" s="29">
        <f>IF('1 Data'!E355&lt;=1.5,IF('1 Data'!F355&lt;=1.5,IF('1 Data'!G355&lt;=0.0003,1,2),IF('1 Data'!C355&lt;=165000,3,4)),IF('1 Data'!G355&lt;=0.0652,5,IF('1 Data'!G355&lt;=0.716,6,7)))</f>
        <v/>
      </c>
      <c r="D366" s="23">
        <f>INDEX($F$12:$F$18,C366)</f>
        <v/>
      </c>
      <c r="E366" s="27">
        <f>'1 Data'!I355</f>
        <v/>
      </c>
      <c r="F366" s="30">
        <f>COUNTIF($D$23:$D$1022,"&lt;"&amp;D366)+(COUNTIF($D$23:$D$1022,"="&amp;D366)+1)/2</f>
        <v/>
      </c>
    </row>
    <row r="367">
      <c r="B367" s="27">
        <f>'1 Data'!B356</f>
        <v/>
      </c>
      <c r="C367" s="29">
        <f>IF('1 Data'!E356&lt;=1.5,IF('1 Data'!F356&lt;=1.5,IF('1 Data'!G356&lt;=0.0003,1,2),IF('1 Data'!C356&lt;=165000,3,4)),IF('1 Data'!G356&lt;=0.0652,5,IF('1 Data'!G356&lt;=0.716,6,7)))</f>
        <v/>
      </c>
      <c r="D367" s="23">
        <f>INDEX($F$12:$F$18,C367)</f>
        <v/>
      </c>
      <c r="E367" s="27">
        <f>'1 Data'!I356</f>
        <v/>
      </c>
      <c r="F367" s="30">
        <f>COUNTIF($D$23:$D$1022,"&lt;"&amp;D367)+(COUNTIF($D$23:$D$1022,"="&amp;D367)+1)/2</f>
        <v/>
      </c>
    </row>
    <row r="368">
      <c r="B368" s="27">
        <f>'1 Data'!B357</f>
        <v/>
      </c>
      <c r="C368" s="29">
        <f>IF('1 Data'!E357&lt;=1.5,IF('1 Data'!F357&lt;=1.5,IF('1 Data'!G357&lt;=0.0003,1,2),IF('1 Data'!C357&lt;=165000,3,4)),IF('1 Data'!G357&lt;=0.0652,5,IF('1 Data'!G357&lt;=0.716,6,7)))</f>
        <v/>
      </c>
      <c r="D368" s="23">
        <f>INDEX($F$12:$F$18,C368)</f>
        <v/>
      </c>
      <c r="E368" s="27">
        <f>'1 Data'!I357</f>
        <v/>
      </c>
      <c r="F368" s="30">
        <f>COUNTIF($D$23:$D$1022,"&lt;"&amp;D368)+(COUNTIF($D$23:$D$1022,"="&amp;D368)+1)/2</f>
        <v/>
      </c>
    </row>
    <row r="369">
      <c r="B369" s="27">
        <f>'1 Data'!B358</f>
        <v/>
      </c>
      <c r="C369" s="29">
        <f>IF('1 Data'!E358&lt;=1.5,IF('1 Data'!F358&lt;=1.5,IF('1 Data'!G358&lt;=0.0003,1,2),IF('1 Data'!C358&lt;=165000,3,4)),IF('1 Data'!G358&lt;=0.0652,5,IF('1 Data'!G358&lt;=0.716,6,7)))</f>
        <v/>
      </c>
      <c r="D369" s="23">
        <f>INDEX($F$12:$F$18,C369)</f>
        <v/>
      </c>
      <c r="E369" s="27">
        <f>'1 Data'!I358</f>
        <v/>
      </c>
      <c r="F369" s="30">
        <f>COUNTIF($D$23:$D$1022,"&lt;"&amp;D369)+(COUNTIF($D$23:$D$1022,"="&amp;D369)+1)/2</f>
        <v/>
      </c>
    </row>
    <row r="370">
      <c r="B370" s="27">
        <f>'1 Data'!B359</f>
        <v/>
      </c>
      <c r="C370" s="29">
        <f>IF('1 Data'!E359&lt;=1.5,IF('1 Data'!F359&lt;=1.5,IF('1 Data'!G359&lt;=0.0003,1,2),IF('1 Data'!C359&lt;=165000,3,4)),IF('1 Data'!G359&lt;=0.0652,5,IF('1 Data'!G359&lt;=0.716,6,7)))</f>
        <v/>
      </c>
      <c r="D370" s="23">
        <f>INDEX($F$12:$F$18,C370)</f>
        <v/>
      </c>
      <c r="E370" s="27">
        <f>'1 Data'!I359</f>
        <v/>
      </c>
      <c r="F370" s="30">
        <f>COUNTIF($D$23:$D$1022,"&lt;"&amp;D370)+(COUNTIF($D$23:$D$1022,"="&amp;D370)+1)/2</f>
        <v/>
      </c>
    </row>
    <row r="371">
      <c r="B371" s="27">
        <f>'1 Data'!B360</f>
        <v/>
      </c>
      <c r="C371" s="29">
        <f>IF('1 Data'!E360&lt;=1.5,IF('1 Data'!F360&lt;=1.5,IF('1 Data'!G360&lt;=0.0003,1,2),IF('1 Data'!C360&lt;=165000,3,4)),IF('1 Data'!G360&lt;=0.0652,5,IF('1 Data'!G360&lt;=0.716,6,7)))</f>
        <v/>
      </c>
      <c r="D371" s="23">
        <f>INDEX($F$12:$F$18,C371)</f>
        <v/>
      </c>
      <c r="E371" s="27">
        <f>'1 Data'!I360</f>
        <v/>
      </c>
      <c r="F371" s="30">
        <f>COUNTIF($D$23:$D$1022,"&lt;"&amp;D371)+(COUNTIF($D$23:$D$1022,"="&amp;D371)+1)/2</f>
        <v/>
      </c>
    </row>
    <row r="372">
      <c r="B372" s="27">
        <f>'1 Data'!B361</f>
        <v/>
      </c>
      <c r="C372" s="29">
        <f>IF('1 Data'!E361&lt;=1.5,IF('1 Data'!F361&lt;=1.5,IF('1 Data'!G361&lt;=0.0003,1,2),IF('1 Data'!C361&lt;=165000,3,4)),IF('1 Data'!G361&lt;=0.0652,5,IF('1 Data'!G361&lt;=0.716,6,7)))</f>
        <v/>
      </c>
      <c r="D372" s="23">
        <f>INDEX($F$12:$F$18,C372)</f>
        <v/>
      </c>
      <c r="E372" s="27">
        <f>'1 Data'!I361</f>
        <v/>
      </c>
      <c r="F372" s="30">
        <f>COUNTIF($D$23:$D$1022,"&lt;"&amp;D372)+(COUNTIF($D$23:$D$1022,"="&amp;D372)+1)/2</f>
        <v/>
      </c>
    </row>
    <row r="373">
      <c r="B373" s="27">
        <f>'1 Data'!B362</f>
        <v/>
      </c>
      <c r="C373" s="29">
        <f>IF('1 Data'!E362&lt;=1.5,IF('1 Data'!F362&lt;=1.5,IF('1 Data'!G362&lt;=0.0003,1,2),IF('1 Data'!C362&lt;=165000,3,4)),IF('1 Data'!G362&lt;=0.0652,5,IF('1 Data'!G362&lt;=0.716,6,7)))</f>
        <v/>
      </c>
      <c r="D373" s="23">
        <f>INDEX($F$12:$F$18,C373)</f>
        <v/>
      </c>
      <c r="E373" s="27">
        <f>'1 Data'!I362</f>
        <v/>
      </c>
      <c r="F373" s="30">
        <f>COUNTIF($D$23:$D$1022,"&lt;"&amp;D373)+(COUNTIF($D$23:$D$1022,"="&amp;D373)+1)/2</f>
        <v/>
      </c>
    </row>
    <row r="374">
      <c r="B374" s="27">
        <f>'1 Data'!B363</f>
        <v/>
      </c>
      <c r="C374" s="29">
        <f>IF('1 Data'!E363&lt;=1.5,IF('1 Data'!F363&lt;=1.5,IF('1 Data'!G363&lt;=0.0003,1,2),IF('1 Data'!C363&lt;=165000,3,4)),IF('1 Data'!G363&lt;=0.0652,5,IF('1 Data'!G363&lt;=0.716,6,7)))</f>
        <v/>
      </c>
      <c r="D374" s="23">
        <f>INDEX($F$12:$F$18,C374)</f>
        <v/>
      </c>
      <c r="E374" s="27">
        <f>'1 Data'!I363</f>
        <v/>
      </c>
      <c r="F374" s="30">
        <f>COUNTIF($D$23:$D$1022,"&lt;"&amp;D374)+(COUNTIF($D$23:$D$1022,"="&amp;D374)+1)/2</f>
        <v/>
      </c>
    </row>
    <row r="375">
      <c r="B375" s="27">
        <f>'1 Data'!B364</f>
        <v/>
      </c>
      <c r="C375" s="29">
        <f>IF('1 Data'!E364&lt;=1.5,IF('1 Data'!F364&lt;=1.5,IF('1 Data'!G364&lt;=0.0003,1,2),IF('1 Data'!C364&lt;=165000,3,4)),IF('1 Data'!G364&lt;=0.0652,5,IF('1 Data'!G364&lt;=0.716,6,7)))</f>
        <v/>
      </c>
      <c r="D375" s="23">
        <f>INDEX($F$12:$F$18,C375)</f>
        <v/>
      </c>
      <c r="E375" s="27">
        <f>'1 Data'!I364</f>
        <v/>
      </c>
      <c r="F375" s="30">
        <f>COUNTIF($D$23:$D$1022,"&lt;"&amp;D375)+(COUNTIF($D$23:$D$1022,"="&amp;D375)+1)/2</f>
        <v/>
      </c>
    </row>
    <row r="376">
      <c r="B376" s="27">
        <f>'1 Data'!B365</f>
        <v/>
      </c>
      <c r="C376" s="29">
        <f>IF('1 Data'!E365&lt;=1.5,IF('1 Data'!F365&lt;=1.5,IF('1 Data'!G365&lt;=0.0003,1,2),IF('1 Data'!C365&lt;=165000,3,4)),IF('1 Data'!G365&lt;=0.0652,5,IF('1 Data'!G365&lt;=0.716,6,7)))</f>
        <v/>
      </c>
      <c r="D376" s="23">
        <f>INDEX($F$12:$F$18,C376)</f>
        <v/>
      </c>
      <c r="E376" s="27">
        <f>'1 Data'!I365</f>
        <v/>
      </c>
      <c r="F376" s="30">
        <f>COUNTIF($D$23:$D$1022,"&lt;"&amp;D376)+(COUNTIF($D$23:$D$1022,"="&amp;D376)+1)/2</f>
        <v/>
      </c>
    </row>
    <row r="377">
      <c r="B377" s="27">
        <f>'1 Data'!B366</f>
        <v/>
      </c>
      <c r="C377" s="29">
        <f>IF('1 Data'!E366&lt;=1.5,IF('1 Data'!F366&lt;=1.5,IF('1 Data'!G366&lt;=0.0003,1,2),IF('1 Data'!C366&lt;=165000,3,4)),IF('1 Data'!G366&lt;=0.0652,5,IF('1 Data'!G366&lt;=0.716,6,7)))</f>
        <v/>
      </c>
      <c r="D377" s="23">
        <f>INDEX($F$12:$F$18,C377)</f>
        <v/>
      </c>
      <c r="E377" s="27">
        <f>'1 Data'!I366</f>
        <v/>
      </c>
      <c r="F377" s="30">
        <f>COUNTIF($D$23:$D$1022,"&lt;"&amp;D377)+(COUNTIF($D$23:$D$1022,"="&amp;D377)+1)/2</f>
        <v/>
      </c>
    </row>
    <row r="378">
      <c r="B378" s="27">
        <f>'1 Data'!B367</f>
        <v/>
      </c>
      <c r="C378" s="29">
        <f>IF('1 Data'!E367&lt;=1.5,IF('1 Data'!F367&lt;=1.5,IF('1 Data'!G367&lt;=0.0003,1,2),IF('1 Data'!C367&lt;=165000,3,4)),IF('1 Data'!G367&lt;=0.0652,5,IF('1 Data'!G367&lt;=0.716,6,7)))</f>
        <v/>
      </c>
      <c r="D378" s="23">
        <f>INDEX($F$12:$F$18,C378)</f>
        <v/>
      </c>
      <c r="E378" s="27">
        <f>'1 Data'!I367</f>
        <v/>
      </c>
      <c r="F378" s="30">
        <f>COUNTIF($D$23:$D$1022,"&lt;"&amp;D378)+(COUNTIF($D$23:$D$1022,"="&amp;D378)+1)/2</f>
        <v/>
      </c>
    </row>
    <row r="379">
      <c r="B379" s="27">
        <f>'1 Data'!B368</f>
        <v/>
      </c>
      <c r="C379" s="29">
        <f>IF('1 Data'!E368&lt;=1.5,IF('1 Data'!F368&lt;=1.5,IF('1 Data'!G368&lt;=0.0003,1,2),IF('1 Data'!C368&lt;=165000,3,4)),IF('1 Data'!G368&lt;=0.0652,5,IF('1 Data'!G368&lt;=0.716,6,7)))</f>
        <v/>
      </c>
      <c r="D379" s="23">
        <f>INDEX($F$12:$F$18,C379)</f>
        <v/>
      </c>
      <c r="E379" s="27">
        <f>'1 Data'!I368</f>
        <v/>
      </c>
      <c r="F379" s="30">
        <f>COUNTIF($D$23:$D$1022,"&lt;"&amp;D379)+(COUNTIF($D$23:$D$1022,"="&amp;D379)+1)/2</f>
        <v/>
      </c>
    </row>
    <row r="380">
      <c r="B380" s="27">
        <f>'1 Data'!B369</f>
        <v/>
      </c>
      <c r="C380" s="29">
        <f>IF('1 Data'!E369&lt;=1.5,IF('1 Data'!F369&lt;=1.5,IF('1 Data'!G369&lt;=0.0003,1,2),IF('1 Data'!C369&lt;=165000,3,4)),IF('1 Data'!G369&lt;=0.0652,5,IF('1 Data'!G369&lt;=0.716,6,7)))</f>
        <v/>
      </c>
      <c r="D380" s="23">
        <f>INDEX($F$12:$F$18,C380)</f>
        <v/>
      </c>
      <c r="E380" s="27">
        <f>'1 Data'!I369</f>
        <v/>
      </c>
      <c r="F380" s="30">
        <f>COUNTIF($D$23:$D$1022,"&lt;"&amp;D380)+(COUNTIF($D$23:$D$1022,"="&amp;D380)+1)/2</f>
        <v/>
      </c>
    </row>
    <row r="381">
      <c r="B381" s="27">
        <f>'1 Data'!B370</f>
        <v/>
      </c>
      <c r="C381" s="29">
        <f>IF('1 Data'!E370&lt;=1.5,IF('1 Data'!F370&lt;=1.5,IF('1 Data'!G370&lt;=0.0003,1,2),IF('1 Data'!C370&lt;=165000,3,4)),IF('1 Data'!G370&lt;=0.0652,5,IF('1 Data'!G370&lt;=0.716,6,7)))</f>
        <v/>
      </c>
      <c r="D381" s="23">
        <f>INDEX($F$12:$F$18,C381)</f>
        <v/>
      </c>
      <c r="E381" s="27">
        <f>'1 Data'!I370</f>
        <v/>
      </c>
      <c r="F381" s="30">
        <f>COUNTIF($D$23:$D$1022,"&lt;"&amp;D381)+(COUNTIF($D$23:$D$1022,"="&amp;D381)+1)/2</f>
        <v/>
      </c>
    </row>
    <row r="382">
      <c r="B382" s="27">
        <f>'1 Data'!B371</f>
        <v/>
      </c>
      <c r="C382" s="29">
        <f>IF('1 Data'!E371&lt;=1.5,IF('1 Data'!F371&lt;=1.5,IF('1 Data'!G371&lt;=0.0003,1,2),IF('1 Data'!C371&lt;=165000,3,4)),IF('1 Data'!G371&lt;=0.0652,5,IF('1 Data'!G371&lt;=0.716,6,7)))</f>
        <v/>
      </c>
      <c r="D382" s="23">
        <f>INDEX($F$12:$F$18,C382)</f>
        <v/>
      </c>
      <c r="E382" s="27">
        <f>'1 Data'!I371</f>
        <v/>
      </c>
      <c r="F382" s="30">
        <f>COUNTIF($D$23:$D$1022,"&lt;"&amp;D382)+(COUNTIF($D$23:$D$1022,"="&amp;D382)+1)/2</f>
        <v/>
      </c>
    </row>
    <row r="383">
      <c r="B383" s="27">
        <f>'1 Data'!B372</f>
        <v/>
      </c>
      <c r="C383" s="29">
        <f>IF('1 Data'!E372&lt;=1.5,IF('1 Data'!F372&lt;=1.5,IF('1 Data'!G372&lt;=0.0003,1,2),IF('1 Data'!C372&lt;=165000,3,4)),IF('1 Data'!G372&lt;=0.0652,5,IF('1 Data'!G372&lt;=0.716,6,7)))</f>
        <v/>
      </c>
      <c r="D383" s="23">
        <f>INDEX($F$12:$F$18,C383)</f>
        <v/>
      </c>
      <c r="E383" s="27">
        <f>'1 Data'!I372</f>
        <v/>
      </c>
      <c r="F383" s="30">
        <f>COUNTIF($D$23:$D$1022,"&lt;"&amp;D383)+(COUNTIF($D$23:$D$1022,"="&amp;D383)+1)/2</f>
        <v/>
      </c>
    </row>
    <row r="384">
      <c r="B384" s="27">
        <f>'1 Data'!B373</f>
        <v/>
      </c>
      <c r="C384" s="29">
        <f>IF('1 Data'!E373&lt;=1.5,IF('1 Data'!F373&lt;=1.5,IF('1 Data'!G373&lt;=0.0003,1,2),IF('1 Data'!C373&lt;=165000,3,4)),IF('1 Data'!G373&lt;=0.0652,5,IF('1 Data'!G373&lt;=0.716,6,7)))</f>
        <v/>
      </c>
      <c r="D384" s="23">
        <f>INDEX($F$12:$F$18,C384)</f>
        <v/>
      </c>
      <c r="E384" s="27">
        <f>'1 Data'!I373</f>
        <v/>
      </c>
      <c r="F384" s="30">
        <f>COUNTIF($D$23:$D$1022,"&lt;"&amp;D384)+(COUNTIF($D$23:$D$1022,"="&amp;D384)+1)/2</f>
        <v/>
      </c>
    </row>
    <row r="385">
      <c r="B385" s="27">
        <f>'1 Data'!B374</f>
        <v/>
      </c>
      <c r="C385" s="29">
        <f>IF('1 Data'!E374&lt;=1.5,IF('1 Data'!F374&lt;=1.5,IF('1 Data'!G374&lt;=0.0003,1,2),IF('1 Data'!C374&lt;=165000,3,4)),IF('1 Data'!G374&lt;=0.0652,5,IF('1 Data'!G374&lt;=0.716,6,7)))</f>
        <v/>
      </c>
      <c r="D385" s="23">
        <f>INDEX($F$12:$F$18,C385)</f>
        <v/>
      </c>
      <c r="E385" s="27">
        <f>'1 Data'!I374</f>
        <v/>
      </c>
      <c r="F385" s="30">
        <f>COUNTIF($D$23:$D$1022,"&lt;"&amp;D385)+(COUNTIF($D$23:$D$1022,"="&amp;D385)+1)/2</f>
        <v/>
      </c>
    </row>
    <row r="386">
      <c r="B386" s="27">
        <f>'1 Data'!B375</f>
        <v/>
      </c>
      <c r="C386" s="29">
        <f>IF('1 Data'!E375&lt;=1.5,IF('1 Data'!F375&lt;=1.5,IF('1 Data'!G375&lt;=0.0003,1,2),IF('1 Data'!C375&lt;=165000,3,4)),IF('1 Data'!G375&lt;=0.0652,5,IF('1 Data'!G375&lt;=0.716,6,7)))</f>
        <v/>
      </c>
      <c r="D386" s="23">
        <f>INDEX($F$12:$F$18,C386)</f>
        <v/>
      </c>
      <c r="E386" s="27">
        <f>'1 Data'!I375</f>
        <v/>
      </c>
      <c r="F386" s="30">
        <f>COUNTIF($D$23:$D$1022,"&lt;"&amp;D386)+(COUNTIF($D$23:$D$1022,"="&amp;D386)+1)/2</f>
        <v/>
      </c>
    </row>
    <row r="387">
      <c r="B387" s="27">
        <f>'1 Data'!B376</f>
        <v/>
      </c>
      <c r="C387" s="29">
        <f>IF('1 Data'!E376&lt;=1.5,IF('1 Data'!F376&lt;=1.5,IF('1 Data'!G376&lt;=0.0003,1,2),IF('1 Data'!C376&lt;=165000,3,4)),IF('1 Data'!G376&lt;=0.0652,5,IF('1 Data'!G376&lt;=0.716,6,7)))</f>
        <v/>
      </c>
      <c r="D387" s="23">
        <f>INDEX($F$12:$F$18,C387)</f>
        <v/>
      </c>
      <c r="E387" s="27">
        <f>'1 Data'!I376</f>
        <v/>
      </c>
      <c r="F387" s="30">
        <f>COUNTIF($D$23:$D$1022,"&lt;"&amp;D387)+(COUNTIF($D$23:$D$1022,"="&amp;D387)+1)/2</f>
        <v/>
      </c>
    </row>
    <row r="388">
      <c r="B388" s="27">
        <f>'1 Data'!B377</f>
        <v/>
      </c>
      <c r="C388" s="29">
        <f>IF('1 Data'!E377&lt;=1.5,IF('1 Data'!F377&lt;=1.5,IF('1 Data'!G377&lt;=0.0003,1,2),IF('1 Data'!C377&lt;=165000,3,4)),IF('1 Data'!G377&lt;=0.0652,5,IF('1 Data'!G377&lt;=0.716,6,7)))</f>
        <v/>
      </c>
      <c r="D388" s="23">
        <f>INDEX($F$12:$F$18,C388)</f>
        <v/>
      </c>
      <c r="E388" s="27">
        <f>'1 Data'!I377</f>
        <v/>
      </c>
      <c r="F388" s="30">
        <f>COUNTIF($D$23:$D$1022,"&lt;"&amp;D388)+(COUNTIF($D$23:$D$1022,"="&amp;D388)+1)/2</f>
        <v/>
      </c>
    </row>
    <row r="389">
      <c r="B389" s="27">
        <f>'1 Data'!B378</f>
        <v/>
      </c>
      <c r="C389" s="29">
        <f>IF('1 Data'!E378&lt;=1.5,IF('1 Data'!F378&lt;=1.5,IF('1 Data'!G378&lt;=0.0003,1,2),IF('1 Data'!C378&lt;=165000,3,4)),IF('1 Data'!G378&lt;=0.0652,5,IF('1 Data'!G378&lt;=0.716,6,7)))</f>
        <v/>
      </c>
      <c r="D389" s="23">
        <f>INDEX($F$12:$F$18,C389)</f>
        <v/>
      </c>
      <c r="E389" s="27">
        <f>'1 Data'!I378</f>
        <v/>
      </c>
      <c r="F389" s="30">
        <f>COUNTIF($D$23:$D$1022,"&lt;"&amp;D389)+(COUNTIF($D$23:$D$1022,"="&amp;D389)+1)/2</f>
        <v/>
      </c>
    </row>
    <row r="390">
      <c r="B390" s="27">
        <f>'1 Data'!B379</f>
        <v/>
      </c>
      <c r="C390" s="29">
        <f>IF('1 Data'!E379&lt;=1.5,IF('1 Data'!F379&lt;=1.5,IF('1 Data'!G379&lt;=0.0003,1,2),IF('1 Data'!C379&lt;=165000,3,4)),IF('1 Data'!G379&lt;=0.0652,5,IF('1 Data'!G379&lt;=0.716,6,7)))</f>
        <v/>
      </c>
      <c r="D390" s="23">
        <f>INDEX($F$12:$F$18,C390)</f>
        <v/>
      </c>
      <c r="E390" s="27">
        <f>'1 Data'!I379</f>
        <v/>
      </c>
      <c r="F390" s="30">
        <f>COUNTIF($D$23:$D$1022,"&lt;"&amp;D390)+(COUNTIF($D$23:$D$1022,"="&amp;D390)+1)/2</f>
        <v/>
      </c>
    </row>
    <row r="391">
      <c r="B391" s="27">
        <f>'1 Data'!B380</f>
        <v/>
      </c>
      <c r="C391" s="29">
        <f>IF('1 Data'!E380&lt;=1.5,IF('1 Data'!F380&lt;=1.5,IF('1 Data'!G380&lt;=0.0003,1,2),IF('1 Data'!C380&lt;=165000,3,4)),IF('1 Data'!G380&lt;=0.0652,5,IF('1 Data'!G380&lt;=0.716,6,7)))</f>
        <v/>
      </c>
      <c r="D391" s="23">
        <f>INDEX($F$12:$F$18,C391)</f>
        <v/>
      </c>
      <c r="E391" s="27">
        <f>'1 Data'!I380</f>
        <v/>
      </c>
      <c r="F391" s="30">
        <f>COUNTIF($D$23:$D$1022,"&lt;"&amp;D391)+(COUNTIF($D$23:$D$1022,"="&amp;D391)+1)/2</f>
        <v/>
      </c>
    </row>
    <row r="392">
      <c r="B392" s="27">
        <f>'1 Data'!B381</f>
        <v/>
      </c>
      <c r="C392" s="29">
        <f>IF('1 Data'!E381&lt;=1.5,IF('1 Data'!F381&lt;=1.5,IF('1 Data'!G381&lt;=0.0003,1,2),IF('1 Data'!C381&lt;=165000,3,4)),IF('1 Data'!G381&lt;=0.0652,5,IF('1 Data'!G381&lt;=0.716,6,7)))</f>
        <v/>
      </c>
      <c r="D392" s="23">
        <f>INDEX($F$12:$F$18,C392)</f>
        <v/>
      </c>
      <c r="E392" s="27">
        <f>'1 Data'!I381</f>
        <v/>
      </c>
      <c r="F392" s="30">
        <f>COUNTIF($D$23:$D$1022,"&lt;"&amp;D392)+(COUNTIF($D$23:$D$1022,"="&amp;D392)+1)/2</f>
        <v/>
      </c>
    </row>
    <row r="393">
      <c r="B393" s="27">
        <f>'1 Data'!B382</f>
        <v/>
      </c>
      <c r="C393" s="29">
        <f>IF('1 Data'!E382&lt;=1.5,IF('1 Data'!F382&lt;=1.5,IF('1 Data'!G382&lt;=0.0003,1,2),IF('1 Data'!C382&lt;=165000,3,4)),IF('1 Data'!G382&lt;=0.0652,5,IF('1 Data'!G382&lt;=0.716,6,7)))</f>
        <v/>
      </c>
      <c r="D393" s="23">
        <f>INDEX($F$12:$F$18,C393)</f>
        <v/>
      </c>
      <c r="E393" s="27">
        <f>'1 Data'!I382</f>
        <v/>
      </c>
      <c r="F393" s="30">
        <f>COUNTIF($D$23:$D$1022,"&lt;"&amp;D393)+(COUNTIF($D$23:$D$1022,"="&amp;D393)+1)/2</f>
        <v/>
      </c>
    </row>
    <row r="394">
      <c r="B394" s="27">
        <f>'1 Data'!B383</f>
        <v/>
      </c>
      <c r="C394" s="29">
        <f>IF('1 Data'!E383&lt;=1.5,IF('1 Data'!F383&lt;=1.5,IF('1 Data'!G383&lt;=0.0003,1,2),IF('1 Data'!C383&lt;=165000,3,4)),IF('1 Data'!G383&lt;=0.0652,5,IF('1 Data'!G383&lt;=0.716,6,7)))</f>
        <v/>
      </c>
      <c r="D394" s="23">
        <f>INDEX($F$12:$F$18,C394)</f>
        <v/>
      </c>
      <c r="E394" s="27">
        <f>'1 Data'!I383</f>
        <v/>
      </c>
      <c r="F394" s="30">
        <f>COUNTIF($D$23:$D$1022,"&lt;"&amp;D394)+(COUNTIF($D$23:$D$1022,"="&amp;D394)+1)/2</f>
        <v/>
      </c>
    </row>
    <row r="395">
      <c r="B395" s="27">
        <f>'1 Data'!B384</f>
        <v/>
      </c>
      <c r="C395" s="29">
        <f>IF('1 Data'!E384&lt;=1.5,IF('1 Data'!F384&lt;=1.5,IF('1 Data'!G384&lt;=0.0003,1,2),IF('1 Data'!C384&lt;=165000,3,4)),IF('1 Data'!G384&lt;=0.0652,5,IF('1 Data'!G384&lt;=0.716,6,7)))</f>
        <v/>
      </c>
      <c r="D395" s="23">
        <f>INDEX($F$12:$F$18,C395)</f>
        <v/>
      </c>
      <c r="E395" s="27">
        <f>'1 Data'!I384</f>
        <v/>
      </c>
      <c r="F395" s="30">
        <f>COUNTIF($D$23:$D$1022,"&lt;"&amp;D395)+(COUNTIF($D$23:$D$1022,"="&amp;D395)+1)/2</f>
        <v/>
      </c>
    </row>
    <row r="396">
      <c r="B396" s="27">
        <f>'1 Data'!B385</f>
        <v/>
      </c>
      <c r="C396" s="29">
        <f>IF('1 Data'!E385&lt;=1.5,IF('1 Data'!F385&lt;=1.5,IF('1 Data'!G385&lt;=0.0003,1,2),IF('1 Data'!C385&lt;=165000,3,4)),IF('1 Data'!G385&lt;=0.0652,5,IF('1 Data'!G385&lt;=0.716,6,7)))</f>
        <v/>
      </c>
      <c r="D396" s="23">
        <f>INDEX($F$12:$F$18,C396)</f>
        <v/>
      </c>
      <c r="E396" s="27">
        <f>'1 Data'!I385</f>
        <v/>
      </c>
      <c r="F396" s="30">
        <f>COUNTIF($D$23:$D$1022,"&lt;"&amp;D396)+(COUNTIF($D$23:$D$1022,"="&amp;D396)+1)/2</f>
        <v/>
      </c>
    </row>
    <row r="397">
      <c r="B397" s="27">
        <f>'1 Data'!B386</f>
        <v/>
      </c>
      <c r="C397" s="29">
        <f>IF('1 Data'!E386&lt;=1.5,IF('1 Data'!F386&lt;=1.5,IF('1 Data'!G386&lt;=0.0003,1,2),IF('1 Data'!C386&lt;=165000,3,4)),IF('1 Data'!G386&lt;=0.0652,5,IF('1 Data'!G386&lt;=0.716,6,7)))</f>
        <v/>
      </c>
      <c r="D397" s="23">
        <f>INDEX($F$12:$F$18,C397)</f>
        <v/>
      </c>
      <c r="E397" s="27">
        <f>'1 Data'!I386</f>
        <v/>
      </c>
      <c r="F397" s="30">
        <f>COUNTIF($D$23:$D$1022,"&lt;"&amp;D397)+(COUNTIF($D$23:$D$1022,"="&amp;D397)+1)/2</f>
        <v/>
      </c>
    </row>
    <row r="398">
      <c r="B398" s="27">
        <f>'1 Data'!B387</f>
        <v/>
      </c>
      <c r="C398" s="29">
        <f>IF('1 Data'!E387&lt;=1.5,IF('1 Data'!F387&lt;=1.5,IF('1 Data'!G387&lt;=0.0003,1,2),IF('1 Data'!C387&lt;=165000,3,4)),IF('1 Data'!G387&lt;=0.0652,5,IF('1 Data'!G387&lt;=0.716,6,7)))</f>
        <v/>
      </c>
      <c r="D398" s="23">
        <f>INDEX($F$12:$F$18,C398)</f>
        <v/>
      </c>
      <c r="E398" s="27">
        <f>'1 Data'!I387</f>
        <v/>
      </c>
      <c r="F398" s="30">
        <f>COUNTIF($D$23:$D$1022,"&lt;"&amp;D398)+(COUNTIF($D$23:$D$1022,"="&amp;D398)+1)/2</f>
        <v/>
      </c>
    </row>
    <row r="399">
      <c r="B399" s="27">
        <f>'1 Data'!B388</f>
        <v/>
      </c>
      <c r="C399" s="29">
        <f>IF('1 Data'!E388&lt;=1.5,IF('1 Data'!F388&lt;=1.5,IF('1 Data'!G388&lt;=0.0003,1,2),IF('1 Data'!C388&lt;=165000,3,4)),IF('1 Data'!G388&lt;=0.0652,5,IF('1 Data'!G388&lt;=0.716,6,7)))</f>
        <v/>
      </c>
      <c r="D399" s="23">
        <f>INDEX($F$12:$F$18,C399)</f>
        <v/>
      </c>
      <c r="E399" s="27">
        <f>'1 Data'!I388</f>
        <v/>
      </c>
      <c r="F399" s="30">
        <f>COUNTIF($D$23:$D$1022,"&lt;"&amp;D399)+(COUNTIF($D$23:$D$1022,"="&amp;D399)+1)/2</f>
        <v/>
      </c>
    </row>
    <row r="400">
      <c r="B400" s="27">
        <f>'1 Data'!B389</f>
        <v/>
      </c>
      <c r="C400" s="29">
        <f>IF('1 Data'!E389&lt;=1.5,IF('1 Data'!F389&lt;=1.5,IF('1 Data'!G389&lt;=0.0003,1,2),IF('1 Data'!C389&lt;=165000,3,4)),IF('1 Data'!G389&lt;=0.0652,5,IF('1 Data'!G389&lt;=0.716,6,7)))</f>
        <v/>
      </c>
      <c r="D400" s="23">
        <f>INDEX($F$12:$F$18,C400)</f>
        <v/>
      </c>
      <c r="E400" s="27">
        <f>'1 Data'!I389</f>
        <v/>
      </c>
      <c r="F400" s="30">
        <f>COUNTIF($D$23:$D$1022,"&lt;"&amp;D400)+(COUNTIF($D$23:$D$1022,"="&amp;D400)+1)/2</f>
        <v/>
      </c>
    </row>
    <row r="401">
      <c r="B401" s="27">
        <f>'1 Data'!B390</f>
        <v/>
      </c>
      <c r="C401" s="29">
        <f>IF('1 Data'!E390&lt;=1.5,IF('1 Data'!F390&lt;=1.5,IF('1 Data'!G390&lt;=0.0003,1,2),IF('1 Data'!C390&lt;=165000,3,4)),IF('1 Data'!G390&lt;=0.0652,5,IF('1 Data'!G390&lt;=0.716,6,7)))</f>
        <v/>
      </c>
      <c r="D401" s="23">
        <f>INDEX($F$12:$F$18,C401)</f>
        <v/>
      </c>
      <c r="E401" s="27">
        <f>'1 Data'!I390</f>
        <v/>
      </c>
      <c r="F401" s="30">
        <f>COUNTIF($D$23:$D$1022,"&lt;"&amp;D401)+(COUNTIF($D$23:$D$1022,"="&amp;D401)+1)/2</f>
        <v/>
      </c>
    </row>
    <row r="402">
      <c r="B402" s="27">
        <f>'1 Data'!B391</f>
        <v/>
      </c>
      <c r="C402" s="29">
        <f>IF('1 Data'!E391&lt;=1.5,IF('1 Data'!F391&lt;=1.5,IF('1 Data'!G391&lt;=0.0003,1,2),IF('1 Data'!C391&lt;=165000,3,4)),IF('1 Data'!G391&lt;=0.0652,5,IF('1 Data'!G391&lt;=0.716,6,7)))</f>
        <v/>
      </c>
      <c r="D402" s="23">
        <f>INDEX($F$12:$F$18,C402)</f>
        <v/>
      </c>
      <c r="E402" s="27">
        <f>'1 Data'!I391</f>
        <v/>
      </c>
      <c r="F402" s="30">
        <f>COUNTIF($D$23:$D$1022,"&lt;"&amp;D402)+(COUNTIF($D$23:$D$1022,"="&amp;D402)+1)/2</f>
        <v/>
      </c>
    </row>
    <row r="403">
      <c r="B403" s="27">
        <f>'1 Data'!B392</f>
        <v/>
      </c>
      <c r="C403" s="29">
        <f>IF('1 Data'!E392&lt;=1.5,IF('1 Data'!F392&lt;=1.5,IF('1 Data'!G392&lt;=0.0003,1,2),IF('1 Data'!C392&lt;=165000,3,4)),IF('1 Data'!G392&lt;=0.0652,5,IF('1 Data'!G392&lt;=0.716,6,7)))</f>
        <v/>
      </c>
      <c r="D403" s="23">
        <f>INDEX($F$12:$F$18,C403)</f>
        <v/>
      </c>
      <c r="E403" s="27">
        <f>'1 Data'!I392</f>
        <v/>
      </c>
      <c r="F403" s="30">
        <f>COUNTIF($D$23:$D$1022,"&lt;"&amp;D403)+(COUNTIF($D$23:$D$1022,"="&amp;D403)+1)/2</f>
        <v/>
      </c>
    </row>
    <row r="404">
      <c r="B404" s="27">
        <f>'1 Data'!B393</f>
        <v/>
      </c>
      <c r="C404" s="29">
        <f>IF('1 Data'!E393&lt;=1.5,IF('1 Data'!F393&lt;=1.5,IF('1 Data'!G393&lt;=0.0003,1,2),IF('1 Data'!C393&lt;=165000,3,4)),IF('1 Data'!G393&lt;=0.0652,5,IF('1 Data'!G393&lt;=0.716,6,7)))</f>
        <v/>
      </c>
      <c r="D404" s="23">
        <f>INDEX($F$12:$F$18,C404)</f>
        <v/>
      </c>
      <c r="E404" s="27">
        <f>'1 Data'!I393</f>
        <v/>
      </c>
      <c r="F404" s="30">
        <f>COUNTIF($D$23:$D$1022,"&lt;"&amp;D404)+(COUNTIF($D$23:$D$1022,"="&amp;D404)+1)/2</f>
        <v/>
      </c>
    </row>
    <row r="405">
      <c r="B405" s="27">
        <f>'1 Data'!B394</f>
        <v/>
      </c>
      <c r="C405" s="29">
        <f>IF('1 Data'!E394&lt;=1.5,IF('1 Data'!F394&lt;=1.5,IF('1 Data'!G394&lt;=0.0003,1,2),IF('1 Data'!C394&lt;=165000,3,4)),IF('1 Data'!G394&lt;=0.0652,5,IF('1 Data'!G394&lt;=0.716,6,7)))</f>
        <v/>
      </c>
      <c r="D405" s="23">
        <f>INDEX($F$12:$F$18,C405)</f>
        <v/>
      </c>
      <c r="E405" s="27">
        <f>'1 Data'!I394</f>
        <v/>
      </c>
      <c r="F405" s="30">
        <f>COUNTIF($D$23:$D$1022,"&lt;"&amp;D405)+(COUNTIF($D$23:$D$1022,"="&amp;D405)+1)/2</f>
        <v/>
      </c>
    </row>
    <row r="406">
      <c r="B406" s="27">
        <f>'1 Data'!B395</f>
        <v/>
      </c>
      <c r="C406" s="29">
        <f>IF('1 Data'!E395&lt;=1.5,IF('1 Data'!F395&lt;=1.5,IF('1 Data'!G395&lt;=0.0003,1,2),IF('1 Data'!C395&lt;=165000,3,4)),IF('1 Data'!G395&lt;=0.0652,5,IF('1 Data'!G395&lt;=0.716,6,7)))</f>
        <v/>
      </c>
      <c r="D406" s="23">
        <f>INDEX($F$12:$F$18,C406)</f>
        <v/>
      </c>
      <c r="E406" s="27">
        <f>'1 Data'!I395</f>
        <v/>
      </c>
      <c r="F406" s="30">
        <f>COUNTIF($D$23:$D$1022,"&lt;"&amp;D406)+(COUNTIF($D$23:$D$1022,"="&amp;D406)+1)/2</f>
        <v/>
      </c>
    </row>
    <row r="407">
      <c r="B407" s="27">
        <f>'1 Data'!B396</f>
        <v/>
      </c>
      <c r="C407" s="29">
        <f>IF('1 Data'!E396&lt;=1.5,IF('1 Data'!F396&lt;=1.5,IF('1 Data'!G396&lt;=0.0003,1,2),IF('1 Data'!C396&lt;=165000,3,4)),IF('1 Data'!G396&lt;=0.0652,5,IF('1 Data'!G396&lt;=0.716,6,7)))</f>
        <v/>
      </c>
      <c r="D407" s="23">
        <f>INDEX($F$12:$F$18,C407)</f>
        <v/>
      </c>
      <c r="E407" s="27">
        <f>'1 Data'!I396</f>
        <v/>
      </c>
      <c r="F407" s="30">
        <f>COUNTIF($D$23:$D$1022,"&lt;"&amp;D407)+(COUNTIF($D$23:$D$1022,"="&amp;D407)+1)/2</f>
        <v/>
      </c>
    </row>
    <row r="408">
      <c r="B408" s="27">
        <f>'1 Data'!B397</f>
        <v/>
      </c>
      <c r="C408" s="29">
        <f>IF('1 Data'!E397&lt;=1.5,IF('1 Data'!F397&lt;=1.5,IF('1 Data'!G397&lt;=0.0003,1,2),IF('1 Data'!C397&lt;=165000,3,4)),IF('1 Data'!G397&lt;=0.0652,5,IF('1 Data'!G397&lt;=0.716,6,7)))</f>
        <v/>
      </c>
      <c r="D408" s="23">
        <f>INDEX($F$12:$F$18,C408)</f>
        <v/>
      </c>
      <c r="E408" s="27">
        <f>'1 Data'!I397</f>
        <v/>
      </c>
      <c r="F408" s="30">
        <f>COUNTIF($D$23:$D$1022,"&lt;"&amp;D408)+(COUNTIF($D$23:$D$1022,"="&amp;D408)+1)/2</f>
        <v/>
      </c>
    </row>
    <row r="409">
      <c r="B409" s="27">
        <f>'1 Data'!B398</f>
        <v/>
      </c>
      <c r="C409" s="29">
        <f>IF('1 Data'!E398&lt;=1.5,IF('1 Data'!F398&lt;=1.5,IF('1 Data'!G398&lt;=0.0003,1,2),IF('1 Data'!C398&lt;=165000,3,4)),IF('1 Data'!G398&lt;=0.0652,5,IF('1 Data'!G398&lt;=0.716,6,7)))</f>
        <v/>
      </c>
      <c r="D409" s="23">
        <f>INDEX($F$12:$F$18,C409)</f>
        <v/>
      </c>
      <c r="E409" s="27">
        <f>'1 Data'!I398</f>
        <v/>
      </c>
      <c r="F409" s="30">
        <f>COUNTIF($D$23:$D$1022,"&lt;"&amp;D409)+(COUNTIF($D$23:$D$1022,"="&amp;D409)+1)/2</f>
        <v/>
      </c>
    </row>
    <row r="410">
      <c r="B410" s="27">
        <f>'1 Data'!B399</f>
        <v/>
      </c>
      <c r="C410" s="29">
        <f>IF('1 Data'!E399&lt;=1.5,IF('1 Data'!F399&lt;=1.5,IF('1 Data'!G399&lt;=0.0003,1,2),IF('1 Data'!C399&lt;=165000,3,4)),IF('1 Data'!G399&lt;=0.0652,5,IF('1 Data'!G399&lt;=0.716,6,7)))</f>
        <v/>
      </c>
      <c r="D410" s="23">
        <f>INDEX($F$12:$F$18,C410)</f>
        <v/>
      </c>
      <c r="E410" s="27">
        <f>'1 Data'!I399</f>
        <v/>
      </c>
      <c r="F410" s="30">
        <f>COUNTIF($D$23:$D$1022,"&lt;"&amp;D410)+(COUNTIF($D$23:$D$1022,"="&amp;D410)+1)/2</f>
        <v/>
      </c>
    </row>
    <row r="411">
      <c r="B411" s="27">
        <f>'1 Data'!B400</f>
        <v/>
      </c>
      <c r="C411" s="29">
        <f>IF('1 Data'!E400&lt;=1.5,IF('1 Data'!F400&lt;=1.5,IF('1 Data'!G400&lt;=0.0003,1,2),IF('1 Data'!C400&lt;=165000,3,4)),IF('1 Data'!G400&lt;=0.0652,5,IF('1 Data'!G400&lt;=0.716,6,7)))</f>
        <v/>
      </c>
      <c r="D411" s="23">
        <f>INDEX($F$12:$F$18,C411)</f>
        <v/>
      </c>
      <c r="E411" s="27">
        <f>'1 Data'!I400</f>
        <v/>
      </c>
      <c r="F411" s="30">
        <f>COUNTIF($D$23:$D$1022,"&lt;"&amp;D411)+(COUNTIF($D$23:$D$1022,"="&amp;D411)+1)/2</f>
        <v/>
      </c>
    </row>
    <row r="412">
      <c r="B412" s="27">
        <f>'1 Data'!B401</f>
        <v/>
      </c>
      <c r="C412" s="29">
        <f>IF('1 Data'!E401&lt;=1.5,IF('1 Data'!F401&lt;=1.5,IF('1 Data'!G401&lt;=0.0003,1,2),IF('1 Data'!C401&lt;=165000,3,4)),IF('1 Data'!G401&lt;=0.0652,5,IF('1 Data'!G401&lt;=0.716,6,7)))</f>
        <v/>
      </c>
      <c r="D412" s="23">
        <f>INDEX($F$12:$F$18,C412)</f>
        <v/>
      </c>
      <c r="E412" s="27">
        <f>'1 Data'!I401</f>
        <v/>
      </c>
      <c r="F412" s="30">
        <f>COUNTIF($D$23:$D$1022,"&lt;"&amp;D412)+(COUNTIF($D$23:$D$1022,"="&amp;D412)+1)/2</f>
        <v/>
      </c>
    </row>
    <row r="413">
      <c r="B413" s="27">
        <f>'1 Data'!B402</f>
        <v/>
      </c>
      <c r="C413" s="29">
        <f>IF('1 Data'!E402&lt;=1.5,IF('1 Data'!F402&lt;=1.5,IF('1 Data'!G402&lt;=0.0003,1,2),IF('1 Data'!C402&lt;=165000,3,4)),IF('1 Data'!G402&lt;=0.0652,5,IF('1 Data'!G402&lt;=0.716,6,7)))</f>
        <v/>
      </c>
      <c r="D413" s="23">
        <f>INDEX($F$12:$F$18,C413)</f>
        <v/>
      </c>
      <c r="E413" s="27">
        <f>'1 Data'!I402</f>
        <v/>
      </c>
      <c r="F413" s="30">
        <f>COUNTIF($D$23:$D$1022,"&lt;"&amp;D413)+(COUNTIF($D$23:$D$1022,"="&amp;D413)+1)/2</f>
        <v/>
      </c>
    </row>
    <row r="414">
      <c r="B414" s="27">
        <f>'1 Data'!B403</f>
        <v/>
      </c>
      <c r="C414" s="29">
        <f>IF('1 Data'!E403&lt;=1.5,IF('1 Data'!F403&lt;=1.5,IF('1 Data'!G403&lt;=0.0003,1,2),IF('1 Data'!C403&lt;=165000,3,4)),IF('1 Data'!G403&lt;=0.0652,5,IF('1 Data'!G403&lt;=0.716,6,7)))</f>
        <v/>
      </c>
      <c r="D414" s="23">
        <f>INDEX($F$12:$F$18,C414)</f>
        <v/>
      </c>
      <c r="E414" s="27">
        <f>'1 Data'!I403</f>
        <v/>
      </c>
      <c r="F414" s="30">
        <f>COUNTIF($D$23:$D$1022,"&lt;"&amp;D414)+(COUNTIF($D$23:$D$1022,"="&amp;D414)+1)/2</f>
        <v/>
      </c>
    </row>
    <row r="415">
      <c r="B415" s="27">
        <f>'1 Data'!B404</f>
        <v/>
      </c>
      <c r="C415" s="29">
        <f>IF('1 Data'!E404&lt;=1.5,IF('1 Data'!F404&lt;=1.5,IF('1 Data'!G404&lt;=0.0003,1,2),IF('1 Data'!C404&lt;=165000,3,4)),IF('1 Data'!G404&lt;=0.0652,5,IF('1 Data'!G404&lt;=0.716,6,7)))</f>
        <v/>
      </c>
      <c r="D415" s="23">
        <f>INDEX($F$12:$F$18,C415)</f>
        <v/>
      </c>
      <c r="E415" s="27">
        <f>'1 Data'!I404</f>
        <v/>
      </c>
      <c r="F415" s="30">
        <f>COUNTIF($D$23:$D$1022,"&lt;"&amp;D415)+(COUNTIF($D$23:$D$1022,"="&amp;D415)+1)/2</f>
        <v/>
      </c>
    </row>
    <row r="416">
      <c r="B416" s="27">
        <f>'1 Data'!B405</f>
        <v/>
      </c>
      <c r="C416" s="29">
        <f>IF('1 Data'!E405&lt;=1.5,IF('1 Data'!F405&lt;=1.5,IF('1 Data'!G405&lt;=0.0003,1,2),IF('1 Data'!C405&lt;=165000,3,4)),IF('1 Data'!G405&lt;=0.0652,5,IF('1 Data'!G405&lt;=0.716,6,7)))</f>
        <v/>
      </c>
      <c r="D416" s="23">
        <f>INDEX($F$12:$F$18,C416)</f>
        <v/>
      </c>
      <c r="E416" s="27">
        <f>'1 Data'!I405</f>
        <v/>
      </c>
      <c r="F416" s="30">
        <f>COUNTIF($D$23:$D$1022,"&lt;"&amp;D416)+(COUNTIF($D$23:$D$1022,"="&amp;D416)+1)/2</f>
        <v/>
      </c>
    </row>
    <row r="417">
      <c r="B417" s="27">
        <f>'1 Data'!B406</f>
        <v/>
      </c>
      <c r="C417" s="29">
        <f>IF('1 Data'!E406&lt;=1.5,IF('1 Data'!F406&lt;=1.5,IF('1 Data'!G406&lt;=0.0003,1,2),IF('1 Data'!C406&lt;=165000,3,4)),IF('1 Data'!G406&lt;=0.0652,5,IF('1 Data'!G406&lt;=0.716,6,7)))</f>
        <v/>
      </c>
      <c r="D417" s="23">
        <f>INDEX($F$12:$F$18,C417)</f>
        <v/>
      </c>
      <c r="E417" s="27">
        <f>'1 Data'!I406</f>
        <v/>
      </c>
      <c r="F417" s="30">
        <f>COUNTIF($D$23:$D$1022,"&lt;"&amp;D417)+(COUNTIF($D$23:$D$1022,"="&amp;D417)+1)/2</f>
        <v/>
      </c>
    </row>
    <row r="418">
      <c r="B418" s="27">
        <f>'1 Data'!B407</f>
        <v/>
      </c>
      <c r="C418" s="29">
        <f>IF('1 Data'!E407&lt;=1.5,IF('1 Data'!F407&lt;=1.5,IF('1 Data'!G407&lt;=0.0003,1,2),IF('1 Data'!C407&lt;=165000,3,4)),IF('1 Data'!G407&lt;=0.0652,5,IF('1 Data'!G407&lt;=0.716,6,7)))</f>
        <v/>
      </c>
      <c r="D418" s="23">
        <f>INDEX($F$12:$F$18,C418)</f>
        <v/>
      </c>
      <c r="E418" s="27">
        <f>'1 Data'!I407</f>
        <v/>
      </c>
      <c r="F418" s="30">
        <f>COUNTIF($D$23:$D$1022,"&lt;"&amp;D418)+(COUNTIF($D$23:$D$1022,"="&amp;D418)+1)/2</f>
        <v/>
      </c>
    </row>
    <row r="419">
      <c r="B419" s="27">
        <f>'1 Data'!B408</f>
        <v/>
      </c>
      <c r="C419" s="29">
        <f>IF('1 Data'!E408&lt;=1.5,IF('1 Data'!F408&lt;=1.5,IF('1 Data'!G408&lt;=0.0003,1,2),IF('1 Data'!C408&lt;=165000,3,4)),IF('1 Data'!G408&lt;=0.0652,5,IF('1 Data'!G408&lt;=0.716,6,7)))</f>
        <v/>
      </c>
      <c r="D419" s="23">
        <f>INDEX($F$12:$F$18,C419)</f>
        <v/>
      </c>
      <c r="E419" s="27">
        <f>'1 Data'!I408</f>
        <v/>
      </c>
      <c r="F419" s="30">
        <f>COUNTIF($D$23:$D$1022,"&lt;"&amp;D419)+(COUNTIF($D$23:$D$1022,"="&amp;D419)+1)/2</f>
        <v/>
      </c>
    </row>
    <row r="420">
      <c r="B420" s="27">
        <f>'1 Data'!B409</f>
        <v/>
      </c>
      <c r="C420" s="29">
        <f>IF('1 Data'!E409&lt;=1.5,IF('1 Data'!F409&lt;=1.5,IF('1 Data'!G409&lt;=0.0003,1,2),IF('1 Data'!C409&lt;=165000,3,4)),IF('1 Data'!G409&lt;=0.0652,5,IF('1 Data'!G409&lt;=0.716,6,7)))</f>
        <v/>
      </c>
      <c r="D420" s="23">
        <f>INDEX($F$12:$F$18,C420)</f>
        <v/>
      </c>
      <c r="E420" s="27">
        <f>'1 Data'!I409</f>
        <v/>
      </c>
      <c r="F420" s="30">
        <f>COUNTIF($D$23:$D$1022,"&lt;"&amp;D420)+(COUNTIF($D$23:$D$1022,"="&amp;D420)+1)/2</f>
        <v/>
      </c>
    </row>
    <row r="421">
      <c r="B421" s="27">
        <f>'1 Data'!B410</f>
        <v/>
      </c>
      <c r="C421" s="29">
        <f>IF('1 Data'!E410&lt;=1.5,IF('1 Data'!F410&lt;=1.5,IF('1 Data'!G410&lt;=0.0003,1,2),IF('1 Data'!C410&lt;=165000,3,4)),IF('1 Data'!G410&lt;=0.0652,5,IF('1 Data'!G410&lt;=0.716,6,7)))</f>
        <v/>
      </c>
      <c r="D421" s="23">
        <f>INDEX($F$12:$F$18,C421)</f>
        <v/>
      </c>
      <c r="E421" s="27">
        <f>'1 Data'!I410</f>
        <v/>
      </c>
      <c r="F421" s="30">
        <f>COUNTIF($D$23:$D$1022,"&lt;"&amp;D421)+(COUNTIF($D$23:$D$1022,"="&amp;D421)+1)/2</f>
        <v/>
      </c>
    </row>
    <row r="422">
      <c r="B422" s="27">
        <f>'1 Data'!B411</f>
        <v/>
      </c>
      <c r="C422" s="29">
        <f>IF('1 Data'!E411&lt;=1.5,IF('1 Data'!F411&lt;=1.5,IF('1 Data'!G411&lt;=0.0003,1,2),IF('1 Data'!C411&lt;=165000,3,4)),IF('1 Data'!G411&lt;=0.0652,5,IF('1 Data'!G411&lt;=0.716,6,7)))</f>
        <v/>
      </c>
      <c r="D422" s="23">
        <f>INDEX($F$12:$F$18,C422)</f>
        <v/>
      </c>
      <c r="E422" s="27">
        <f>'1 Data'!I411</f>
        <v/>
      </c>
      <c r="F422" s="30">
        <f>COUNTIF($D$23:$D$1022,"&lt;"&amp;D422)+(COUNTIF($D$23:$D$1022,"="&amp;D422)+1)/2</f>
        <v/>
      </c>
    </row>
    <row r="423">
      <c r="B423" s="27">
        <f>'1 Data'!B412</f>
        <v/>
      </c>
      <c r="C423" s="29">
        <f>IF('1 Data'!E412&lt;=1.5,IF('1 Data'!F412&lt;=1.5,IF('1 Data'!G412&lt;=0.0003,1,2),IF('1 Data'!C412&lt;=165000,3,4)),IF('1 Data'!G412&lt;=0.0652,5,IF('1 Data'!G412&lt;=0.716,6,7)))</f>
        <v/>
      </c>
      <c r="D423" s="23">
        <f>INDEX($F$12:$F$18,C423)</f>
        <v/>
      </c>
      <c r="E423" s="27">
        <f>'1 Data'!I412</f>
        <v/>
      </c>
      <c r="F423" s="30">
        <f>COUNTIF($D$23:$D$1022,"&lt;"&amp;D423)+(COUNTIF($D$23:$D$1022,"="&amp;D423)+1)/2</f>
        <v/>
      </c>
    </row>
    <row r="424">
      <c r="B424" s="27">
        <f>'1 Data'!B413</f>
        <v/>
      </c>
      <c r="C424" s="29">
        <f>IF('1 Data'!E413&lt;=1.5,IF('1 Data'!F413&lt;=1.5,IF('1 Data'!G413&lt;=0.0003,1,2),IF('1 Data'!C413&lt;=165000,3,4)),IF('1 Data'!G413&lt;=0.0652,5,IF('1 Data'!G413&lt;=0.716,6,7)))</f>
        <v/>
      </c>
      <c r="D424" s="23">
        <f>INDEX($F$12:$F$18,C424)</f>
        <v/>
      </c>
      <c r="E424" s="27">
        <f>'1 Data'!I413</f>
        <v/>
      </c>
      <c r="F424" s="30">
        <f>COUNTIF($D$23:$D$1022,"&lt;"&amp;D424)+(COUNTIF($D$23:$D$1022,"="&amp;D424)+1)/2</f>
        <v/>
      </c>
    </row>
    <row r="425">
      <c r="B425" s="27">
        <f>'1 Data'!B414</f>
        <v/>
      </c>
      <c r="C425" s="29">
        <f>IF('1 Data'!E414&lt;=1.5,IF('1 Data'!F414&lt;=1.5,IF('1 Data'!G414&lt;=0.0003,1,2),IF('1 Data'!C414&lt;=165000,3,4)),IF('1 Data'!G414&lt;=0.0652,5,IF('1 Data'!G414&lt;=0.716,6,7)))</f>
        <v/>
      </c>
      <c r="D425" s="23">
        <f>INDEX($F$12:$F$18,C425)</f>
        <v/>
      </c>
      <c r="E425" s="27">
        <f>'1 Data'!I414</f>
        <v/>
      </c>
      <c r="F425" s="30">
        <f>COUNTIF($D$23:$D$1022,"&lt;"&amp;D425)+(COUNTIF($D$23:$D$1022,"="&amp;D425)+1)/2</f>
        <v/>
      </c>
    </row>
    <row r="426">
      <c r="B426" s="27">
        <f>'1 Data'!B415</f>
        <v/>
      </c>
      <c r="C426" s="29">
        <f>IF('1 Data'!E415&lt;=1.5,IF('1 Data'!F415&lt;=1.5,IF('1 Data'!G415&lt;=0.0003,1,2),IF('1 Data'!C415&lt;=165000,3,4)),IF('1 Data'!G415&lt;=0.0652,5,IF('1 Data'!G415&lt;=0.716,6,7)))</f>
        <v/>
      </c>
      <c r="D426" s="23">
        <f>INDEX($F$12:$F$18,C426)</f>
        <v/>
      </c>
      <c r="E426" s="27">
        <f>'1 Data'!I415</f>
        <v/>
      </c>
      <c r="F426" s="30">
        <f>COUNTIF($D$23:$D$1022,"&lt;"&amp;D426)+(COUNTIF($D$23:$D$1022,"="&amp;D426)+1)/2</f>
        <v/>
      </c>
    </row>
    <row r="427">
      <c r="B427" s="27">
        <f>'1 Data'!B416</f>
        <v/>
      </c>
      <c r="C427" s="29">
        <f>IF('1 Data'!E416&lt;=1.5,IF('1 Data'!F416&lt;=1.5,IF('1 Data'!G416&lt;=0.0003,1,2),IF('1 Data'!C416&lt;=165000,3,4)),IF('1 Data'!G416&lt;=0.0652,5,IF('1 Data'!G416&lt;=0.716,6,7)))</f>
        <v/>
      </c>
      <c r="D427" s="23">
        <f>INDEX($F$12:$F$18,C427)</f>
        <v/>
      </c>
      <c r="E427" s="27">
        <f>'1 Data'!I416</f>
        <v/>
      </c>
      <c r="F427" s="30">
        <f>COUNTIF($D$23:$D$1022,"&lt;"&amp;D427)+(COUNTIF($D$23:$D$1022,"="&amp;D427)+1)/2</f>
        <v/>
      </c>
    </row>
    <row r="428">
      <c r="B428" s="27">
        <f>'1 Data'!B417</f>
        <v/>
      </c>
      <c r="C428" s="29">
        <f>IF('1 Data'!E417&lt;=1.5,IF('1 Data'!F417&lt;=1.5,IF('1 Data'!G417&lt;=0.0003,1,2),IF('1 Data'!C417&lt;=165000,3,4)),IF('1 Data'!G417&lt;=0.0652,5,IF('1 Data'!G417&lt;=0.716,6,7)))</f>
        <v/>
      </c>
      <c r="D428" s="23">
        <f>INDEX($F$12:$F$18,C428)</f>
        <v/>
      </c>
      <c r="E428" s="27">
        <f>'1 Data'!I417</f>
        <v/>
      </c>
      <c r="F428" s="30">
        <f>COUNTIF($D$23:$D$1022,"&lt;"&amp;D428)+(COUNTIF($D$23:$D$1022,"="&amp;D428)+1)/2</f>
        <v/>
      </c>
    </row>
    <row r="429">
      <c r="B429" s="27">
        <f>'1 Data'!B418</f>
        <v/>
      </c>
      <c r="C429" s="29">
        <f>IF('1 Data'!E418&lt;=1.5,IF('1 Data'!F418&lt;=1.5,IF('1 Data'!G418&lt;=0.0003,1,2),IF('1 Data'!C418&lt;=165000,3,4)),IF('1 Data'!G418&lt;=0.0652,5,IF('1 Data'!G418&lt;=0.716,6,7)))</f>
        <v/>
      </c>
      <c r="D429" s="23">
        <f>INDEX($F$12:$F$18,C429)</f>
        <v/>
      </c>
      <c r="E429" s="27">
        <f>'1 Data'!I418</f>
        <v/>
      </c>
      <c r="F429" s="30">
        <f>COUNTIF($D$23:$D$1022,"&lt;"&amp;D429)+(COUNTIF($D$23:$D$1022,"="&amp;D429)+1)/2</f>
        <v/>
      </c>
    </row>
    <row r="430">
      <c r="B430" s="27">
        <f>'1 Data'!B419</f>
        <v/>
      </c>
      <c r="C430" s="29">
        <f>IF('1 Data'!E419&lt;=1.5,IF('1 Data'!F419&lt;=1.5,IF('1 Data'!G419&lt;=0.0003,1,2),IF('1 Data'!C419&lt;=165000,3,4)),IF('1 Data'!G419&lt;=0.0652,5,IF('1 Data'!G419&lt;=0.716,6,7)))</f>
        <v/>
      </c>
      <c r="D430" s="23">
        <f>INDEX($F$12:$F$18,C430)</f>
        <v/>
      </c>
      <c r="E430" s="27">
        <f>'1 Data'!I419</f>
        <v/>
      </c>
      <c r="F430" s="30">
        <f>COUNTIF($D$23:$D$1022,"&lt;"&amp;D430)+(COUNTIF($D$23:$D$1022,"="&amp;D430)+1)/2</f>
        <v/>
      </c>
    </row>
    <row r="431">
      <c r="B431" s="27">
        <f>'1 Data'!B420</f>
        <v/>
      </c>
      <c r="C431" s="29">
        <f>IF('1 Data'!E420&lt;=1.5,IF('1 Data'!F420&lt;=1.5,IF('1 Data'!G420&lt;=0.0003,1,2),IF('1 Data'!C420&lt;=165000,3,4)),IF('1 Data'!G420&lt;=0.0652,5,IF('1 Data'!G420&lt;=0.716,6,7)))</f>
        <v/>
      </c>
      <c r="D431" s="23">
        <f>INDEX($F$12:$F$18,C431)</f>
        <v/>
      </c>
      <c r="E431" s="27">
        <f>'1 Data'!I420</f>
        <v/>
      </c>
      <c r="F431" s="30">
        <f>COUNTIF($D$23:$D$1022,"&lt;"&amp;D431)+(COUNTIF($D$23:$D$1022,"="&amp;D431)+1)/2</f>
        <v/>
      </c>
    </row>
    <row r="432">
      <c r="B432" s="27">
        <f>'1 Data'!B421</f>
        <v/>
      </c>
      <c r="C432" s="29">
        <f>IF('1 Data'!E421&lt;=1.5,IF('1 Data'!F421&lt;=1.5,IF('1 Data'!G421&lt;=0.0003,1,2),IF('1 Data'!C421&lt;=165000,3,4)),IF('1 Data'!G421&lt;=0.0652,5,IF('1 Data'!G421&lt;=0.716,6,7)))</f>
        <v/>
      </c>
      <c r="D432" s="23">
        <f>INDEX($F$12:$F$18,C432)</f>
        <v/>
      </c>
      <c r="E432" s="27">
        <f>'1 Data'!I421</f>
        <v/>
      </c>
      <c r="F432" s="30">
        <f>COUNTIF($D$23:$D$1022,"&lt;"&amp;D432)+(COUNTIF($D$23:$D$1022,"="&amp;D432)+1)/2</f>
        <v/>
      </c>
    </row>
    <row r="433">
      <c r="B433" s="27">
        <f>'1 Data'!B422</f>
        <v/>
      </c>
      <c r="C433" s="29">
        <f>IF('1 Data'!E422&lt;=1.5,IF('1 Data'!F422&lt;=1.5,IF('1 Data'!G422&lt;=0.0003,1,2),IF('1 Data'!C422&lt;=165000,3,4)),IF('1 Data'!G422&lt;=0.0652,5,IF('1 Data'!G422&lt;=0.716,6,7)))</f>
        <v/>
      </c>
      <c r="D433" s="23">
        <f>INDEX($F$12:$F$18,C433)</f>
        <v/>
      </c>
      <c r="E433" s="27">
        <f>'1 Data'!I422</f>
        <v/>
      </c>
      <c r="F433" s="30">
        <f>COUNTIF($D$23:$D$1022,"&lt;"&amp;D433)+(COUNTIF($D$23:$D$1022,"="&amp;D433)+1)/2</f>
        <v/>
      </c>
    </row>
    <row r="434">
      <c r="B434" s="27">
        <f>'1 Data'!B423</f>
        <v/>
      </c>
      <c r="C434" s="29">
        <f>IF('1 Data'!E423&lt;=1.5,IF('1 Data'!F423&lt;=1.5,IF('1 Data'!G423&lt;=0.0003,1,2),IF('1 Data'!C423&lt;=165000,3,4)),IF('1 Data'!G423&lt;=0.0652,5,IF('1 Data'!G423&lt;=0.716,6,7)))</f>
        <v/>
      </c>
      <c r="D434" s="23">
        <f>INDEX($F$12:$F$18,C434)</f>
        <v/>
      </c>
      <c r="E434" s="27">
        <f>'1 Data'!I423</f>
        <v/>
      </c>
      <c r="F434" s="30">
        <f>COUNTIF($D$23:$D$1022,"&lt;"&amp;D434)+(COUNTIF($D$23:$D$1022,"="&amp;D434)+1)/2</f>
        <v/>
      </c>
    </row>
    <row r="435">
      <c r="B435" s="27">
        <f>'1 Data'!B424</f>
        <v/>
      </c>
      <c r="C435" s="29">
        <f>IF('1 Data'!E424&lt;=1.5,IF('1 Data'!F424&lt;=1.5,IF('1 Data'!G424&lt;=0.0003,1,2),IF('1 Data'!C424&lt;=165000,3,4)),IF('1 Data'!G424&lt;=0.0652,5,IF('1 Data'!G424&lt;=0.716,6,7)))</f>
        <v/>
      </c>
      <c r="D435" s="23">
        <f>INDEX($F$12:$F$18,C435)</f>
        <v/>
      </c>
      <c r="E435" s="27">
        <f>'1 Data'!I424</f>
        <v/>
      </c>
      <c r="F435" s="30">
        <f>COUNTIF($D$23:$D$1022,"&lt;"&amp;D435)+(COUNTIF($D$23:$D$1022,"="&amp;D435)+1)/2</f>
        <v/>
      </c>
    </row>
    <row r="436">
      <c r="B436" s="27">
        <f>'1 Data'!B425</f>
        <v/>
      </c>
      <c r="C436" s="29">
        <f>IF('1 Data'!E425&lt;=1.5,IF('1 Data'!F425&lt;=1.5,IF('1 Data'!G425&lt;=0.0003,1,2),IF('1 Data'!C425&lt;=165000,3,4)),IF('1 Data'!G425&lt;=0.0652,5,IF('1 Data'!G425&lt;=0.716,6,7)))</f>
        <v/>
      </c>
      <c r="D436" s="23">
        <f>INDEX($F$12:$F$18,C436)</f>
        <v/>
      </c>
      <c r="E436" s="27">
        <f>'1 Data'!I425</f>
        <v/>
      </c>
      <c r="F436" s="30">
        <f>COUNTIF($D$23:$D$1022,"&lt;"&amp;D436)+(COUNTIF($D$23:$D$1022,"="&amp;D436)+1)/2</f>
        <v/>
      </c>
    </row>
    <row r="437">
      <c r="B437" s="27">
        <f>'1 Data'!B426</f>
        <v/>
      </c>
      <c r="C437" s="29">
        <f>IF('1 Data'!E426&lt;=1.5,IF('1 Data'!F426&lt;=1.5,IF('1 Data'!G426&lt;=0.0003,1,2),IF('1 Data'!C426&lt;=165000,3,4)),IF('1 Data'!G426&lt;=0.0652,5,IF('1 Data'!G426&lt;=0.716,6,7)))</f>
        <v/>
      </c>
      <c r="D437" s="23">
        <f>INDEX($F$12:$F$18,C437)</f>
        <v/>
      </c>
      <c r="E437" s="27">
        <f>'1 Data'!I426</f>
        <v/>
      </c>
      <c r="F437" s="30">
        <f>COUNTIF($D$23:$D$1022,"&lt;"&amp;D437)+(COUNTIF($D$23:$D$1022,"="&amp;D437)+1)/2</f>
        <v/>
      </c>
    </row>
    <row r="438">
      <c r="B438" s="27">
        <f>'1 Data'!B427</f>
        <v/>
      </c>
      <c r="C438" s="29">
        <f>IF('1 Data'!E427&lt;=1.5,IF('1 Data'!F427&lt;=1.5,IF('1 Data'!G427&lt;=0.0003,1,2),IF('1 Data'!C427&lt;=165000,3,4)),IF('1 Data'!G427&lt;=0.0652,5,IF('1 Data'!G427&lt;=0.716,6,7)))</f>
        <v/>
      </c>
      <c r="D438" s="23">
        <f>INDEX($F$12:$F$18,C438)</f>
        <v/>
      </c>
      <c r="E438" s="27">
        <f>'1 Data'!I427</f>
        <v/>
      </c>
      <c r="F438" s="30">
        <f>COUNTIF($D$23:$D$1022,"&lt;"&amp;D438)+(COUNTIF($D$23:$D$1022,"="&amp;D438)+1)/2</f>
        <v/>
      </c>
    </row>
    <row r="439">
      <c r="B439" s="27">
        <f>'1 Data'!B428</f>
        <v/>
      </c>
      <c r="C439" s="29">
        <f>IF('1 Data'!E428&lt;=1.5,IF('1 Data'!F428&lt;=1.5,IF('1 Data'!G428&lt;=0.0003,1,2),IF('1 Data'!C428&lt;=165000,3,4)),IF('1 Data'!G428&lt;=0.0652,5,IF('1 Data'!G428&lt;=0.716,6,7)))</f>
        <v/>
      </c>
      <c r="D439" s="23">
        <f>INDEX($F$12:$F$18,C439)</f>
        <v/>
      </c>
      <c r="E439" s="27">
        <f>'1 Data'!I428</f>
        <v/>
      </c>
      <c r="F439" s="30">
        <f>COUNTIF($D$23:$D$1022,"&lt;"&amp;D439)+(COUNTIF($D$23:$D$1022,"="&amp;D439)+1)/2</f>
        <v/>
      </c>
    </row>
    <row r="440">
      <c r="B440" s="27">
        <f>'1 Data'!B429</f>
        <v/>
      </c>
      <c r="C440" s="29">
        <f>IF('1 Data'!E429&lt;=1.5,IF('1 Data'!F429&lt;=1.5,IF('1 Data'!G429&lt;=0.0003,1,2),IF('1 Data'!C429&lt;=165000,3,4)),IF('1 Data'!G429&lt;=0.0652,5,IF('1 Data'!G429&lt;=0.716,6,7)))</f>
        <v/>
      </c>
      <c r="D440" s="23">
        <f>INDEX($F$12:$F$18,C440)</f>
        <v/>
      </c>
      <c r="E440" s="27">
        <f>'1 Data'!I429</f>
        <v/>
      </c>
      <c r="F440" s="30">
        <f>COUNTIF($D$23:$D$1022,"&lt;"&amp;D440)+(COUNTIF($D$23:$D$1022,"="&amp;D440)+1)/2</f>
        <v/>
      </c>
    </row>
    <row r="441">
      <c r="B441" s="27">
        <f>'1 Data'!B430</f>
        <v/>
      </c>
      <c r="C441" s="29">
        <f>IF('1 Data'!E430&lt;=1.5,IF('1 Data'!F430&lt;=1.5,IF('1 Data'!G430&lt;=0.0003,1,2),IF('1 Data'!C430&lt;=165000,3,4)),IF('1 Data'!G430&lt;=0.0652,5,IF('1 Data'!G430&lt;=0.716,6,7)))</f>
        <v/>
      </c>
      <c r="D441" s="23">
        <f>INDEX($F$12:$F$18,C441)</f>
        <v/>
      </c>
      <c r="E441" s="27">
        <f>'1 Data'!I430</f>
        <v/>
      </c>
      <c r="F441" s="30">
        <f>COUNTIF($D$23:$D$1022,"&lt;"&amp;D441)+(COUNTIF($D$23:$D$1022,"="&amp;D441)+1)/2</f>
        <v/>
      </c>
    </row>
    <row r="442">
      <c r="B442" s="27">
        <f>'1 Data'!B431</f>
        <v/>
      </c>
      <c r="C442" s="29">
        <f>IF('1 Data'!E431&lt;=1.5,IF('1 Data'!F431&lt;=1.5,IF('1 Data'!G431&lt;=0.0003,1,2),IF('1 Data'!C431&lt;=165000,3,4)),IF('1 Data'!G431&lt;=0.0652,5,IF('1 Data'!G431&lt;=0.716,6,7)))</f>
        <v/>
      </c>
      <c r="D442" s="23">
        <f>INDEX($F$12:$F$18,C442)</f>
        <v/>
      </c>
      <c r="E442" s="27">
        <f>'1 Data'!I431</f>
        <v/>
      </c>
      <c r="F442" s="30">
        <f>COUNTIF($D$23:$D$1022,"&lt;"&amp;D442)+(COUNTIF($D$23:$D$1022,"="&amp;D442)+1)/2</f>
        <v/>
      </c>
    </row>
    <row r="443">
      <c r="B443" s="27">
        <f>'1 Data'!B432</f>
        <v/>
      </c>
      <c r="C443" s="29">
        <f>IF('1 Data'!E432&lt;=1.5,IF('1 Data'!F432&lt;=1.5,IF('1 Data'!G432&lt;=0.0003,1,2),IF('1 Data'!C432&lt;=165000,3,4)),IF('1 Data'!G432&lt;=0.0652,5,IF('1 Data'!G432&lt;=0.716,6,7)))</f>
        <v/>
      </c>
      <c r="D443" s="23">
        <f>INDEX($F$12:$F$18,C443)</f>
        <v/>
      </c>
      <c r="E443" s="27">
        <f>'1 Data'!I432</f>
        <v/>
      </c>
      <c r="F443" s="30">
        <f>COUNTIF($D$23:$D$1022,"&lt;"&amp;D443)+(COUNTIF($D$23:$D$1022,"="&amp;D443)+1)/2</f>
        <v/>
      </c>
    </row>
    <row r="444">
      <c r="B444" s="27">
        <f>'1 Data'!B433</f>
        <v/>
      </c>
      <c r="C444" s="29">
        <f>IF('1 Data'!E433&lt;=1.5,IF('1 Data'!F433&lt;=1.5,IF('1 Data'!G433&lt;=0.0003,1,2),IF('1 Data'!C433&lt;=165000,3,4)),IF('1 Data'!G433&lt;=0.0652,5,IF('1 Data'!G433&lt;=0.716,6,7)))</f>
        <v/>
      </c>
      <c r="D444" s="23">
        <f>INDEX($F$12:$F$18,C444)</f>
        <v/>
      </c>
      <c r="E444" s="27">
        <f>'1 Data'!I433</f>
        <v/>
      </c>
      <c r="F444" s="30">
        <f>COUNTIF($D$23:$D$1022,"&lt;"&amp;D444)+(COUNTIF($D$23:$D$1022,"="&amp;D444)+1)/2</f>
        <v/>
      </c>
    </row>
    <row r="445">
      <c r="B445" s="27">
        <f>'1 Data'!B434</f>
        <v/>
      </c>
      <c r="C445" s="29">
        <f>IF('1 Data'!E434&lt;=1.5,IF('1 Data'!F434&lt;=1.5,IF('1 Data'!G434&lt;=0.0003,1,2),IF('1 Data'!C434&lt;=165000,3,4)),IF('1 Data'!G434&lt;=0.0652,5,IF('1 Data'!G434&lt;=0.716,6,7)))</f>
        <v/>
      </c>
      <c r="D445" s="23">
        <f>INDEX($F$12:$F$18,C445)</f>
        <v/>
      </c>
      <c r="E445" s="27">
        <f>'1 Data'!I434</f>
        <v/>
      </c>
      <c r="F445" s="30">
        <f>COUNTIF($D$23:$D$1022,"&lt;"&amp;D445)+(COUNTIF($D$23:$D$1022,"="&amp;D445)+1)/2</f>
        <v/>
      </c>
    </row>
    <row r="446">
      <c r="B446" s="27">
        <f>'1 Data'!B435</f>
        <v/>
      </c>
      <c r="C446" s="29">
        <f>IF('1 Data'!E435&lt;=1.5,IF('1 Data'!F435&lt;=1.5,IF('1 Data'!G435&lt;=0.0003,1,2),IF('1 Data'!C435&lt;=165000,3,4)),IF('1 Data'!G435&lt;=0.0652,5,IF('1 Data'!G435&lt;=0.716,6,7)))</f>
        <v/>
      </c>
      <c r="D446" s="23">
        <f>INDEX($F$12:$F$18,C446)</f>
        <v/>
      </c>
      <c r="E446" s="27">
        <f>'1 Data'!I435</f>
        <v/>
      </c>
      <c r="F446" s="30">
        <f>COUNTIF($D$23:$D$1022,"&lt;"&amp;D446)+(COUNTIF($D$23:$D$1022,"="&amp;D446)+1)/2</f>
        <v/>
      </c>
    </row>
    <row r="447">
      <c r="B447" s="27">
        <f>'1 Data'!B436</f>
        <v/>
      </c>
      <c r="C447" s="29">
        <f>IF('1 Data'!E436&lt;=1.5,IF('1 Data'!F436&lt;=1.5,IF('1 Data'!G436&lt;=0.0003,1,2),IF('1 Data'!C436&lt;=165000,3,4)),IF('1 Data'!G436&lt;=0.0652,5,IF('1 Data'!G436&lt;=0.716,6,7)))</f>
        <v/>
      </c>
      <c r="D447" s="23">
        <f>INDEX($F$12:$F$18,C447)</f>
        <v/>
      </c>
      <c r="E447" s="27">
        <f>'1 Data'!I436</f>
        <v/>
      </c>
      <c r="F447" s="30">
        <f>COUNTIF($D$23:$D$1022,"&lt;"&amp;D447)+(COUNTIF($D$23:$D$1022,"="&amp;D447)+1)/2</f>
        <v/>
      </c>
    </row>
    <row r="448">
      <c r="B448" s="27">
        <f>'1 Data'!B437</f>
        <v/>
      </c>
      <c r="C448" s="29">
        <f>IF('1 Data'!E437&lt;=1.5,IF('1 Data'!F437&lt;=1.5,IF('1 Data'!G437&lt;=0.0003,1,2),IF('1 Data'!C437&lt;=165000,3,4)),IF('1 Data'!G437&lt;=0.0652,5,IF('1 Data'!G437&lt;=0.716,6,7)))</f>
        <v/>
      </c>
      <c r="D448" s="23">
        <f>INDEX($F$12:$F$18,C448)</f>
        <v/>
      </c>
      <c r="E448" s="27">
        <f>'1 Data'!I437</f>
        <v/>
      </c>
      <c r="F448" s="30">
        <f>COUNTIF($D$23:$D$1022,"&lt;"&amp;D448)+(COUNTIF($D$23:$D$1022,"="&amp;D448)+1)/2</f>
        <v/>
      </c>
    </row>
    <row r="449">
      <c r="B449" s="27">
        <f>'1 Data'!B438</f>
        <v/>
      </c>
      <c r="C449" s="29">
        <f>IF('1 Data'!E438&lt;=1.5,IF('1 Data'!F438&lt;=1.5,IF('1 Data'!G438&lt;=0.0003,1,2),IF('1 Data'!C438&lt;=165000,3,4)),IF('1 Data'!G438&lt;=0.0652,5,IF('1 Data'!G438&lt;=0.716,6,7)))</f>
        <v/>
      </c>
      <c r="D449" s="23">
        <f>INDEX($F$12:$F$18,C449)</f>
        <v/>
      </c>
      <c r="E449" s="27">
        <f>'1 Data'!I438</f>
        <v/>
      </c>
      <c r="F449" s="30">
        <f>COUNTIF($D$23:$D$1022,"&lt;"&amp;D449)+(COUNTIF($D$23:$D$1022,"="&amp;D449)+1)/2</f>
        <v/>
      </c>
    </row>
    <row r="450">
      <c r="B450" s="27">
        <f>'1 Data'!B439</f>
        <v/>
      </c>
      <c r="C450" s="29">
        <f>IF('1 Data'!E439&lt;=1.5,IF('1 Data'!F439&lt;=1.5,IF('1 Data'!G439&lt;=0.0003,1,2),IF('1 Data'!C439&lt;=165000,3,4)),IF('1 Data'!G439&lt;=0.0652,5,IF('1 Data'!G439&lt;=0.716,6,7)))</f>
        <v/>
      </c>
      <c r="D450" s="23">
        <f>INDEX($F$12:$F$18,C450)</f>
        <v/>
      </c>
      <c r="E450" s="27">
        <f>'1 Data'!I439</f>
        <v/>
      </c>
      <c r="F450" s="30">
        <f>COUNTIF($D$23:$D$1022,"&lt;"&amp;D450)+(COUNTIF($D$23:$D$1022,"="&amp;D450)+1)/2</f>
        <v/>
      </c>
    </row>
    <row r="451">
      <c r="B451" s="27">
        <f>'1 Data'!B440</f>
        <v/>
      </c>
      <c r="C451" s="29">
        <f>IF('1 Data'!E440&lt;=1.5,IF('1 Data'!F440&lt;=1.5,IF('1 Data'!G440&lt;=0.0003,1,2),IF('1 Data'!C440&lt;=165000,3,4)),IF('1 Data'!G440&lt;=0.0652,5,IF('1 Data'!G440&lt;=0.716,6,7)))</f>
        <v/>
      </c>
      <c r="D451" s="23">
        <f>INDEX($F$12:$F$18,C451)</f>
        <v/>
      </c>
      <c r="E451" s="27">
        <f>'1 Data'!I440</f>
        <v/>
      </c>
      <c r="F451" s="30">
        <f>COUNTIF($D$23:$D$1022,"&lt;"&amp;D451)+(COUNTIF($D$23:$D$1022,"="&amp;D451)+1)/2</f>
        <v/>
      </c>
    </row>
    <row r="452">
      <c r="B452" s="27">
        <f>'1 Data'!B441</f>
        <v/>
      </c>
      <c r="C452" s="29">
        <f>IF('1 Data'!E441&lt;=1.5,IF('1 Data'!F441&lt;=1.5,IF('1 Data'!G441&lt;=0.0003,1,2),IF('1 Data'!C441&lt;=165000,3,4)),IF('1 Data'!G441&lt;=0.0652,5,IF('1 Data'!G441&lt;=0.716,6,7)))</f>
        <v/>
      </c>
      <c r="D452" s="23">
        <f>INDEX($F$12:$F$18,C452)</f>
        <v/>
      </c>
      <c r="E452" s="27">
        <f>'1 Data'!I441</f>
        <v/>
      </c>
      <c r="F452" s="30">
        <f>COUNTIF($D$23:$D$1022,"&lt;"&amp;D452)+(COUNTIF($D$23:$D$1022,"="&amp;D452)+1)/2</f>
        <v/>
      </c>
    </row>
    <row r="453">
      <c r="B453" s="27">
        <f>'1 Data'!B442</f>
        <v/>
      </c>
      <c r="C453" s="29">
        <f>IF('1 Data'!E442&lt;=1.5,IF('1 Data'!F442&lt;=1.5,IF('1 Data'!G442&lt;=0.0003,1,2),IF('1 Data'!C442&lt;=165000,3,4)),IF('1 Data'!G442&lt;=0.0652,5,IF('1 Data'!G442&lt;=0.716,6,7)))</f>
        <v/>
      </c>
      <c r="D453" s="23">
        <f>INDEX($F$12:$F$18,C453)</f>
        <v/>
      </c>
      <c r="E453" s="27">
        <f>'1 Data'!I442</f>
        <v/>
      </c>
      <c r="F453" s="30">
        <f>COUNTIF($D$23:$D$1022,"&lt;"&amp;D453)+(COUNTIF($D$23:$D$1022,"="&amp;D453)+1)/2</f>
        <v/>
      </c>
    </row>
    <row r="454">
      <c r="B454" s="27">
        <f>'1 Data'!B443</f>
        <v/>
      </c>
      <c r="C454" s="29">
        <f>IF('1 Data'!E443&lt;=1.5,IF('1 Data'!F443&lt;=1.5,IF('1 Data'!G443&lt;=0.0003,1,2),IF('1 Data'!C443&lt;=165000,3,4)),IF('1 Data'!G443&lt;=0.0652,5,IF('1 Data'!G443&lt;=0.716,6,7)))</f>
        <v/>
      </c>
      <c r="D454" s="23">
        <f>INDEX($F$12:$F$18,C454)</f>
        <v/>
      </c>
      <c r="E454" s="27">
        <f>'1 Data'!I443</f>
        <v/>
      </c>
      <c r="F454" s="30">
        <f>COUNTIF($D$23:$D$1022,"&lt;"&amp;D454)+(COUNTIF($D$23:$D$1022,"="&amp;D454)+1)/2</f>
        <v/>
      </c>
    </row>
    <row r="455">
      <c r="B455" s="27">
        <f>'1 Data'!B444</f>
        <v/>
      </c>
      <c r="C455" s="29">
        <f>IF('1 Data'!E444&lt;=1.5,IF('1 Data'!F444&lt;=1.5,IF('1 Data'!G444&lt;=0.0003,1,2),IF('1 Data'!C444&lt;=165000,3,4)),IF('1 Data'!G444&lt;=0.0652,5,IF('1 Data'!G444&lt;=0.716,6,7)))</f>
        <v/>
      </c>
      <c r="D455" s="23">
        <f>INDEX($F$12:$F$18,C455)</f>
        <v/>
      </c>
      <c r="E455" s="27">
        <f>'1 Data'!I444</f>
        <v/>
      </c>
      <c r="F455" s="30">
        <f>COUNTIF($D$23:$D$1022,"&lt;"&amp;D455)+(COUNTIF($D$23:$D$1022,"="&amp;D455)+1)/2</f>
        <v/>
      </c>
    </row>
    <row r="456">
      <c r="B456" s="27">
        <f>'1 Data'!B445</f>
        <v/>
      </c>
      <c r="C456" s="29">
        <f>IF('1 Data'!E445&lt;=1.5,IF('1 Data'!F445&lt;=1.5,IF('1 Data'!G445&lt;=0.0003,1,2),IF('1 Data'!C445&lt;=165000,3,4)),IF('1 Data'!G445&lt;=0.0652,5,IF('1 Data'!G445&lt;=0.716,6,7)))</f>
        <v/>
      </c>
      <c r="D456" s="23">
        <f>INDEX($F$12:$F$18,C456)</f>
        <v/>
      </c>
      <c r="E456" s="27">
        <f>'1 Data'!I445</f>
        <v/>
      </c>
      <c r="F456" s="30">
        <f>COUNTIF($D$23:$D$1022,"&lt;"&amp;D456)+(COUNTIF($D$23:$D$1022,"="&amp;D456)+1)/2</f>
        <v/>
      </c>
    </row>
    <row r="457">
      <c r="B457" s="27">
        <f>'1 Data'!B446</f>
        <v/>
      </c>
      <c r="C457" s="29">
        <f>IF('1 Data'!E446&lt;=1.5,IF('1 Data'!F446&lt;=1.5,IF('1 Data'!G446&lt;=0.0003,1,2),IF('1 Data'!C446&lt;=165000,3,4)),IF('1 Data'!G446&lt;=0.0652,5,IF('1 Data'!G446&lt;=0.716,6,7)))</f>
        <v/>
      </c>
      <c r="D457" s="23">
        <f>INDEX($F$12:$F$18,C457)</f>
        <v/>
      </c>
      <c r="E457" s="27">
        <f>'1 Data'!I446</f>
        <v/>
      </c>
      <c r="F457" s="30">
        <f>COUNTIF($D$23:$D$1022,"&lt;"&amp;D457)+(COUNTIF($D$23:$D$1022,"="&amp;D457)+1)/2</f>
        <v/>
      </c>
    </row>
    <row r="458">
      <c r="B458" s="27">
        <f>'1 Data'!B447</f>
        <v/>
      </c>
      <c r="C458" s="29">
        <f>IF('1 Data'!E447&lt;=1.5,IF('1 Data'!F447&lt;=1.5,IF('1 Data'!G447&lt;=0.0003,1,2),IF('1 Data'!C447&lt;=165000,3,4)),IF('1 Data'!G447&lt;=0.0652,5,IF('1 Data'!G447&lt;=0.716,6,7)))</f>
        <v/>
      </c>
      <c r="D458" s="23">
        <f>INDEX($F$12:$F$18,C458)</f>
        <v/>
      </c>
      <c r="E458" s="27">
        <f>'1 Data'!I447</f>
        <v/>
      </c>
      <c r="F458" s="30">
        <f>COUNTIF($D$23:$D$1022,"&lt;"&amp;D458)+(COUNTIF($D$23:$D$1022,"="&amp;D458)+1)/2</f>
        <v/>
      </c>
    </row>
    <row r="459">
      <c r="B459" s="27">
        <f>'1 Data'!B448</f>
        <v/>
      </c>
      <c r="C459" s="29">
        <f>IF('1 Data'!E448&lt;=1.5,IF('1 Data'!F448&lt;=1.5,IF('1 Data'!G448&lt;=0.0003,1,2),IF('1 Data'!C448&lt;=165000,3,4)),IF('1 Data'!G448&lt;=0.0652,5,IF('1 Data'!G448&lt;=0.716,6,7)))</f>
        <v/>
      </c>
      <c r="D459" s="23">
        <f>INDEX($F$12:$F$18,C459)</f>
        <v/>
      </c>
      <c r="E459" s="27">
        <f>'1 Data'!I448</f>
        <v/>
      </c>
      <c r="F459" s="30">
        <f>COUNTIF($D$23:$D$1022,"&lt;"&amp;D459)+(COUNTIF($D$23:$D$1022,"="&amp;D459)+1)/2</f>
        <v/>
      </c>
    </row>
    <row r="460">
      <c r="B460" s="27">
        <f>'1 Data'!B449</f>
        <v/>
      </c>
      <c r="C460" s="29">
        <f>IF('1 Data'!E449&lt;=1.5,IF('1 Data'!F449&lt;=1.5,IF('1 Data'!G449&lt;=0.0003,1,2),IF('1 Data'!C449&lt;=165000,3,4)),IF('1 Data'!G449&lt;=0.0652,5,IF('1 Data'!G449&lt;=0.716,6,7)))</f>
        <v/>
      </c>
      <c r="D460" s="23">
        <f>INDEX($F$12:$F$18,C460)</f>
        <v/>
      </c>
      <c r="E460" s="27">
        <f>'1 Data'!I449</f>
        <v/>
      </c>
      <c r="F460" s="30">
        <f>COUNTIF($D$23:$D$1022,"&lt;"&amp;D460)+(COUNTIF($D$23:$D$1022,"="&amp;D460)+1)/2</f>
        <v/>
      </c>
    </row>
    <row r="461">
      <c r="B461" s="27">
        <f>'1 Data'!B450</f>
        <v/>
      </c>
      <c r="C461" s="29">
        <f>IF('1 Data'!E450&lt;=1.5,IF('1 Data'!F450&lt;=1.5,IF('1 Data'!G450&lt;=0.0003,1,2),IF('1 Data'!C450&lt;=165000,3,4)),IF('1 Data'!G450&lt;=0.0652,5,IF('1 Data'!G450&lt;=0.716,6,7)))</f>
        <v/>
      </c>
      <c r="D461" s="23">
        <f>INDEX($F$12:$F$18,C461)</f>
        <v/>
      </c>
      <c r="E461" s="27">
        <f>'1 Data'!I450</f>
        <v/>
      </c>
      <c r="F461" s="30">
        <f>COUNTIF($D$23:$D$1022,"&lt;"&amp;D461)+(COUNTIF($D$23:$D$1022,"="&amp;D461)+1)/2</f>
        <v/>
      </c>
    </row>
    <row r="462">
      <c r="B462" s="27">
        <f>'1 Data'!B451</f>
        <v/>
      </c>
      <c r="C462" s="29">
        <f>IF('1 Data'!E451&lt;=1.5,IF('1 Data'!F451&lt;=1.5,IF('1 Data'!G451&lt;=0.0003,1,2),IF('1 Data'!C451&lt;=165000,3,4)),IF('1 Data'!G451&lt;=0.0652,5,IF('1 Data'!G451&lt;=0.716,6,7)))</f>
        <v/>
      </c>
      <c r="D462" s="23">
        <f>INDEX($F$12:$F$18,C462)</f>
        <v/>
      </c>
      <c r="E462" s="27">
        <f>'1 Data'!I451</f>
        <v/>
      </c>
      <c r="F462" s="30">
        <f>COUNTIF($D$23:$D$1022,"&lt;"&amp;D462)+(COUNTIF($D$23:$D$1022,"="&amp;D462)+1)/2</f>
        <v/>
      </c>
    </row>
    <row r="463">
      <c r="B463" s="27">
        <f>'1 Data'!B452</f>
        <v/>
      </c>
      <c r="C463" s="29">
        <f>IF('1 Data'!E452&lt;=1.5,IF('1 Data'!F452&lt;=1.5,IF('1 Data'!G452&lt;=0.0003,1,2),IF('1 Data'!C452&lt;=165000,3,4)),IF('1 Data'!G452&lt;=0.0652,5,IF('1 Data'!G452&lt;=0.716,6,7)))</f>
        <v/>
      </c>
      <c r="D463" s="23">
        <f>INDEX($F$12:$F$18,C463)</f>
        <v/>
      </c>
      <c r="E463" s="27">
        <f>'1 Data'!I452</f>
        <v/>
      </c>
      <c r="F463" s="30">
        <f>COUNTIF($D$23:$D$1022,"&lt;"&amp;D463)+(COUNTIF($D$23:$D$1022,"="&amp;D463)+1)/2</f>
        <v/>
      </c>
    </row>
    <row r="464">
      <c r="B464" s="27">
        <f>'1 Data'!B453</f>
        <v/>
      </c>
      <c r="C464" s="29">
        <f>IF('1 Data'!E453&lt;=1.5,IF('1 Data'!F453&lt;=1.5,IF('1 Data'!G453&lt;=0.0003,1,2),IF('1 Data'!C453&lt;=165000,3,4)),IF('1 Data'!G453&lt;=0.0652,5,IF('1 Data'!G453&lt;=0.716,6,7)))</f>
        <v/>
      </c>
      <c r="D464" s="23">
        <f>INDEX($F$12:$F$18,C464)</f>
        <v/>
      </c>
      <c r="E464" s="27">
        <f>'1 Data'!I453</f>
        <v/>
      </c>
      <c r="F464" s="30">
        <f>COUNTIF($D$23:$D$1022,"&lt;"&amp;D464)+(COUNTIF($D$23:$D$1022,"="&amp;D464)+1)/2</f>
        <v/>
      </c>
    </row>
    <row r="465">
      <c r="B465" s="27">
        <f>'1 Data'!B454</f>
        <v/>
      </c>
      <c r="C465" s="29">
        <f>IF('1 Data'!E454&lt;=1.5,IF('1 Data'!F454&lt;=1.5,IF('1 Data'!G454&lt;=0.0003,1,2),IF('1 Data'!C454&lt;=165000,3,4)),IF('1 Data'!G454&lt;=0.0652,5,IF('1 Data'!G454&lt;=0.716,6,7)))</f>
        <v/>
      </c>
      <c r="D465" s="23">
        <f>INDEX($F$12:$F$18,C465)</f>
        <v/>
      </c>
      <c r="E465" s="27">
        <f>'1 Data'!I454</f>
        <v/>
      </c>
      <c r="F465" s="30">
        <f>COUNTIF($D$23:$D$1022,"&lt;"&amp;D465)+(COUNTIF($D$23:$D$1022,"="&amp;D465)+1)/2</f>
        <v/>
      </c>
    </row>
    <row r="466">
      <c r="B466" s="27">
        <f>'1 Data'!B455</f>
        <v/>
      </c>
      <c r="C466" s="29">
        <f>IF('1 Data'!E455&lt;=1.5,IF('1 Data'!F455&lt;=1.5,IF('1 Data'!G455&lt;=0.0003,1,2),IF('1 Data'!C455&lt;=165000,3,4)),IF('1 Data'!G455&lt;=0.0652,5,IF('1 Data'!G455&lt;=0.716,6,7)))</f>
        <v/>
      </c>
      <c r="D466" s="23">
        <f>INDEX($F$12:$F$18,C466)</f>
        <v/>
      </c>
      <c r="E466" s="27">
        <f>'1 Data'!I455</f>
        <v/>
      </c>
      <c r="F466" s="30">
        <f>COUNTIF($D$23:$D$1022,"&lt;"&amp;D466)+(COUNTIF($D$23:$D$1022,"="&amp;D466)+1)/2</f>
        <v/>
      </c>
    </row>
    <row r="467">
      <c r="B467" s="27">
        <f>'1 Data'!B456</f>
        <v/>
      </c>
      <c r="C467" s="29">
        <f>IF('1 Data'!E456&lt;=1.5,IF('1 Data'!F456&lt;=1.5,IF('1 Data'!G456&lt;=0.0003,1,2),IF('1 Data'!C456&lt;=165000,3,4)),IF('1 Data'!G456&lt;=0.0652,5,IF('1 Data'!G456&lt;=0.716,6,7)))</f>
        <v/>
      </c>
      <c r="D467" s="23">
        <f>INDEX($F$12:$F$18,C467)</f>
        <v/>
      </c>
      <c r="E467" s="27">
        <f>'1 Data'!I456</f>
        <v/>
      </c>
      <c r="F467" s="30">
        <f>COUNTIF($D$23:$D$1022,"&lt;"&amp;D467)+(COUNTIF($D$23:$D$1022,"="&amp;D467)+1)/2</f>
        <v/>
      </c>
    </row>
    <row r="468">
      <c r="B468" s="27">
        <f>'1 Data'!B457</f>
        <v/>
      </c>
      <c r="C468" s="29">
        <f>IF('1 Data'!E457&lt;=1.5,IF('1 Data'!F457&lt;=1.5,IF('1 Data'!G457&lt;=0.0003,1,2),IF('1 Data'!C457&lt;=165000,3,4)),IF('1 Data'!G457&lt;=0.0652,5,IF('1 Data'!G457&lt;=0.716,6,7)))</f>
        <v/>
      </c>
      <c r="D468" s="23">
        <f>INDEX($F$12:$F$18,C468)</f>
        <v/>
      </c>
      <c r="E468" s="27">
        <f>'1 Data'!I457</f>
        <v/>
      </c>
      <c r="F468" s="30">
        <f>COUNTIF($D$23:$D$1022,"&lt;"&amp;D468)+(COUNTIF($D$23:$D$1022,"="&amp;D468)+1)/2</f>
        <v/>
      </c>
    </row>
    <row r="469">
      <c r="B469" s="27">
        <f>'1 Data'!B458</f>
        <v/>
      </c>
      <c r="C469" s="29">
        <f>IF('1 Data'!E458&lt;=1.5,IF('1 Data'!F458&lt;=1.5,IF('1 Data'!G458&lt;=0.0003,1,2),IF('1 Data'!C458&lt;=165000,3,4)),IF('1 Data'!G458&lt;=0.0652,5,IF('1 Data'!G458&lt;=0.716,6,7)))</f>
        <v/>
      </c>
      <c r="D469" s="23">
        <f>INDEX($F$12:$F$18,C469)</f>
        <v/>
      </c>
      <c r="E469" s="27">
        <f>'1 Data'!I458</f>
        <v/>
      </c>
      <c r="F469" s="30">
        <f>COUNTIF($D$23:$D$1022,"&lt;"&amp;D469)+(COUNTIF($D$23:$D$1022,"="&amp;D469)+1)/2</f>
        <v/>
      </c>
    </row>
    <row r="470">
      <c r="B470" s="27">
        <f>'1 Data'!B459</f>
        <v/>
      </c>
      <c r="C470" s="29">
        <f>IF('1 Data'!E459&lt;=1.5,IF('1 Data'!F459&lt;=1.5,IF('1 Data'!G459&lt;=0.0003,1,2),IF('1 Data'!C459&lt;=165000,3,4)),IF('1 Data'!G459&lt;=0.0652,5,IF('1 Data'!G459&lt;=0.716,6,7)))</f>
        <v/>
      </c>
      <c r="D470" s="23">
        <f>INDEX($F$12:$F$18,C470)</f>
        <v/>
      </c>
      <c r="E470" s="27">
        <f>'1 Data'!I459</f>
        <v/>
      </c>
      <c r="F470" s="30">
        <f>COUNTIF($D$23:$D$1022,"&lt;"&amp;D470)+(COUNTIF($D$23:$D$1022,"="&amp;D470)+1)/2</f>
        <v/>
      </c>
    </row>
    <row r="471">
      <c r="B471" s="27">
        <f>'1 Data'!B460</f>
        <v/>
      </c>
      <c r="C471" s="29">
        <f>IF('1 Data'!E460&lt;=1.5,IF('1 Data'!F460&lt;=1.5,IF('1 Data'!G460&lt;=0.0003,1,2),IF('1 Data'!C460&lt;=165000,3,4)),IF('1 Data'!G460&lt;=0.0652,5,IF('1 Data'!G460&lt;=0.716,6,7)))</f>
        <v/>
      </c>
      <c r="D471" s="23">
        <f>INDEX($F$12:$F$18,C471)</f>
        <v/>
      </c>
      <c r="E471" s="27">
        <f>'1 Data'!I460</f>
        <v/>
      </c>
      <c r="F471" s="30">
        <f>COUNTIF($D$23:$D$1022,"&lt;"&amp;D471)+(COUNTIF($D$23:$D$1022,"="&amp;D471)+1)/2</f>
        <v/>
      </c>
    </row>
    <row r="472">
      <c r="B472" s="27">
        <f>'1 Data'!B461</f>
        <v/>
      </c>
      <c r="C472" s="29">
        <f>IF('1 Data'!E461&lt;=1.5,IF('1 Data'!F461&lt;=1.5,IF('1 Data'!G461&lt;=0.0003,1,2),IF('1 Data'!C461&lt;=165000,3,4)),IF('1 Data'!G461&lt;=0.0652,5,IF('1 Data'!G461&lt;=0.716,6,7)))</f>
        <v/>
      </c>
      <c r="D472" s="23">
        <f>INDEX($F$12:$F$18,C472)</f>
        <v/>
      </c>
      <c r="E472" s="27">
        <f>'1 Data'!I461</f>
        <v/>
      </c>
      <c r="F472" s="30">
        <f>COUNTIF($D$23:$D$1022,"&lt;"&amp;D472)+(COUNTIF($D$23:$D$1022,"="&amp;D472)+1)/2</f>
        <v/>
      </c>
    </row>
    <row r="473">
      <c r="B473" s="27">
        <f>'1 Data'!B462</f>
        <v/>
      </c>
      <c r="C473" s="29">
        <f>IF('1 Data'!E462&lt;=1.5,IF('1 Data'!F462&lt;=1.5,IF('1 Data'!G462&lt;=0.0003,1,2),IF('1 Data'!C462&lt;=165000,3,4)),IF('1 Data'!G462&lt;=0.0652,5,IF('1 Data'!G462&lt;=0.716,6,7)))</f>
        <v/>
      </c>
      <c r="D473" s="23">
        <f>INDEX($F$12:$F$18,C473)</f>
        <v/>
      </c>
      <c r="E473" s="27">
        <f>'1 Data'!I462</f>
        <v/>
      </c>
      <c r="F473" s="30">
        <f>COUNTIF($D$23:$D$1022,"&lt;"&amp;D473)+(COUNTIF($D$23:$D$1022,"="&amp;D473)+1)/2</f>
        <v/>
      </c>
    </row>
    <row r="474">
      <c r="B474" s="27">
        <f>'1 Data'!B463</f>
        <v/>
      </c>
      <c r="C474" s="29">
        <f>IF('1 Data'!E463&lt;=1.5,IF('1 Data'!F463&lt;=1.5,IF('1 Data'!G463&lt;=0.0003,1,2),IF('1 Data'!C463&lt;=165000,3,4)),IF('1 Data'!G463&lt;=0.0652,5,IF('1 Data'!G463&lt;=0.716,6,7)))</f>
        <v/>
      </c>
      <c r="D474" s="23">
        <f>INDEX($F$12:$F$18,C474)</f>
        <v/>
      </c>
      <c r="E474" s="27">
        <f>'1 Data'!I463</f>
        <v/>
      </c>
      <c r="F474" s="30">
        <f>COUNTIF($D$23:$D$1022,"&lt;"&amp;D474)+(COUNTIF($D$23:$D$1022,"="&amp;D474)+1)/2</f>
        <v/>
      </c>
    </row>
    <row r="475">
      <c r="B475" s="27">
        <f>'1 Data'!B464</f>
        <v/>
      </c>
      <c r="C475" s="29">
        <f>IF('1 Data'!E464&lt;=1.5,IF('1 Data'!F464&lt;=1.5,IF('1 Data'!G464&lt;=0.0003,1,2),IF('1 Data'!C464&lt;=165000,3,4)),IF('1 Data'!G464&lt;=0.0652,5,IF('1 Data'!G464&lt;=0.716,6,7)))</f>
        <v/>
      </c>
      <c r="D475" s="23">
        <f>INDEX($F$12:$F$18,C475)</f>
        <v/>
      </c>
      <c r="E475" s="27">
        <f>'1 Data'!I464</f>
        <v/>
      </c>
      <c r="F475" s="30">
        <f>COUNTIF($D$23:$D$1022,"&lt;"&amp;D475)+(COUNTIF($D$23:$D$1022,"="&amp;D475)+1)/2</f>
        <v/>
      </c>
    </row>
    <row r="476">
      <c r="B476" s="27">
        <f>'1 Data'!B465</f>
        <v/>
      </c>
      <c r="C476" s="29">
        <f>IF('1 Data'!E465&lt;=1.5,IF('1 Data'!F465&lt;=1.5,IF('1 Data'!G465&lt;=0.0003,1,2),IF('1 Data'!C465&lt;=165000,3,4)),IF('1 Data'!G465&lt;=0.0652,5,IF('1 Data'!G465&lt;=0.716,6,7)))</f>
        <v/>
      </c>
      <c r="D476" s="23">
        <f>INDEX($F$12:$F$18,C476)</f>
        <v/>
      </c>
      <c r="E476" s="27">
        <f>'1 Data'!I465</f>
        <v/>
      </c>
      <c r="F476" s="30">
        <f>COUNTIF($D$23:$D$1022,"&lt;"&amp;D476)+(COUNTIF($D$23:$D$1022,"="&amp;D476)+1)/2</f>
        <v/>
      </c>
    </row>
    <row r="477">
      <c r="B477" s="27">
        <f>'1 Data'!B466</f>
        <v/>
      </c>
      <c r="C477" s="29">
        <f>IF('1 Data'!E466&lt;=1.5,IF('1 Data'!F466&lt;=1.5,IF('1 Data'!G466&lt;=0.0003,1,2),IF('1 Data'!C466&lt;=165000,3,4)),IF('1 Data'!G466&lt;=0.0652,5,IF('1 Data'!G466&lt;=0.716,6,7)))</f>
        <v/>
      </c>
      <c r="D477" s="23">
        <f>INDEX($F$12:$F$18,C477)</f>
        <v/>
      </c>
      <c r="E477" s="27">
        <f>'1 Data'!I466</f>
        <v/>
      </c>
      <c r="F477" s="30">
        <f>COUNTIF($D$23:$D$1022,"&lt;"&amp;D477)+(COUNTIF($D$23:$D$1022,"="&amp;D477)+1)/2</f>
        <v/>
      </c>
    </row>
    <row r="478">
      <c r="B478" s="27">
        <f>'1 Data'!B467</f>
        <v/>
      </c>
      <c r="C478" s="29">
        <f>IF('1 Data'!E467&lt;=1.5,IF('1 Data'!F467&lt;=1.5,IF('1 Data'!G467&lt;=0.0003,1,2),IF('1 Data'!C467&lt;=165000,3,4)),IF('1 Data'!G467&lt;=0.0652,5,IF('1 Data'!G467&lt;=0.716,6,7)))</f>
        <v/>
      </c>
      <c r="D478" s="23">
        <f>INDEX($F$12:$F$18,C478)</f>
        <v/>
      </c>
      <c r="E478" s="27">
        <f>'1 Data'!I467</f>
        <v/>
      </c>
      <c r="F478" s="30">
        <f>COUNTIF($D$23:$D$1022,"&lt;"&amp;D478)+(COUNTIF($D$23:$D$1022,"="&amp;D478)+1)/2</f>
        <v/>
      </c>
    </row>
    <row r="479">
      <c r="B479" s="27">
        <f>'1 Data'!B468</f>
        <v/>
      </c>
      <c r="C479" s="29">
        <f>IF('1 Data'!E468&lt;=1.5,IF('1 Data'!F468&lt;=1.5,IF('1 Data'!G468&lt;=0.0003,1,2),IF('1 Data'!C468&lt;=165000,3,4)),IF('1 Data'!G468&lt;=0.0652,5,IF('1 Data'!G468&lt;=0.716,6,7)))</f>
        <v/>
      </c>
      <c r="D479" s="23">
        <f>INDEX($F$12:$F$18,C479)</f>
        <v/>
      </c>
      <c r="E479" s="27">
        <f>'1 Data'!I468</f>
        <v/>
      </c>
      <c r="F479" s="30">
        <f>COUNTIF($D$23:$D$1022,"&lt;"&amp;D479)+(COUNTIF($D$23:$D$1022,"="&amp;D479)+1)/2</f>
        <v/>
      </c>
    </row>
    <row r="480">
      <c r="B480" s="27">
        <f>'1 Data'!B469</f>
        <v/>
      </c>
      <c r="C480" s="29">
        <f>IF('1 Data'!E469&lt;=1.5,IF('1 Data'!F469&lt;=1.5,IF('1 Data'!G469&lt;=0.0003,1,2),IF('1 Data'!C469&lt;=165000,3,4)),IF('1 Data'!G469&lt;=0.0652,5,IF('1 Data'!G469&lt;=0.716,6,7)))</f>
        <v/>
      </c>
      <c r="D480" s="23">
        <f>INDEX($F$12:$F$18,C480)</f>
        <v/>
      </c>
      <c r="E480" s="27">
        <f>'1 Data'!I469</f>
        <v/>
      </c>
      <c r="F480" s="30">
        <f>COUNTIF($D$23:$D$1022,"&lt;"&amp;D480)+(COUNTIF($D$23:$D$1022,"="&amp;D480)+1)/2</f>
        <v/>
      </c>
    </row>
    <row r="481">
      <c r="B481" s="27">
        <f>'1 Data'!B470</f>
        <v/>
      </c>
      <c r="C481" s="29">
        <f>IF('1 Data'!E470&lt;=1.5,IF('1 Data'!F470&lt;=1.5,IF('1 Data'!G470&lt;=0.0003,1,2),IF('1 Data'!C470&lt;=165000,3,4)),IF('1 Data'!G470&lt;=0.0652,5,IF('1 Data'!G470&lt;=0.716,6,7)))</f>
        <v/>
      </c>
      <c r="D481" s="23">
        <f>INDEX($F$12:$F$18,C481)</f>
        <v/>
      </c>
      <c r="E481" s="27">
        <f>'1 Data'!I470</f>
        <v/>
      </c>
      <c r="F481" s="30">
        <f>COUNTIF($D$23:$D$1022,"&lt;"&amp;D481)+(COUNTIF($D$23:$D$1022,"="&amp;D481)+1)/2</f>
        <v/>
      </c>
    </row>
    <row r="482">
      <c r="B482" s="27">
        <f>'1 Data'!B471</f>
        <v/>
      </c>
      <c r="C482" s="29">
        <f>IF('1 Data'!E471&lt;=1.5,IF('1 Data'!F471&lt;=1.5,IF('1 Data'!G471&lt;=0.0003,1,2),IF('1 Data'!C471&lt;=165000,3,4)),IF('1 Data'!G471&lt;=0.0652,5,IF('1 Data'!G471&lt;=0.716,6,7)))</f>
        <v/>
      </c>
      <c r="D482" s="23">
        <f>INDEX($F$12:$F$18,C482)</f>
        <v/>
      </c>
      <c r="E482" s="27">
        <f>'1 Data'!I471</f>
        <v/>
      </c>
      <c r="F482" s="30">
        <f>COUNTIF($D$23:$D$1022,"&lt;"&amp;D482)+(COUNTIF($D$23:$D$1022,"="&amp;D482)+1)/2</f>
        <v/>
      </c>
    </row>
    <row r="483">
      <c r="B483" s="27">
        <f>'1 Data'!B472</f>
        <v/>
      </c>
      <c r="C483" s="29">
        <f>IF('1 Data'!E472&lt;=1.5,IF('1 Data'!F472&lt;=1.5,IF('1 Data'!G472&lt;=0.0003,1,2),IF('1 Data'!C472&lt;=165000,3,4)),IF('1 Data'!G472&lt;=0.0652,5,IF('1 Data'!G472&lt;=0.716,6,7)))</f>
        <v/>
      </c>
      <c r="D483" s="23">
        <f>INDEX($F$12:$F$18,C483)</f>
        <v/>
      </c>
      <c r="E483" s="27">
        <f>'1 Data'!I472</f>
        <v/>
      </c>
      <c r="F483" s="30">
        <f>COUNTIF($D$23:$D$1022,"&lt;"&amp;D483)+(COUNTIF($D$23:$D$1022,"="&amp;D483)+1)/2</f>
        <v/>
      </c>
    </row>
    <row r="484">
      <c r="B484" s="27">
        <f>'1 Data'!B473</f>
        <v/>
      </c>
      <c r="C484" s="29">
        <f>IF('1 Data'!E473&lt;=1.5,IF('1 Data'!F473&lt;=1.5,IF('1 Data'!G473&lt;=0.0003,1,2),IF('1 Data'!C473&lt;=165000,3,4)),IF('1 Data'!G473&lt;=0.0652,5,IF('1 Data'!G473&lt;=0.716,6,7)))</f>
        <v/>
      </c>
      <c r="D484" s="23">
        <f>INDEX($F$12:$F$18,C484)</f>
        <v/>
      </c>
      <c r="E484" s="27">
        <f>'1 Data'!I473</f>
        <v/>
      </c>
      <c r="F484" s="30">
        <f>COUNTIF($D$23:$D$1022,"&lt;"&amp;D484)+(COUNTIF($D$23:$D$1022,"="&amp;D484)+1)/2</f>
        <v/>
      </c>
    </row>
    <row r="485">
      <c r="B485" s="27">
        <f>'1 Data'!B474</f>
        <v/>
      </c>
      <c r="C485" s="29">
        <f>IF('1 Data'!E474&lt;=1.5,IF('1 Data'!F474&lt;=1.5,IF('1 Data'!G474&lt;=0.0003,1,2),IF('1 Data'!C474&lt;=165000,3,4)),IF('1 Data'!G474&lt;=0.0652,5,IF('1 Data'!G474&lt;=0.716,6,7)))</f>
        <v/>
      </c>
      <c r="D485" s="23">
        <f>INDEX($F$12:$F$18,C485)</f>
        <v/>
      </c>
      <c r="E485" s="27">
        <f>'1 Data'!I474</f>
        <v/>
      </c>
      <c r="F485" s="30">
        <f>COUNTIF($D$23:$D$1022,"&lt;"&amp;D485)+(COUNTIF($D$23:$D$1022,"="&amp;D485)+1)/2</f>
        <v/>
      </c>
    </row>
    <row r="486">
      <c r="B486" s="27">
        <f>'1 Data'!B475</f>
        <v/>
      </c>
      <c r="C486" s="29">
        <f>IF('1 Data'!E475&lt;=1.5,IF('1 Data'!F475&lt;=1.5,IF('1 Data'!G475&lt;=0.0003,1,2),IF('1 Data'!C475&lt;=165000,3,4)),IF('1 Data'!G475&lt;=0.0652,5,IF('1 Data'!G475&lt;=0.716,6,7)))</f>
        <v/>
      </c>
      <c r="D486" s="23">
        <f>INDEX($F$12:$F$18,C486)</f>
        <v/>
      </c>
      <c r="E486" s="27">
        <f>'1 Data'!I475</f>
        <v/>
      </c>
      <c r="F486" s="30">
        <f>COUNTIF($D$23:$D$1022,"&lt;"&amp;D486)+(COUNTIF($D$23:$D$1022,"="&amp;D486)+1)/2</f>
        <v/>
      </c>
    </row>
    <row r="487">
      <c r="B487" s="27">
        <f>'1 Data'!B476</f>
        <v/>
      </c>
      <c r="C487" s="29">
        <f>IF('1 Data'!E476&lt;=1.5,IF('1 Data'!F476&lt;=1.5,IF('1 Data'!G476&lt;=0.0003,1,2),IF('1 Data'!C476&lt;=165000,3,4)),IF('1 Data'!G476&lt;=0.0652,5,IF('1 Data'!G476&lt;=0.716,6,7)))</f>
        <v/>
      </c>
      <c r="D487" s="23">
        <f>INDEX($F$12:$F$18,C487)</f>
        <v/>
      </c>
      <c r="E487" s="27">
        <f>'1 Data'!I476</f>
        <v/>
      </c>
      <c r="F487" s="30">
        <f>COUNTIF($D$23:$D$1022,"&lt;"&amp;D487)+(COUNTIF($D$23:$D$1022,"="&amp;D487)+1)/2</f>
        <v/>
      </c>
    </row>
    <row r="488">
      <c r="B488" s="27">
        <f>'1 Data'!B477</f>
        <v/>
      </c>
      <c r="C488" s="29">
        <f>IF('1 Data'!E477&lt;=1.5,IF('1 Data'!F477&lt;=1.5,IF('1 Data'!G477&lt;=0.0003,1,2),IF('1 Data'!C477&lt;=165000,3,4)),IF('1 Data'!G477&lt;=0.0652,5,IF('1 Data'!G477&lt;=0.716,6,7)))</f>
        <v/>
      </c>
      <c r="D488" s="23">
        <f>INDEX($F$12:$F$18,C488)</f>
        <v/>
      </c>
      <c r="E488" s="27">
        <f>'1 Data'!I477</f>
        <v/>
      </c>
      <c r="F488" s="30">
        <f>COUNTIF($D$23:$D$1022,"&lt;"&amp;D488)+(COUNTIF($D$23:$D$1022,"="&amp;D488)+1)/2</f>
        <v/>
      </c>
    </row>
    <row r="489">
      <c r="B489" s="27">
        <f>'1 Data'!B478</f>
        <v/>
      </c>
      <c r="C489" s="29">
        <f>IF('1 Data'!E478&lt;=1.5,IF('1 Data'!F478&lt;=1.5,IF('1 Data'!G478&lt;=0.0003,1,2),IF('1 Data'!C478&lt;=165000,3,4)),IF('1 Data'!G478&lt;=0.0652,5,IF('1 Data'!G478&lt;=0.716,6,7)))</f>
        <v/>
      </c>
      <c r="D489" s="23">
        <f>INDEX($F$12:$F$18,C489)</f>
        <v/>
      </c>
      <c r="E489" s="27">
        <f>'1 Data'!I478</f>
        <v/>
      </c>
      <c r="F489" s="30">
        <f>COUNTIF($D$23:$D$1022,"&lt;"&amp;D489)+(COUNTIF($D$23:$D$1022,"="&amp;D489)+1)/2</f>
        <v/>
      </c>
    </row>
    <row r="490">
      <c r="B490" s="27">
        <f>'1 Data'!B479</f>
        <v/>
      </c>
      <c r="C490" s="29">
        <f>IF('1 Data'!E479&lt;=1.5,IF('1 Data'!F479&lt;=1.5,IF('1 Data'!G479&lt;=0.0003,1,2),IF('1 Data'!C479&lt;=165000,3,4)),IF('1 Data'!G479&lt;=0.0652,5,IF('1 Data'!G479&lt;=0.716,6,7)))</f>
        <v/>
      </c>
      <c r="D490" s="23">
        <f>INDEX($F$12:$F$18,C490)</f>
        <v/>
      </c>
      <c r="E490" s="27">
        <f>'1 Data'!I479</f>
        <v/>
      </c>
      <c r="F490" s="30">
        <f>COUNTIF($D$23:$D$1022,"&lt;"&amp;D490)+(COUNTIF($D$23:$D$1022,"="&amp;D490)+1)/2</f>
        <v/>
      </c>
    </row>
    <row r="491">
      <c r="B491" s="27">
        <f>'1 Data'!B480</f>
        <v/>
      </c>
      <c r="C491" s="29">
        <f>IF('1 Data'!E480&lt;=1.5,IF('1 Data'!F480&lt;=1.5,IF('1 Data'!G480&lt;=0.0003,1,2),IF('1 Data'!C480&lt;=165000,3,4)),IF('1 Data'!G480&lt;=0.0652,5,IF('1 Data'!G480&lt;=0.716,6,7)))</f>
        <v/>
      </c>
      <c r="D491" s="23">
        <f>INDEX($F$12:$F$18,C491)</f>
        <v/>
      </c>
      <c r="E491" s="27">
        <f>'1 Data'!I480</f>
        <v/>
      </c>
      <c r="F491" s="30">
        <f>COUNTIF($D$23:$D$1022,"&lt;"&amp;D491)+(COUNTIF($D$23:$D$1022,"="&amp;D491)+1)/2</f>
        <v/>
      </c>
    </row>
    <row r="492">
      <c r="B492" s="27">
        <f>'1 Data'!B481</f>
        <v/>
      </c>
      <c r="C492" s="29">
        <f>IF('1 Data'!E481&lt;=1.5,IF('1 Data'!F481&lt;=1.5,IF('1 Data'!G481&lt;=0.0003,1,2),IF('1 Data'!C481&lt;=165000,3,4)),IF('1 Data'!G481&lt;=0.0652,5,IF('1 Data'!G481&lt;=0.716,6,7)))</f>
        <v/>
      </c>
      <c r="D492" s="23">
        <f>INDEX($F$12:$F$18,C492)</f>
        <v/>
      </c>
      <c r="E492" s="27">
        <f>'1 Data'!I481</f>
        <v/>
      </c>
      <c r="F492" s="30">
        <f>COUNTIF($D$23:$D$1022,"&lt;"&amp;D492)+(COUNTIF($D$23:$D$1022,"="&amp;D492)+1)/2</f>
        <v/>
      </c>
    </row>
    <row r="493">
      <c r="B493" s="27">
        <f>'1 Data'!B482</f>
        <v/>
      </c>
      <c r="C493" s="29">
        <f>IF('1 Data'!E482&lt;=1.5,IF('1 Data'!F482&lt;=1.5,IF('1 Data'!G482&lt;=0.0003,1,2),IF('1 Data'!C482&lt;=165000,3,4)),IF('1 Data'!G482&lt;=0.0652,5,IF('1 Data'!G482&lt;=0.716,6,7)))</f>
        <v/>
      </c>
      <c r="D493" s="23">
        <f>INDEX($F$12:$F$18,C493)</f>
        <v/>
      </c>
      <c r="E493" s="27">
        <f>'1 Data'!I482</f>
        <v/>
      </c>
      <c r="F493" s="30">
        <f>COUNTIF($D$23:$D$1022,"&lt;"&amp;D493)+(COUNTIF($D$23:$D$1022,"="&amp;D493)+1)/2</f>
        <v/>
      </c>
    </row>
    <row r="494">
      <c r="B494" s="27">
        <f>'1 Data'!B483</f>
        <v/>
      </c>
      <c r="C494" s="29">
        <f>IF('1 Data'!E483&lt;=1.5,IF('1 Data'!F483&lt;=1.5,IF('1 Data'!G483&lt;=0.0003,1,2),IF('1 Data'!C483&lt;=165000,3,4)),IF('1 Data'!G483&lt;=0.0652,5,IF('1 Data'!G483&lt;=0.716,6,7)))</f>
        <v/>
      </c>
      <c r="D494" s="23">
        <f>INDEX($F$12:$F$18,C494)</f>
        <v/>
      </c>
      <c r="E494" s="27">
        <f>'1 Data'!I483</f>
        <v/>
      </c>
      <c r="F494" s="30">
        <f>COUNTIF($D$23:$D$1022,"&lt;"&amp;D494)+(COUNTIF($D$23:$D$1022,"="&amp;D494)+1)/2</f>
        <v/>
      </c>
    </row>
    <row r="495">
      <c r="B495" s="27">
        <f>'1 Data'!B484</f>
        <v/>
      </c>
      <c r="C495" s="29">
        <f>IF('1 Data'!E484&lt;=1.5,IF('1 Data'!F484&lt;=1.5,IF('1 Data'!G484&lt;=0.0003,1,2),IF('1 Data'!C484&lt;=165000,3,4)),IF('1 Data'!G484&lt;=0.0652,5,IF('1 Data'!G484&lt;=0.716,6,7)))</f>
        <v/>
      </c>
      <c r="D495" s="23">
        <f>INDEX($F$12:$F$18,C495)</f>
        <v/>
      </c>
      <c r="E495" s="27">
        <f>'1 Data'!I484</f>
        <v/>
      </c>
      <c r="F495" s="30">
        <f>COUNTIF($D$23:$D$1022,"&lt;"&amp;D495)+(COUNTIF($D$23:$D$1022,"="&amp;D495)+1)/2</f>
        <v/>
      </c>
    </row>
    <row r="496">
      <c r="B496" s="27">
        <f>'1 Data'!B485</f>
        <v/>
      </c>
      <c r="C496" s="29">
        <f>IF('1 Data'!E485&lt;=1.5,IF('1 Data'!F485&lt;=1.5,IF('1 Data'!G485&lt;=0.0003,1,2),IF('1 Data'!C485&lt;=165000,3,4)),IF('1 Data'!G485&lt;=0.0652,5,IF('1 Data'!G485&lt;=0.716,6,7)))</f>
        <v/>
      </c>
      <c r="D496" s="23">
        <f>INDEX($F$12:$F$18,C496)</f>
        <v/>
      </c>
      <c r="E496" s="27">
        <f>'1 Data'!I485</f>
        <v/>
      </c>
      <c r="F496" s="30">
        <f>COUNTIF($D$23:$D$1022,"&lt;"&amp;D496)+(COUNTIF($D$23:$D$1022,"="&amp;D496)+1)/2</f>
        <v/>
      </c>
    </row>
    <row r="497">
      <c r="B497" s="27">
        <f>'1 Data'!B486</f>
        <v/>
      </c>
      <c r="C497" s="29">
        <f>IF('1 Data'!E486&lt;=1.5,IF('1 Data'!F486&lt;=1.5,IF('1 Data'!G486&lt;=0.0003,1,2),IF('1 Data'!C486&lt;=165000,3,4)),IF('1 Data'!G486&lt;=0.0652,5,IF('1 Data'!G486&lt;=0.716,6,7)))</f>
        <v/>
      </c>
      <c r="D497" s="23">
        <f>INDEX($F$12:$F$18,C497)</f>
        <v/>
      </c>
      <c r="E497" s="27">
        <f>'1 Data'!I486</f>
        <v/>
      </c>
      <c r="F497" s="30">
        <f>COUNTIF($D$23:$D$1022,"&lt;"&amp;D497)+(COUNTIF($D$23:$D$1022,"="&amp;D497)+1)/2</f>
        <v/>
      </c>
    </row>
    <row r="498">
      <c r="B498" s="27">
        <f>'1 Data'!B487</f>
        <v/>
      </c>
      <c r="C498" s="29">
        <f>IF('1 Data'!E487&lt;=1.5,IF('1 Data'!F487&lt;=1.5,IF('1 Data'!G487&lt;=0.0003,1,2),IF('1 Data'!C487&lt;=165000,3,4)),IF('1 Data'!G487&lt;=0.0652,5,IF('1 Data'!G487&lt;=0.716,6,7)))</f>
        <v/>
      </c>
      <c r="D498" s="23">
        <f>INDEX($F$12:$F$18,C498)</f>
        <v/>
      </c>
      <c r="E498" s="27">
        <f>'1 Data'!I487</f>
        <v/>
      </c>
      <c r="F498" s="30">
        <f>COUNTIF($D$23:$D$1022,"&lt;"&amp;D498)+(COUNTIF($D$23:$D$1022,"="&amp;D498)+1)/2</f>
        <v/>
      </c>
    </row>
    <row r="499">
      <c r="B499" s="27">
        <f>'1 Data'!B488</f>
        <v/>
      </c>
      <c r="C499" s="29">
        <f>IF('1 Data'!E488&lt;=1.5,IF('1 Data'!F488&lt;=1.5,IF('1 Data'!G488&lt;=0.0003,1,2),IF('1 Data'!C488&lt;=165000,3,4)),IF('1 Data'!G488&lt;=0.0652,5,IF('1 Data'!G488&lt;=0.716,6,7)))</f>
        <v/>
      </c>
      <c r="D499" s="23">
        <f>INDEX($F$12:$F$18,C499)</f>
        <v/>
      </c>
      <c r="E499" s="27">
        <f>'1 Data'!I488</f>
        <v/>
      </c>
      <c r="F499" s="30">
        <f>COUNTIF($D$23:$D$1022,"&lt;"&amp;D499)+(COUNTIF($D$23:$D$1022,"="&amp;D499)+1)/2</f>
        <v/>
      </c>
    </row>
    <row r="500">
      <c r="B500" s="27">
        <f>'1 Data'!B489</f>
        <v/>
      </c>
      <c r="C500" s="29">
        <f>IF('1 Data'!E489&lt;=1.5,IF('1 Data'!F489&lt;=1.5,IF('1 Data'!G489&lt;=0.0003,1,2),IF('1 Data'!C489&lt;=165000,3,4)),IF('1 Data'!G489&lt;=0.0652,5,IF('1 Data'!G489&lt;=0.716,6,7)))</f>
        <v/>
      </c>
      <c r="D500" s="23">
        <f>INDEX($F$12:$F$18,C500)</f>
        <v/>
      </c>
      <c r="E500" s="27">
        <f>'1 Data'!I489</f>
        <v/>
      </c>
      <c r="F500" s="30">
        <f>COUNTIF($D$23:$D$1022,"&lt;"&amp;D500)+(COUNTIF($D$23:$D$1022,"="&amp;D500)+1)/2</f>
        <v/>
      </c>
    </row>
    <row r="501">
      <c r="B501" s="27">
        <f>'1 Data'!B490</f>
        <v/>
      </c>
      <c r="C501" s="29">
        <f>IF('1 Data'!E490&lt;=1.5,IF('1 Data'!F490&lt;=1.5,IF('1 Data'!G490&lt;=0.0003,1,2),IF('1 Data'!C490&lt;=165000,3,4)),IF('1 Data'!G490&lt;=0.0652,5,IF('1 Data'!G490&lt;=0.716,6,7)))</f>
        <v/>
      </c>
      <c r="D501" s="23">
        <f>INDEX($F$12:$F$18,C501)</f>
        <v/>
      </c>
      <c r="E501" s="27">
        <f>'1 Data'!I490</f>
        <v/>
      </c>
      <c r="F501" s="30">
        <f>COUNTIF($D$23:$D$1022,"&lt;"&amp;D501)+(COUNTIF($D$23:$D$1022,"="&amp;D501)+1)/2</f>
        <v/>
      </c>
    </row>
    <row r="502">
      <c r="B502" s="27">
        <f>'1 Data'!B491</f>
        <v/>
      </c>
      <c r="C502" s="29">
        <f>IF('1 Data'!E491&lt;=1.5,IF('1 Data'!F491&lt;=1.5,IF('1 Data'!G491&lt;=0.0003,1,2),IF('1 Data'!C491&lt;=165000,3,4)),IF('1 Data'!G491&lt;=0.0652,5,IF('1 Data'!G491&lt;=0.716,6,7)))</f>
        <v/>
      </c>
      <c r="D502" s="23">
        <f>INDEX($F$12:$F$18,C502)</f>
        <v/>
      </c>
      <c r="E502" s="27">
        <f>'1 Data'!I491</f>
        <v/>
      </c>
      <c r="F502" s="30">
        <f>COUNTIF($D$23:$D$1022,"&lt;"&amp;D502)+(COUNTIF($D$23:$D$1022,"="&amp;D502)+1)/2</f>
        <v/>
      </c>
    </row>
    <row r="503">
      <c r="B503" s="27">
        <f>'1 Data'!B492</f>
        <v/>
      </c>
      <c r="C503" s="29">
        <f>IF('1 Data'!E492&lt;=1.5,IF('1 Data'!F492&lt;=1.5,IF('1 Data'!G492&lt;=0.0003,1,2),IF('1 Data'!C492&lt;=165000,3,4)),IF('1 Data'!G492&lt;=0.0652,5,IF('1 Data'!G492&lt;=0.716,6,7)))</f>
        <v/>
      </c>
      <c r="D503" s="23">
        <f>INDEX($F$12:$F$18,C503)</f>
        <v/>
      </c>
      <c r="E503" s="27">
        <f>'1 Data'!I492</f>
        <v/>
      </c>
      <c r="F503" s="30">
        <f>COUNTIF($D$23:$D$1022,"&lt;"&amp;D503)+(COUNTIF($D$23:$D$1022,"="&amp;D503)+1)/2</f>
        <v/>
      </c>
    </row>
    <row r="504">
      <c r="B504" s="27">
        <f>'1 Data'!B493</f>
        <v/>
      </c>
      <c r="C504" s="29">
        <f>IF('1 Data'!E493&lt;=1.5,IF('1 Data'!F493&lt;=1.5,IF('1 Data'!G493&lt;=0.0003,1,2),IF('1 Data'!C493&lt;=165000,3,4)),IF('1 Data'!G493&lt;=0.0652,5,IF('1 Data'!G493&lt;=0.716,6,7)))</f>
        <v/>
      </c>
      <c r="D504" s="23">
        <f>INDEX($F$12:$F$18,C504)</f>
        <v/>
      </c>
      <c r="E504" s="27">
        <f>'1 Data'!I493</f>
        <v/>
      </c>
      <c r="F504" s="30">
        <f>COUNTIF($D$23:$D$1022,"&lt;"&amp;D504)+(COUNTIF($D$23:$D$1022,"="&amp;D504)+1)/2</f>
        <v/>
      </c>
    </row>
    <row r="505">
      <c r="B505" s="27">
        <f>'1 Data'!B494</f>
        <v/>
      </c>
      <c r="C505" s="29">
        <f>IF('1 Data'!E494&lt;=1.5,IF('1 Data'!F494&lt;=1.5,IF('1 Data'!G494&lt;=0.0003,1,2),IF('1 Data'!C494&lt;=165000,3,4)),IF('1 Data'!G494&lt;=0.0652,5,IF('1 Data'!G494&lt;=0.716,6,7)))</f>
        <v/>
      </c>
      <c r="D505" s="23">
        <f>INDEX($F$12:$F$18,C505)</f>
        <v/>
      </c>
      <c r="E505" s="27">
        <f>'1 Data'!I494</f>
        <v/>
      </c>
      <c r="F505" s="30">
        <f>COUNTIF($D$23:$D$1022,"&lt;"&amp;D505)+(COUNTIF($D$23:$D$1022,"="&amp;D505)+1)/2</f>
        <v/>
      </c>
    </row>
    <row r="506">
      <c r="B506" s="27">
        <f>'1 Data'!B495</f>
        <v/>
      </c>
      <c r="C506" s="29">
        <f>IF('1 Data'!E495&lt;=1.5,IF('1 Data'!F495&lt;=1.5,IF('1 Data'!G495&lt;=0.0003,1,2),IF('1 Data'!C495&lt;=165000,3,4)),IF('1 Data'!G495&lt;=0.0652,5,IF('1 Data'!G495&lt;=0.716,6,7)))</f>
        <v/>
      </c>
      <c r="D506" s="23">
        <f>INDEX($F$12:$F$18,C506)</f>
        <v/>
      </c>
      <c r="E506" s="27">
        <f>'1 Data'!I495</f>
        <v/>
      </c>
      <c r="F506" s="30">
        <f>COUNTIF($D$23:$D$1022,"&lt;"&amp;D506)+(COUNTIF($D$23:$D$1022,"="&amp;D506)+1)/2</f>
        <v/>
      </c>
    </row>
    <row r="507">
      <c r="B507" s="27">
        <f>'1 Data'!B496</f>
        <v/>
      </c>
      <c r="C507" s="29">
        <f>IF('1 Data'!E496&lt;=1.5,IF('1 Data'!F496&lt;=1.5,IF('1 Data'!G496&lt;=0.0003,1,2),IF('1 Data'!C496&lt;=165000,3,4)),IF('1 Data'!G496&lt;=0.0652,5,IF('1 Data'!G496&lt;=0.716,6,7)))</f>
        <v/>
      </c>
      <c r="D507" s="23">
        <f>INDEX($F$12:$F$18,C507)</f>
        <v/>
      </c>
      <c r="E507" s="27">
        <f>'1 Data'!I496</f>
        <v/>
      </c>
      <c r="F507" s="30">
        <f>COUNTIF($D$23:$D$1022,"&lt;"&amp;D507)+(COUNTIF($D$23:$D$1022,"="&amp;D507)+1)/2</f>
        <v/>
      </c>
    </row>
    <row r="508">
      <c r="B508" s="27">
        <f>'1 Data'!B497</f>
        <v/>
      </c>
      <c r="C508" s="29">
        <f>IF('1 Data'!E497&lt;=1.5,IF('1 Data'!F497&lt;=1.5,IF('1 Data'!G497&lt;=0.0003,1,2),IF('1 Data'!C497&lt;=165000,3,4)),IF('1 Data'!G497&lt;=0.0652,5,IF('1 Data'!G497&lt;=0.716,6,7)))</f>
        <v/>
      </c>
      <c r="D508" s="23">
        <f>INDEX($F$12:$F$18,C508)</f>
        <v/>
      </c>
      <c r="E508" s="27">
        <f>'1 Data'!I497</f>
        <v/>
      </c>
      <c r="F508" s="30">
        <f>COUNTIF($D$23:$D$1022,"&lt;"&amp;D508)+(COUNTIF($D$23:$D$1022,"="&amp;D508)+1)/2</f>
        <v/>
      </c>
    </row>
    <row r="509">
      <c r="B509" s="27">
        <f>'1 Data'!B498</f>
        <v/>
      </c>
      <c r="C509" s="29">
        <f>IF('1 Data'!E498&lt;=1.5,IF('1 Data'!F498&lt;=1.5,IF('1 Data'!G498&lt;=0.0003,1,2),IF('1 Data'!C498&lt;=165000,3,4)),IF('1 Data'!G498&lt;=0.0652,5,IF('1 Data'!G498&lt;=0.716,6,7)))</f>
        <v/>
      </c>
      <c r="D509" s="23">
        <f>INDEX($F$12:$F$18,C509)</f>
        <v/>
      </c>
      <c r="E509" s="27">
        <f>'1 Data'!I498</f>
        <v/>
      </c>
      <c r="F509" s="30">
        <f>COUNTIF($D$23:$D$1022,"&lt;"&amp;D509)+(COUNTIF($D$23:$D$1022,"="&amp;D509)+1)/2</f>
        <v/>
      </c>
    </row>
    <row r="510">
      <c r="B510" s="27">
        <f>'1 Data'!B499</f>
        <v/>
      </c>
      <c r="C510" s="29">
        <f>IF('1 Data'!E499&lt;=1.5,IF('1 Data'!F499&lt;=1.5,IF('1 Data'!G499&lt;=0.0003,1,2),IF('1 Data'!C499&lt;=165000,3,4)),IF('1 Data'!G499&lt;=0.0652,5,IF('1 Data'!G499&lt;=0.716,6,7)))</f>
        <v/>
      </c>
      <c r="D510" s="23">
        <f>INDEX($F$12:$F$18,C510)</f>
        <v/>
      </c>
      <c r="E510" s="27">
        <f>'1 Data'!I499</f>
        <v/>
      </c>
      <c r="F510" s="30">
        <f>COUNTIF($D$23:$D$1022,"&lt;"&amp;D510)+(COUNTIF($D$23:$D$1022,"="&amp;D510)+1)/2</f>
        <v/>
      </c>
    </row>
    <row r="511">
      <c r="B511" s="27">
        <f>'1 Data'!B500</f>
        <v/>
      </c>
      <c r="C511" s="29">
        <f>IF('1 Data'!E500&lt;=1.5,IF('1 Data'!F500&lt;=1.5,IF('1 Data'!G500&lt;=0.0003,1,2),IF('1 Data'!C500&lt;=165000,3,4)),IF('1 Data'!G500&lt;=0.0652,5,IF('1 Data'!G500&lt;=0.716,6,7)))</f>
        <v/>
      </c>
      <c r="D511" s="23">
        <f>INDEX($F$12:$F$18,C511)</f>
        <v/>
      </c>
      <c r="E511" s="27">
        <f>'1 Data'!I500</f>
        <v/>
      </c>
      <c r="F511" s="30">
        <f>COUNTIF($D$23:$D$1022,"&lt;"&amp;D511)+(COUNTIF($D$23:$D$1022,"="&amp;D511)+1)/2</f>
        <v/>
      </c>
    </row>
    <row r="512">
      <c r="B512" s="27">
        <f>'1 Data'!B501</f>
        <v/>
      </c>
      <c r="C512" s="29">
        <f>IF('1 Data'!E501&lt;=1.5,IF('1 Data'!F501&lt;=1.5,IF('1 Data'!G501&lt;=0.0003,1,2),IF('1 Data'!C501&lt;=165000,3,4)),IF('1 Data'!G501&lt;=0.0652,5,IF('1 Data'!G501&lt;=0.716,6,7)))</f>
        <v/>
      </c>
      <c r="D512" s="23">
        <f>INDEX($F$12:$F$18,C512)</f>
        <v/>
      </c>
      <c r="E512" s="27">
        <f>'1 Data'!I501</f>
        <v/>
      </c>
      <c r="F512" s="30">
        <f>COUNTIF($D$23:$D$1022,"&lt;"&amp;D512)+(COUNTIF($D$23:$D$1022,"="&amp;D512)+1)/2</f>
        <v/>
      </c>
    </row>
    <row r="513">
      <c r="B513" s="27">
        <f>'1 Data'!B502</f>
        <v/>
      </c>
      <c r="C513" s="29">
        <f>IF('1 Data'!E502&lt;=1.5,IF('1 Data'!F502&lt;=1.5,IF('1 Data'!G502&lt;=0.0003,1,2),IF('1 Data'!C502&lt;=165000,3,4)),IF('1 Data'!G502&lt;=0.0652,5,IF('1 Data'!G502&lt;=0.716,6,7)))</f>
        <v/>
      </c>
      <c r="D513" s="23">
        <f>INDEX($F$12:$F$18,C513)</f>
        <v/>
      </c>
      <c r="E513" s="27">
        <f>'1 Data'!I502</f>
        <v/>
      </c>
      <c r="F513" s="30">
        <f>COUNTIF($D$23:$D$1022,"&lt;"&amp;D513)+(COUNTIF($D$23:$D$1022,"="&amp;D513)+1)/2</f>
        <v/>
      </c>
    </row>
    <row r="514">
      <c r="B514" s="27">
        <f>'1 Data'!B503</f>
        <v/>
      </c>
      <c r="C514" s="29">
        <f>IF('1 Data'!E503&lt;=1.5,IF('1 Data'!F503&lt;=1.5,IF('1 Data'!G503&lt;=0.0003,1,2),IF('1 Data'!C503&lt;=165000,3,4)),IF('1 Data'!G503&lt;=0.0652,5,IF('1 Data'!G503&lt;=0.716,6,7)))</f>
        <v/>
      </c>
      <c r="D514" s="23">
        <f>INDEX($F$12:$F$18,C514)</f>
        <v/>
      </c>
      <c r="E514" s="27">
        <f>'1 Data'!I503</f>
        <v/>
      </c>
      <c r="F514" s="30">
        <f>COUNTIF($D$23:$D$1022,"&lt;"&amp;D514)+(COUNTIF($D$23:$D$1022,"="&amp;D514)+1)/2</f>
        <v/>
      </c>
    </row>
    <row r="515">
      <c r="B515" s="27">
        <f>'1 Data'!B504</f>
        <v/>
      </c>
      <c r="C515" s="29">
        <f>IF('1 Data'!E504&lt;=1.5,IF('1 Data'!F504&lt;=1.5,IF('1 Data'!G504&lt;=0.0003,1,2),IF('1 Data'!C504&lt;=165000,3,4)),IF('1 Data'!G504&lt;=0.0652,5,IF('1 Data'!G504&lt;=0.716,6,7)))</f>
        <v/>
      </c>
      <c r="D515" s="23">
        <f>INDEX($F$12:$F$18,C515)</f>
        <v/>
      </c>
      <c r="E515" s="27">
        <f>'1 Data'!I504</f>
        <v/>
      </c>
      <c r="F515" s="30">
        <f>COUNTIF($D$23:$D$1022,"&lt;"&amp;D515)+(COUNTIF($D$23:$D$1022,"="&amp;D515)+1)/2</f>
        <v/>
      </c>
    </row>
    <row r="516">
      <c r="B516" s="27">
        <f>'1 Data'!B505</f>
        <v/>
      </c>
      <c r="C516" s="29">
        <f>IF('1 Data'!E505&lt;=1.5,IF('1 Data'!F505&lt;=1.5,IF('1 Data'!G505&lt;=0.0003,1,2),IF('1 Data'!C505&lt;=165000,3,4)),IF('1 Data'!G505&lt;=0.0652,5,IF('1 Data'!G505&lt;=0.716,6,7)))</f>
        <v/>
      </c>
      <c r="D516" s="23">
        <f>INDEX($F$12:$F$18,C516)</f>
        <v/>
      </c>
      <c r="E516" s="27">
        <f>'1 Data'!I505</f>
        <v/>
      </c>
      <c r="F516" s="30">
        <f>COUNTIF($D$23:$D$1022,"&lt;"&amp;D516)+(COUNTIF($D$23:$D$1022,"="&amp;D516)+1)/2</f>
        <v/>
      </c>
    </row>
    <row r="517">
      <c r="B517" s="27">
        <f>'1 Data'!B506</f>
        <v/>
      </c>
      <c r="C517" s="29">
        <f>IF('1 Data'!E506&lt;=1.5,IF('1 Data'!F506&lt;=1.5,IF('1 Data'!G506&lt;=0.0003,1,2),IF('1 Data'!C506&lt;=165000,3,4)),IF('1 Data'!G506&lt;=0.0652,5,IF('1 Data'!G506&lt;=0.716,6,7)))</f>
        <v/>
      </c>
      <c r="D517" s="23">
        <f>INDEX($F$12:$F$18,C517)</f>
        <v/>
      </c>
      <c r="E517" s="27">
        <f>'1 Data'!I506</f>
        <v/>
      </c>
      <c r="F517" s="30">
        <f>COUNTIF($D$23:$D$1022,"&lt;"&amp;D517)+(COUNTIF($D$23:$D$1022,"="&amp;D517)+1)/2</f>
        <v/>
      </c>
    </row>
    <row r="518">
      <c r="B518" s="27">
        <f>'1 Data'!B507</f>
        <v/>
      </c>
      <c r="C518" s="29">
        <f>IF('1 Data'!E507&lt;=1.5,IF('1 Data'!F507&lt;=1.5,IF('1 Data'!G507&lt;=0.0003,1,2),IF('1 Data'!C507&lt;=165000,3,4)),IF('1 Data'!G507&lt;=0.0652,5,IF('1 Data'!G507&lt;=0.716,6,7)))</f>
        <v/>
      </c>
      <c r="D518" s="23">
        <f>INDEX($F$12:$F$18,C518)</f>
        <v/>
      </c>
      <c r="E518" s="27">
        <f>'1 Data'!I507</f>
        <v/>
      </c>
      <c r="F518" s="30">
        <f>COUNTIF($D$23:$D$1022,"&lt;"&amp;D518)+(COUNTIF($D$23:$D$1022,"="&amp;D518)+1)/2</f>
        <v/>
      </c>
    </row>
    <row r="519">
      <c r="B519" s="27">
        <f>'1 Data'!B508</f>
        <v/>
      </c>
      <c r="C519" s="29">
        <f>IF('1 Data'!E508&lt;=1.5,IF('1 Data'!F508&lt;=1.5,IF('1 Data'!G508&lt;=0.0003,1,2),IF('1 Data'!C508&lt;=165000,3,4)),IF('1 Data'!G508&lt;=0.0652,5,IF('1 Data'!G508&lt;=0.716,6,7)))</f>
        <v/>
      </c>
      <c r="D519" s="23">
        <f>INDEX($F$12:$F$18,C519)</f>
        <v/>
      </c>
      <c r="E519" s="27">
        <f>'1 Data'!I508</f>
        <v/>
      </c>
      <c r="F519" s="30">
        <f>COUNTIF($D$23:$D$1022,"&lt;"&amp;D519)+(COUNTIF($D$23:$D$1022,"="&amp;D519)+1)/2</f>
        <v/>
      </c>
    </row>
    <row r="520">
      <c r="B520" s="27">
        <f>'1 Data'!B509</f>
        <v/>
      </c>
      <c r="C520" s="29">
        <f>IF('1 Data'!E509&lt;=1.5,IF('1 Data'!F509&lt;=1.5,IF('1 Data'!G509&lt;=0.0003,1,2),IF('1 Data'!C509&lt;=165000,3,4)),IF('1 Data'!G509&lt;=0.0652,5,IF('1 Data'!G509&lt;=0.716,6,7)))</f>
        <v/>
      </c>
      <c r="D520" s="23">
        <f>INDEX($F$12:$F$18,C520)</f>
        <v/>
      </c>
      <c r="E520" s="27">
        <f>'1 Data'!I509</f>
        <v/>
      </c>
      <c r="F520" s="30">
        <f>COUNTIF($D$23:$D$1022,"&lt;"&amp;D520)+(COUNTIF($D$23:$D$1022,"="&amp;D520)+1)/2</f>
        <v/>
      </c>
    </row>
    <row r="521">
      <c r="B521" s="27">
        <f>'1 Data'!B510</f>
        <v/>
      </c>
      <c r="C521" s="29">
        <f>IF('1 Data'!E510&lt;=1.5,IF('1 Data'!F510&lt;=1.5,IF('1 Data'!G510&lt;=0.0003,1,2),IF('1 Data'!C510&lt;=165000,3,4)),IF('1 Data'!G510&lt;=0.0652,5,IF('1 Data'!G510&lt;=0.716,6,7)))</f>
        <v/>
      </c>
      <c r="D521" s="23">
        <f>INDEX($F$12:$F$18,C521)</f>
        <v/>
      </c>
      <c r="E521" s="27">
        <f>'1 Data'!I510</f>
        <v/>
      </c>
      <c r="F521" s="30">
        <f>COUNTIF($D$23:$D$1022,"&lt;"&amp;D521)+(COUNTIF($D$23:$D$1022,"="&amp;D521)+1)/2</f>
        <v/>
      </c>
    </row>
    <row r="522">
      <c r="B522" s="27">
        <f>'1 Data'!B511</f>
        <v/>
      </c>
      <c r="C522" s="29">
        <f>IF('1 Data'!E511&lt;=1.5,IF('1 Data'!F511&lt;=1.5,IF('1 Data'!G511&lt;=0.0003,1,2),IF('1 Data'!C511&lt;=165000,3,4)),IF('1 Data'!G511&lt;=0.0652,5,IF('1 Data'!G511&lt;=0.716,6,7)))</f>
        <v/>
      </c>
      <c r="D522" s="23">
        <f>INDEX($F$12:$F$18,C522)</f>
        <v/>
      </c>
      <c r="E522" s="27">
        <f>'1 Data'!I511</f>
        <v/>
      </c>
      <c r="F522" s="30">
        <f>COUNTIF($D$23:$D$1022,"&lt;"&amp;D522)+(COUNTIF($D$23:$D$1022,"="&amp;D522)+1)/2</f>
        <v/>
      </c>
    </row>
    <row r="523">
      <c r="B523" s="27">
        <f>'1 Data'!B512</f>
        <v/>
      </c>
      <c r="C523" s="29">
        <f>IF('1 Data'!E512&lt;=1.5,IF('1 Data'!F512&lt;=1.5,IF('1 Data'!G512&lt;=0.0003,1,2),IF('1 Data'!C512&lt;=165000,3,4)),IF('1 Data'!G512&lt;=0.0652,5,IF('1 Data'!G512&lt;=0.716,6,7)))</f>
        <v/>
      </c>
      <c r="D523" s="23">
        <f>INDEX($F$12:$F$18,C523)</f>
        <v/>
      </c>
      <c r="E523" s="27">
        <f>'1 Data'!I512</f>
        <v/>
      </c>
      <c r="F523" s="30">
        <f>COUNTIF($D$23:$D$1022,"&lt;"&amp;D523)+(COUNTIF($D$23:$D$1022,"="&amp;D523)+1)/2</f>
        <v/>
      </c>
    </row>
    <row r="524">
      <c r="B524" s="27">
        <f>'1 Data'!B513</f>
        <v/>
      </c>
      <c r="C524" s="29">
        <f>IF('1 Data'!E513&lt;=1.5,IF('1 Data'!F513&lt;=1.5,IF('1 Data'!G513&lt;=0.0003,1,2),IF('1 Data'!C513&lt;=165000,3,4)),IF('1 Data'!G513&lt;=0.0652,5,IF('1 Data'!G513&lt;=0.716,6,7)))</f>
        <v/>
      </c>
      <c r="D524" s="23">
        <f>INDEX($F$12:$F$18,C524)</f>
        <v/>
      </c>
      <c r="E524" s="27">
        <f>'1 Data'!I513</f>
        <v/>
      </c>
      <c r="F524" s="30">
        <f>COUNTIF($D$23:$D$1022,"&lt;"&amp;D524)+(COUNTIF($D$23:$D$1022,"="&amp;D524)+1)/2</f>
        <v/>
      </c>
    </row>
    <row r="525">
      <c r="B525" s="27">
        <f>'1 Data'!B514</f>
        <v/>
      </c>
      <c r="C525" s="29">
        <f>IF('1 Data'!E514&lt;=1.5,IF('1 Data'!F514&lt;=1.5,IF('1 Data'!G514&lt;=0.0003,1,2),IF('1 Data'!C514&lt;=165000,3,4)),IF('1 Data'!G514&lt;=0.0652,5,IF('1 Data'!G514&lt;=0.716,6,7)))</f>
        <v/>
      </c>
      <c r="D525" s="23">
        <f>INDEX($F$12:$F$18,C525)</f>
        <v/>
      </c>
      <c r="E525" s="27">
        <f>'1 Data'!I514</f>
        <v/>
      </c>
      <c r="F525" s="30">
        <f>COUNTIF($D$23:$D$1022,"&lt;"&amp;D525)+(COUNTIF($D$23:$D$1022,"="&amp;D525)+1)/2</f>
        <v/>
      </c>
    </row>
    <row r="526">
      <c r="B526" s="27">
        <f>'1 Data'!B515</f>
        <v/>
      </c>
      <c r="C526" s="29">
        <f>IF('1 Data'!E515&lt;=1.5,IF('1 Data'!F515&lt;=1.5,IF('1 Data'!G515&lt;=0.0003,1,2),IF('1 Data'!C515&lt;=165000,3,4)),IF('1 Data'!G515&lt;=0.0652,5,IF('1 Data'!G515&lt;=0.716,6,7)))</f>
        <v/>
      </c>
      <c r="D526" s="23">
        <f>INDEX($F$12:$F$18,C526)</f>
        <v/>
      </c>
      <c r="E526" s="27">
        <f>'1 Data'!I515</f>
        <v/>
      </c>
      <c r="F526" s="30">
        <f>COUNTIF($D$23:$D$1022,"&lt;"&amp;D526)+(COUNTIF($D$23:$D$1022,"="&amp;D526)+1)/2</f>
        <v/>
      </c>
    </row>
    <row r="527">
      <c r="B527" s="27">
        <f>'1 Data'!B516</f>
        <v/>
      </c>
      <c r="C527" s="29">
        <f>IF('1 Data'!E516&lt;=1.5,IF('1 Data'!F516&lt;=1.5,IF('1 Data'!G516&lt;=0.0003,1,2),IF('1 Data'!C516&lt;=165000,3,4)),IF('1 Data'!G516&lt;=0.0652,5,IF('1 Data'!G516&lt;=0.716,6,7)))</f>
        <v/>
      </c>
      <c r="D527" s="23">
        <f>INDEX($F$12:$F$18,C527)</f>
        <v/>
      </c>
      <c r="E527" s="27">
        <f>'1 Data'!I516</f>
        <v/>
      </c>
      <c r="F527" s="30">
        <f>COUNTIF($D$23:$D$1022,"&lt;"&amp;D527)+(COUNTIF($D$23:$D$1022,"="&amp;D527)+1)/2</f>
        <v/>
      </c>
    </row>
    <row r="528">
      <c r="B528" s="27">
        <f>'1 Data'!B517</f>
        <v/>
      </c>
      <c r="C528" s="29">
        <f>IF('1 Data'!E517&lt;=1.5,IF('1 Data'!F517&lt;=1.5,IF('1 Data'!G517&lt;=0.0003,1,2),IF('1 Data'!C517&lt;=165000,3,4)),IF('1 Data'!G517&lt;=0.0652,5,IF('1 Data'!G517&lt;=0.716,6,7)))</f>
        <v/>
      </c>
      <c r="D528" s="23">
        <f>INDEX($F$12:$F$18,C528)</f>
        <v/>
      </c>
      <c r="E528" s="27">
        <f>'1 Data'!I517</f>
        <v/>
      </c>
      <c r="F528" s="30">
        <f>COUNTIF($D$23:$D$1022,"&lt;"&amp;D528)+(COUNTIF($D$23:$D$1022,"="&amp;D528)+1)/2</f>
        <v/>
      </c>
    </row>
    <row r="529">
      <c r="B529" s="27">
        <f>'1 Data'!B518</f>
        <v/>
      </c>
      <c r="C529" s="29">
        <f>IF('1 Data'!E518&lt;=1.5,IF('1 Data'!F518&lt;=1.5,IF('1 Data'!G518&lt;=0.0003,1,2),IF('1 Data'!C518&lt;=165000,3,4)),IF('1 Data'!G518&lt;=0.0652,5,IF('1 Data'!G518&lt;=0.716,6,7)))</f>
        <v/>
      </c>
      <c r="D529" s="23">
        <f>INDEX($F$12:$F$18,C529)</f>
        <v/>
      </c>
      <c r="E529" s="27">
        <f>'1 Data'!I518</f>
        <v/>
      </c>
      <c r="F529" s="30">
        <f>COUNTIF($D$23:$D$1022,"&lt;"&amp;D529)+(COUNTIF($D$23:$D$1022,"="&amp;D529)+1)/2</f>
        <v/>
      </c>
    </row>
    <row r="530">
      <c r="B530" s="27">
        <f>'1 Data'!B519</f>
        <v/>
      </c>
      <c r="C530" s="29">
        <f>IF('1 Data'!E519&lt;=1.5,IF('1 Data'!F519&lt;=1.5,IF('1 Data'!G519&lt;=0.0003,1,2),IF('1 Data'!C519&lt;=165000,3,4)),IF('1 Data'!G519&lt;=0.0652,5,IF('1 Data'!G519&lt;=0.716,6,7)))</f>
        <v/>
      </c>
      <c r="D530" s="23">
        <f>INDEX($F$12:$F$18,C530)</f>
        <v/>
      </c>
      <c r="E530" s="27">
        <f>'1 Data'!I519</f>
        <v/>
      </c>
      <c r="F530" s="30">
        <f>COUNTIF($D$23:$D$1022,"&lt;"&amp;D530)+(COUNTIF($D$23:$D$1022,"="&amp;D530)+1)/2</f>
        <v/>
      </c>
    </row>
    <row r="531">
      <c r="B531" s="27">
        <f>'1 Data'!B520</f>
        <v/>
      </c>
      <c r="C531" s="29">
        <f>IF('1 Data'!E520&lt;=1.5,IF('1 Data'!F520&lt;=1.5,IF('1 Data'!G520&lt;=0.0003,1,2),IF('1 Data'!C520&lt;=165000,3,4)),IF('1 Data'!G520&lt;=0.0652,5,IF('1 Data'!G520&lt;=0.716,6,7)))</f>
        <v/>
      </c>
      <c r="D531" s="23">
        <f>INDEX($F$12:$F$18,C531)</f>
        <v/>
      </c>
      <c r="E531" s="27">
        <f>'1 Data'!I520</f>
        <v/>
      </c>
      <c r="F531" s="30">
        <f>COUNTIF($D$23:$D$1022,"&lt;"&amp;D531)+(COUNTIF($D$23:$D$1022,"="&amp;D531)+1)/2</f>
        <v/>
      </c>
    </row>
    <row r="532">
      <c r="B532" s="27">
        <f>'1 Data'!B521</f>
        <v/>
      </c>
      <c r="C532" s="29">
        <f>IF('1 Data'!E521&lt;=1.5,IF('1 Data'!F521&lt;=1.5,IF('1 Data'!G521&lt;=0.0003,1,2),IF('1 Data'!C521&lt;=165000,3,4)),IF('1 Data'!G521&lt;=0.0652,5,IF('1 Data'!G521&lt;=0.716,6,7)))</f>
        <v/>
      </c>
      <c r="D532" s="23">
        <f>INDEX($F$12:$F$18,C532)</f>
        <v/>
      </c>
      <c r="E532" s="27">
        <f>'1 Data'!I521</f>
        <v/>
      </c>
      <c r="F532" s="30">
        <f>COUNTIF($D$23:$D$1022,"&lt;"&amp;D532)+(COUNTIF($D$23:$D$1022,"="&amp;D532)+1)/2</f>
        <v/>
      </c>
    </row>
    <row r="533">
      <c r="B533" s="27">
        <f>'1 Data'!B522</f>
        <v/>
      </c>
      <c r="C533" s="29">
        <f>IF('1 Data'!E522&lt;=1.5,IF('1 Data'!F522&lt;=1.5,IF('1 Data'!G522&lt;=0.0003,1,2),IF('1 Data'!C522&lt;=165000,3,4)),IF('1 Data'!G522&lt;=0.0652,5,IF('1 Data'!G522&lt;=0.716,6,7)))</f>
        <v/>
      </c>
      <c r="D533" s="23">
        <f>INDEX($F$12:$F$18,C533)</f>
        <v/>
      </c>
      <c r="E533" s="27">
        <f>'1 Data'!I522</f>
        <v/>
      </c>
      <c r="F533" s="30">
        <f>COUNTIF($D$23:$D$1022,"&lt;"&amp;D533)+(COUNTIF($D$23:$D$1022,"="&amp;D533)+1)/2</f>
        <v/>
      </c>
    </row>
    <row r="534">
      <c r="B534" s="27">
        <f>'1 Data'!B523</f>
        <v/>
      </c>
      <c r="C534" s="29">
        <f>IF('1 Data'!E523&lt;=1.5,IF('1 Data'!F523&lt;=1.5,IF('1 Data'!G523&lt;=0.0003,1,2),IF('1 Data'!C523&lt;=165000,3,4)),IF('1 Data'!G523&lt;=0.0652,5,IF('1 Data'!G523&lt;=0.716,6,7)))</f>
        <v/>
      </c>
      <c r="D534" s="23">
        <f>INDEX($F$12:$F$18,C534)</f>
        <v/>
      </c>
      <c r="E534" s="27">
        <f>'1 Data'!I523</f>
        <v/>
      </c>
      <c r="F534" s="30">
        <f>COUNTIF($D$23:$D$1022,"&lt;"&amp;D534)+(COUNTIF($D$23:$D$1022,"="&amp;D534)+1)/2</f>
        <v/>
      </c>
    </row>
    <row r="535">
      <c r="B535" s="27">
        <f>'1 Data'!B524</f>
        <v/>
      </c>
      <c r="C535" s="29">
        <f>IF('1 Data'!E524&lt;=1.5,IF('1 Data'!F524&lt;=1.5,IF('1 Data'!G524&lt;=0.0003,1,2),IF('1 Data'!C524&lt;=165000,3,4)),IF('1 Data'!G524&lt;=0.0652,5,IF('1 Data'!G524&lt;=0.716,6,7)))</f>
        <v/>
      </c>
      <c r="D535" s="23">
        <f>INDEX($F$12:$F$18,C535)</f>
        <v/>
      </c>
      <c r="E535" s="27">
        <f>'1 Data'!I524</f>
        <v/>
      </c>
      <c r="F535" s="30">
        <f>COUNTIF($D$23:$D$1022,"&lt;"&amp;D535)+(COUNTIF($D$23:$D$1022,"="&amp;D535)+1)/2</f>
        <v/>
      </c>
    </row>
    <row r="536">
      <c r="B536" s="27">
        <f>'1 Data'!B525</f>
        <v/>
      </c>
      <c r="C536" s="29">
        <f>IF('1 Data'!E525&lt;=1.5,IF('1 Data'!F525&lt;=1.5,IF('1 Data'!G525&lt;=0.0003,1,2),IF('1 Data'!C525&lt;=165000,3,4)),IF('1 Data'!G525&lt;=0.0652,5,IF('1 Data'!G525&lt;=0.716,6,7)))</f>
        <v/>
      </c>
      <c r="D536" s="23">
        <f>INDEX($F$12:$F$18,C536)</f>
        <v/>
      </c>
      <c r="E536" s="27">
        <f>'1 Data'!I525</f>
        <v/>
      </c>
      <c r="F536" s="30">
        <f>COUNTIF($D$23:$D$1022,"&lt;"&amp;D536)+(COUNTIF($D$23:$D$1022,"="&amp;D536)+1)/2</f>
        <v/>
      </c>
    </row>
    <row r="537">
      <c r="B537" s="27">
        <f>'1 Data'!B526</f>
        <v/>
      </c>
      <c r="C537" s="29">
        <f>IF('1 Data'!E526&lt;=1.5,IF('1 Data'!F526&lt;=1.5,IF('1 Data'!G526&lt;=0.0003,1,2),IF('1 Data'!C526&lt;=165000,3,4)),IF('1 Data'!G526&lt;=0.0652,5,IF('1 Data'!G526&lt;=0.716,6,7)))</f>
        <v/>
      </c>
      <c r="D537" s="23">
        <f>INDEX($F$12:$F$18,C537)</f>
        <v/>
      </c>
      <c r="E537" s="27">
        <f>'1 Data'!I526</f>
        <v/>
      </c>
      <c r="F537" s="30">
        <f>COUNTIF($D$23:$D$1022,"&lt;"&amp;D537)+(COUNTIF($D$23:$D$1022,"="&amp;D537)+1)/2</f>
        <v/>
      </c>
    </row>
    <row r="538">
      <c r="B538" s="27">
        <f>'1 Data'!B527</f>
        <v/>
      </c>
      <c r="C538" s="29">
        <f>IF('1 Data'!E527&lt;=1.5,IF('1 Data'!F527&lt;=1.5,IF('1 Data'!G527&lt;=0.0003,1,2),IF('1 Data'!C527&lt;=165000,3,4)),IF('1 Data'!G527&lt;=0.0652,5,IF('1 Data'!G527&lt;=0.716,6,7)))</f>
        <v/>
      </c>
      <c r="D538" s="23">
        <f>INDEX($F$12:$F$18,C538)</f>
        <v/>
      </c>
      <c r="E538" s="27">
        <f>'1 Data'!I527</f>
        <v/>
      </c>
      <c r="F538" s="30">
        <f>COUNTIF($D$23:$D$1022,"&lt;"&amp;D538)+(COUNTIF($D$23:$D$1022,"="&amp;D538)+1)/2</f>
        <v/>
      </c>
    </row>
    <row r="539">
      <c r="B539" s="27">
        <f>'1 Data'!B528</f>
        <v/>
      </c>
      <c r="C539" s="29">
        <f>IF('1 Data'!E528&lt;=1.5,IF('1 Data'!F528&lt;=1.5,IF('1 Data'!G528&lt;=0.0003,1,2),IF('1 Data'!C528&lt;=165000,3,4)),IF('1 Data'!G528&lt;=0.0652,5,IF('1 Data'!G528&lt;=0.716,6,7)))</f>
        <v/>
      </c>
      <c r="D539" s="23">
        <f>INDEX($F$12:$F$18,C539)</f>
        <v/>
      </c>
      <c r="E539" s="27">
        <f>'1 Data'!I528</f>
        <v/>
      </c>
      <c r="F539" s="30">
        <f>COUNTIF($D$23:$D$1022,"&lt;"&amp;D539)+(COUNTIF($D$23:$D$1022,"="&amp;D539)+1)/2</f>
        <v/>
      </c>
    </row>
    <row r="540">
      <c r="B540" s="27">
        <f>'1 Data'!B529</f>
        <v/>
      </c>
      <c r="C540" s="29">
        <f>IF('1 Data'!E529&lt;=1.5,IF('1 Data'!F529&lt;=1.5,IF('1 Data'!G529&lt;=0.0003,1,2),IF('1 Data'!C529&lt;=165000,3,4)),IF('1 Data'!G529&lt;=0.0652,5,IF('1 Data'!G529&lt;=0.716,6,7)))</f>
        <v/>
      </c>
      <c r="D540" s="23">
        <f>INDEX($F$12:$F$18,C540)</f>
        <v/>
      </c>
      <c r="E540" s="27">
        <f>'1 Data'!I529</f>
        <v/>
      </c>
      <c r="F540" s="30">
        <f>COUNTIF($D$23:$D$1022,"&lt;"&amp;D540)+(COUNTIF($D$23:$D$1022,"="&amp;D540)+1)/2</f>
        <v/>
      </c>
    </row>
    <row r="541">
      <c r="B541" s="27">
        <f>'1 Data'!B530</f>
        <v/>
      </c>
      <c r="C541" s="29">
        <f>IF('1 Data'!E530&lt;=1.5,IF('1 Data'!F530&lt;=1.5,IF('1 Data'!G530&lt;=0.0003,1,2),IF('1 Data'!C530&lt;=165000,3,4)),IF('1 Data'!G530&lt;=0.0652,5,IF('1 Data'!G530&lt;=0.716,6,7)))</f>
        <v/>
      </c>
      <c r="D541" s="23">
        <f>INDEX($F$12:$F$18,C541)</f>
        <v/>
      </c>
      <c r="E541" s="27">
        <f>'1 Data'!I530</f>
        <v/>
      </c>
      <c r="F541" s="30">
        <f>COUNTIF($D$23:$D$1022,"&lt;"&amp;D541)+(COUNTIF($D$23:$D$1022,"="&amp;D541)+1)/2</f>
        <v/>
      </c>
    </row>
    <row r="542">
      <c r="B542" s="27">
        <f>'1 Data'!B531</f>
        <v/>
      </c>
      <c r="C542" s="29">
        <f>IF('1 Data'!E531&lt;=1.5,IF('1 Data'!F531&lt;=1.5,IF('1 Data'!G531&lt;=0.0003,1,2),IF('1 Data'!C531&lt;=165000,3,4)),IF('1 Data'!G531&lt;=0.0652,5,IF('1 Data'!G531&lt;=0.716,6,7)))</f>
        <v/>
      </c>
      <c r="D542" s="23">
        <f>INDEX($F$12:$F$18,C542)</f>
        <v/>
      </c>
      <c r="E542" s="27">
        <f>'1 Data'!I531</f>
        <v/>
      </c>
      <c r="F542" s="30">
        <f>COUNTIF($D$23:$D$1022,"&lt;"&amp;D542)+(COUNTIF($D$23:$D$1022,"="&amp;D542)+1)/2</f>
        <v/>
      </c>
    </row>
    <row r="543">
      <c r="B543" s="27">
        <f>'1 Data'!B532</f>
        <v/>
      </c>
      <c r="C543" s="29">
        <f>IF('1 Data'!E532&lt;=1.5,IF('1 Data'!F532&lt;=1.5,IF('1 Data'!G532&lt;=0.0003,1,2),IF('1 Data'!C532&lt;=165000,3,4)),IF('1 Data'!G532&lt;=0.0652,5,IF('1 Data'!G532&lt;=0.716,6,7)))</f>
        <v/>
      </c>
      <c r="D543" s="23">
        <f>INDEX($F$12:$F$18,C543)</f>
        <v/>
      </c>
      <c r="E543" s="27">
        <f>'1 Data'!I532</f>
        <v/>
      </c>
      <c r="F543" s="30">
        <f>COUNTIF($D$23:$D$1022,"&lt;"&amp;D543)+(COUNTIF($D$23:$D$1022,"="&amp;D543)+1)/2</f>
        <v/>
      </c>
    </row>
    <row r="544">
      <c r="B544" s="27">
        <f>'1 Data'!B533</f>
        <v/>
      </c>
      <c r="C544" s="29">
        <f>IF('1 Data'!E533&lt;=1.5,IF('1 Data'!F533&lt;=1.5,IF('1 Data'!G533&lt;=0.0003,1,2),IF('1 Data'!C533&lt;=165000,3,4)),IF('1 Data'!G533&lt;=0.0652,5,IF('1 Data'!G533&lt;=0.716,6,7)))</f>
        <v/>
      </c>
      <c r="D544" s="23">
        <f>INDEX($F$12:$F$18,C544)</f>
        <v/>
      </c>
      <c r="E544" s="27">
        <f>'1 Data'!I533</f>
        <v/>
      </c>
      <c r="F544" s="30">
        <f>COUNTIF($D$23:$D$1022,"&lt;"&amp;D544)+(COUNTIF($D$23:$D$1022,"="&amp;D544)+1)/2</f>
        <v/>
      </c>
    </row>
    <row r="545">
      <c r="B545" s="27">
        <f>'1 Data'!B534</f>
        <v/>
      </c>
      <c r="C545" s="29">
        <f>IF('1 Data'!E534&lt;=1.5,IF('1 Data'!F534&lt;=1.5,IF('1 Data'!G534&lt;=0.0003,1,2),IF('1 Data'!C534&lt;=165000,3,4)),IF('1 Data'!G534&lt;=0.0652,5,IF('1 Data'!G534&lt;=0.716,6,7)))</f>
        <v/>
      </c>
      <c r="D545" s="23">
        <f>INDEX($F$12:$F$18,C545)</f>
        <v/>
      </c>
      <c r="E545" s="27">
        <f>'1 Data'!I534</f>
        <v/>
      </c>
      <c r="F545" s="30">
        <f>COUNTIF($D$23:$D$1022,"&lt;"&amp;D545)+(COUNTIF($D$23:$D$1022,"="&amp;D545)+1)/2</f>
        <v/>
      </c>
    </row>
    <row r="546">
      <c r="B546" s="27">
        <f>'1 Data'!B535</f>
        <v/>
      </c>
      <c r="C546" s="29">
        <f>IF('1 Data'!E535&lt;=1.5,IF('1 Data'!F535&lt;=1.5,IF('1 Data'!G535&lt;=0.0003,1,2),IF('1 Data'!C535&lt;=165000,3,4)),IF('1 Data'!G535&lt;=0.0652,5,IF('1 Data'!G535&lt;=0.716,6,7)))</f>
        <v/>
      </c>
      <c r="D546" s="23">
        <f>INDEX($F$12:$F$18,C546)</f>
        <v/>
      </c>
      <c r="E546" s="27">
        <f>'1 Data'!I535</f>
        <v/>
      </c>
      <c r="F546" s="30">
        <f>COUNTIF($D$23:$D$1022,"&lt;"&amp;D546)+(COUNTIF($D$23:$D$1022,"="&amp;D546)+1)/2</f>
        <v/>
      </c>
    </row>
    <row r="547">
      <c r="B547" s="27">
        <f>'1 Data'!B536</f>
        <v/>
      </c>
      <c r="C547" s="29">
        <f>IF('1 Data'!E536&lt;=1.5,IF('1 Data'!F536&lt;=1.5,IF('1 Data'!G536&lt;=0.0003,1,2),IF('1 Data'!C536&lt;=165000,3,4)),IF('1 Data'!G536&lt;=0.0652,5,IF('1 Data'!G536&lt;=0.716,6,7)))</f>
        <v/>
      </c>
      <c r="D547" s="23">
        <f>INDEX($F$12:$F$18,C547)</f>
        <v/>
      </c>
      <c r="E547" s="27">
        <f>'1 Data'!I536</f>
        <v/>
      </c>
      <c r="F547" s="30">
        <f>COUNTIF($D$23:$D$1022,"&lt;"&amp;D547)+(COUNTIF($D$23:$D$1022,"="&amp;D547)+1)/2</f>
        <v/>
      </c>
    </row>
    <row r="548">
      <c r="B548" s="27">
        <f>'1 Data'!B537</f>
        <v/>
      </c>
      <c r="C548" s="29">
        <f>IF('1 Data'!E537&lt;=1.5,IF('1 Data'!F537&lt;=1.5,IF('1 Data'!G537&lt;=0.0003,1,2),IF('1 Data'!C537&lt;=165000,3,4)),IF('1 Data'!G537&lt;=0.0652,5,IF('1 Data'!G537&lt;=0.716,6,7)))</f>
        <v/>
      </c>
      <c r="D548" s="23">
        <f>INDEX($F$12:$F$18,C548)</f>
        <v/>
      </c>
      <c r="E548" s="27">
        <f>'1 Data'!I537</f>
        <v/>
      </c>
      <c r="F548" s="30">
        <f>COUNTIF($D$23:$D$1022,"&lt;"&amp;D548)+(COUNTIF($D$23:$D$1022,"="&amp;D548)+1)/2</f>
        <v/>
      </c>
    </row>
    <row r="549">
      <c r="B549" s="27">
        <f>'1 Data'!B538</f>
        <v/>
      </c>
      <c r="C549" s="29">
        <f>IF('1 Data'!E538&lt;=1.5,IF('1 Data'!F538&lt;=1.5,IF('1 Data'!G538&lt;=0.0003,1,2),IF('1 Data'!C538&lt;=165000,3,4)),IF('1 Data'!G538&lt;=0.0652,5,IF('1 Data'!G538&lt;=0.716,6,7)))</f>
        <v/>
      </c>
      <c r="D549" s="23">
        <f>INDEX($F$12:$F$18,C549)</f>
        <v/>
      </c>
      <c r="E549" s="27">
        <f>'1 Data'!I538</f>
        <v/>
      </c>
      <c r="F549" s="30">
        <f>COUNTIF($D$23:$D$1022,"&lt;"&amp;D549)+(COUNTIF($D$23:$D$1022,"="&amp;D549)+1)/2</f>
        <v/>
      </c>
    </row>
    <row r="550">
      <c r="B550" s="27">
        <f>'1 Data'!B539</f>
        <v/>
      </c>
      <c r="C550" s="29">
        <f>IF('1 Data'!E539&lt;=1.5,IF('1 Data'!F539&lt;=1.5,IF('1 Data'!G539&lt;=0.0003,1,2),IF('1 Data'!C539&lt;=165000,3,4)),IF('1 Data'!G539&lt;=0.0652,5,IF('1 Data'!G539&lt;=0.716,6,7)))</f>
        <v/>
      </c>
      <c r="D550" s="23">
        <f>INDEX($F$12:$F$18,C550)</f>
        <v/>
      </c>
      <c r="E550" s="27">
        <f>'1 Data'!I539</f>
        <v/>
      </c>
      <c r="F550" s="30">
        <f>COUNTIF($D$23:$D$1022,"&lt;"&amp;D550)+(COUNTIF($D$23:$D$1022,"="&amp;D550)+1)/2</f>
        <v/>
      </c>
    </row>
    <row r="551">
      <c r="B551" s="27">
        <f>'1 Data'!B540</f>
        <v/>
      </c>
      <c r="C551" s="29">
        <f>IF('1 Data'!E540&lt;=1.5,IF('1 Data'!F540&lt;=1.5,IF('1 Data'!G540&lt;=0.0003,1,2),IF('1 Data'!C540&lt;=165000,3,4)),IF('1 Data'!G540&lt;=0.0652,5,IF('1 Data'!G540&lt;=0.716,6,7)))</f>
        <v/>
      </c>
      <c r="D551" s="23">
        <f>INDEX($F$12:$F$18,C551)</f>
        <v/>
      </c>
      <c r="E551" s="27">
        <f>'1 Data'!I540</f>
        <v/>
      </c>
      <c r="F551" s="30">
        <f>COUNTIF($D$23:$D$1022,"&lt;"&amp;D551)+(COUNTIF($D$23:$D$1022,"="&amp;D551)+1)/2</f>
        <v/>
      </c>
    </row>
    <row r="552">
      <c r="B552" s="27">
        <f>'1 Data'!B541</f>
        <v/>
      </c>
      <c r="C552" s="29">
        <f>IF('1 Data'!E541&lt;=1.5,IF('1 Data'!F541&lt;=1.5,IF('1 Data'!G541&lt;=0.0003,1,2),IF('1 Data'!C541&lt;=165000,3,4)),IF('1 Data'!G541&lt;=0.0652,5,IF('1 Data'!G541&lt;=0.716,6,7)))</f>
        <v/>
      </c>
      <c r="D552" s="23">
        <f>INDEX($F$12:$F$18,C552)</f>
        <v/>
      </c>
      <c r="E552" s="27">
        <f>'1 Data'!I541</f>
        <v/>
      </c>
      <c r="F552" s="30">
        <f>COUNTIF($D$23:$D$1022,"&lt;"&amp;D552)+(COUNTIF($D$23:$D$1022,"="&amp;D552)+1)/2</f>
        <v/>
      </c>
    </row>
    <row r="553">
      <c r="B553" s="27">
        <f>'1 Data'!B542</f>
        <v/>
      </c>
      <c r="C553" s="29">
        <f>IF('1 Data'!E542&lt;=1.5,IF('1 Data'!F542&lt;=1.5,IF('1 Data'!G542&lt;=0.0003,1,2),IF('1 Data'!C542&lt;=165000,3,4)),IF('1 Data'!G542&lt;=0.0652,5,IF('1 Data'!G542&lt;=0.716,6,7)))</f>
        <v/>
      </c>
      <c r="D553" s="23">
        <f>INDEX($F$12:$F$18,C553)</f>
        <v/>
      </c>
      <c r="E553" s="27">
        <f>'1 Data'!I542</f>
        <v/>
      </c>
      <c r="F553" s="30">
        <f>COUNTIF($D$23:$D$1022,"&lt;"&amp;D553)+(COUNTIF($D$23:$D$1022,"="&amp;D553)+1)/2</f>
        <v/>
      </c>
    </row>
    <row r="554">
      <c r="B554" s="27">
        <f>'1 Data'!B543</f>
        <v/>
      </c>
      <c r="C554" s="29">
        <f>IF('1 Data'!E543&lt;=1.5,IF('1 Data'!F543&lt;=1.5,IF('1 Data'!G543&lt;=0.0003,1,2),IF('1 Data'!C543&lt;=165000,3,4)),IF('1 Data'!G543&lt;=0.0652,5,IF('1 Data'!G543&lt;=0.716,6,7)))</f>
        <v/>
      </c>
      <c r="D554" s="23">
        <f>INDEX($F$12:$F$18,C554)</f>
        <v/>
      </c>
      <c r="E554" s="27">
        <f>'1 Data'!I543</f>
        <v/>
      </c>
      <c r="F554" s="30">
        <f>COUNTIF($D$23:$D$1022,"&lt;"&amp;D554)+(COUNTIF($D$23:$D$1022,"="&amp;D554)+1)/2</f>
        <v/>
      </c>
    </row>
    <row r="555">
      <c r="B555" s="27">
        <f>'1 Data'!B544</f>
        <v/>
      </c>
      <c r="C555" s="29">
        <f>IF('1 Data'!E544&lt;=1.5,IF('1 Data'!F544&lt;=1.5,IF('1 Data'!G544&lt;=0.0003,1,2),IF('1 Data'!C544&lt;=165000,3,4)),IF('1 Data'!G544&lt;=0.0652,5,IF('1 Data'!G544&lt;=0.716,6,7)))</f>
        <v/>
      </c>
      <c r="D555" s="23">
        <f>INDEX($F$12:$F$18,C555)</f>
        <v/>
      </c>
      <c r="E555" s="27">
        <f>'1 Data'!I544</f>
        <v/>
      </c>
      <c r="F555" s="30">
        <f>COUNTIF($D$23:$D$1022,"&lt;"&amp;D555)+(COUNTIF($D$23:$D$1022,"="&amp;D555)+1)/2</f>
        <v/>
      </c>
    </row>
    <row r="556">
      <c r="B556" s="27">
        <f>'1 Data'!B545</f>
        <v/>
      </c>
      <c r="C556" s="29">
        <f>IF('1 Data'!E545&lt;=1.5,IF('1 Data'!F545&lt;=1.5,IF('1 Data'!G545&lt;=0.0003,1,2),IF('1 Data'!C545&lt;=165000,3,4)),IF('1 Data'!G545&lt;=0.0652,5,IF('1 Data'!G545&lt;=0.716,6,7)))</f>
        <v/>
      </c>
      <c r="D556" s="23">
        <f>INDEX($F$12:$F$18,C556)</f>
        <v/>
      </c>
      <c r="E556" s="27">
        <f>'1 Data'!I545</f>
        <v/>
      </c>
      <c r="F556" s="30">
        <f>COUNTIF($D$23:$D$1022,"&lt;"&amp;D556)+(COUNTIF($D$23:$D$1022,"="&amp;D556)+1)/2</f>
        <v/>
      </c>
    </row>
    <row r="557">
      <c r="B557" s="27">
        <f>'1 Data'!B546</f>
        <v/>
      </c>
      <c r="C557" s="29">
        <f>IF('1 Data'!E546&lt;=1.5,IF('1 Data'!F546&lt;=1.5,IF('1 Data'!G546&lt;=0.0003,1,2),IF('1 Data'!C546&lt;=165000,3,4)),IF('1 Data'!G546&lt;=0.0652,5,IF('1 Data'!G546&lt;=0.716,6,7)))</f>
        <v/>
      </c>
      <c r="D557" s="23">
        <f>INDEX($F$12:$F$18,C557)</f>
        <v/>
      </c>
      <c r="E557" s="27">
        <f>'1 Data'!I546</f>
        <v/>
      </c>
      <c r="F557" s="30">
        <f>COUNTIF($D$23:$D$1022,"&lt;"&amp;D557)+(COUNTIF($D$23:$D$1022,"="&amp;D557)+1)/2</f>
        <v/>
      </c>
    </row>
    <row r="558">
      <c r="B558" s="27">
        <f>'1 Data'!B547</f>
        <v/>
      </c>
      <c r="C558" s="29">
        <f>IF('1 Data'!E547&lt;=1.5,IF('1 Data'!F547&lt;=1.5,IF('1 Data'!G547&lt;=0.0003,1,2),IF('1 Data'!C547&lt;=165000,3,4)),IF('1 Data'!G547&lt;=0.0652,5,IF('1 Data'!G547&lt;=0.716,6,7)))</f>
        <v/>
      </c>
      <c r="D558" s="23">
        <f>INDEX($F$12:$F$18,C558)</f>
        <v/>
      </c>
      <c r="E558" s="27">
        <f>'1 Data'!I547</f>
        <v/>
      </c>
      <c r="F558" s="30">
        <f>COUNTIF($D$23:$D$1022,"&lt;"&amp;D558)+(COUNTIF($D$23:$D$1022,"="&amp;D558)+1)/2</f>
        <v/>
      </c>
    </row>
    <row r="559">
      <c r="B559" s="27">
        <f>'1 Data'!B548</f>
        <v/>
      </c>
      <c r="C559" s="29">
        <f>IF('1 Data'!E548&lt;=1.5,IF('1 Data'!F548&lt;=1.5,IF('1 Data'!G548&lt;=0.0003,1,2),IF('1 Data'!C548&lt;=165000,3,4)),IF('1 Data'!G548&lt;=0.0652,5,IF('1 Data'!G548&lt;=0.716,6,7)))</f>
        <v/>
      </c>
      <c r="D559" s="23">
        <f>INDEX($F$12:$F$18,C559)</f>
        <v/>
      </c>
      <c r="E559" s="27">
        <f>'1 Data'!I548</f>
        <v/>
      </c>
      <c r="F559" s="30">
        <f>COUNTIF($D$23:$D$1022,"&lt;"&amp;D559)+(COUNTIF($D$23:$D$1022,"="&amp;D559)+1)/2</f>
        <v/>
      </c>
    </row>
    <row r="560">
      <c r="B560" s="27">
        <f>'1 Data'!B549</f>
        <v/>
      </c>
      <c r="C560" s="29">
        <f>IF('1 Data'!E549&lt;=1.5,IF('1 Data'!F549&lt;=1.5,IF('1 Data'!G549&lt;=0.0003,1,2),IF('1 Data'!C549&lt;=165000,3,4)),IF('1 Data'!G549&lt;=0.0652,5,IF('1 Data'!G549&lt;=0.716,6,7)))</f>
        <v/>
      </c>
      <c r="D560" s="23">
        <f>INDEX($F$12:$F$18,C560)</f>
        <v/>
      </c>
      <c r="E560" s="27">
        <f>'1 Data'!I549</f>
        <v/>
      </c>
      <c r="F560" s="30">
        <f>COUNTIF($D$23:$D$1022,"&lt;"&amp;D560)+(COUNTIF($D$23:$D$1022,"="&amp;D560)+1)/2</f>
        <v/>
      </c>
    </row>
    <row r="561">
      <c r="B561" s="27">
        <f>'1 Data'!B550</f>
        <v/>
      </c>
      <c r="C561" s="29">
        <f>IF('1 Data'!E550&lt;=1.5,IF('1 Data'!F550&lt;=1.5,IF('1 Data'!G550&lt;=0.0003,1,2),IF('1 Data'!C550&lt;=165000,3,4)),IF('1 Data'!G550&lt;=0.0652,5,IF('1 Data'!G550&lt;=0.716,6,7)))</f>
        <v/>
      </c>
      <c r="D561" s="23">
        <f>INDEX($F$12:$F$18,C561)</f>
        <v/>
      </c>
      <c r="E561" s="27">
        <f>'1 Data'!I550</f>
        <v/>
      </c>
      <c r="F561" s="30">
        <f>COUNTIF($D$23:$D$1022,"&lt;"&amp;D561)+(COUNTIF($D$23:$D$1022,"="&amp;D561)+1)/2</f>
        <v/>
      </c>
    </row>
    <row r="562">
      <c r="B562" s="27">
        <f>'1 Data'!B551</f>
        <v/>
      </c>
      <c r="C562" s="29">
        <f>IF('1 Data'!E551&lt;=1.5,IF('1 Data'!F551&lt;=1.5,IF('1 Data'!G551&lt;=0.0003,1,2),IF('1 Data'!C551&lt;=165000,3,4)),IF('1 Data'!G551&lt;=0.0652,5,IF('1 Data'!G551&lt;=0.716,6,7)))</f>
        <v/>
      </c>
      <c r="D562" s="23">
        <f>INDEX($F$12:$F$18,C562)</f>
        <v/>
      </c>
      <c r="E562" s="27">
        <f>'1 Data'!I551</f>
        <v/>
      </c>
      <c r="F562" s="30">
        <f>COUNTIF($D$23:$D$1022,"&lt;"&amp;D562)+(COUNTIF($D$23:$D$1022,"="&amp;D562)+1)/2</f>
        <v/>
      </c>
    </row>
    <row r="563">
      <c r="B563" s="27">
        <f>'1 Data'!B552</f>
        <v/>
      </c>
      <c r="C563" s="29">
        <f>IF('1 Data'!E552&lt;=1.5,IF('1 Data'!F552&lt;=1.5,IF('1 Data'!G552&lt;=0.0003,1,2),IF('1 Data'!C552&lt;=165000,3,4)),IF('1 Data'!G552&lt;=0.0652,5,IF('1 Data'!G552&lt;=0.716,6,7)))</f>
        <v/>
      </c>
      <c r="D563" s="23">
        <f>INDEX($F$12:$F$18,C563)</f>
        <v/>
      </c>
      <c r="E563" s="27">
        <f>'1 Data'!I552</f>
        <v/>
      </c>
      <c r="F563" s="30">
        <f>COUNTIF($D$23:$D$1022,"&lt;"&amp;D563)+(COUNTIF($D$23:$D$1022,"="&amp;D563)+1)/2</f>
        <v/>
      </c>
    </row>
    <row r="564">
      <c r="B564" s="27">
        <f>'1 Data'!B553</f>
        <v/>
      </c>
      <c r="C564" s="29">
        <f>IF('1 Data'!E553&lt;=1.5,IF('1 Data'!F553&lt;=1.5,IF('1 Data'!G553&lt;=0.0003,1,2),IF('1 Data'!C553&lt;=165000,3,4)),IF('1 Data'!G553&lt;=0.0652,5,IF('1 Data'!G553&lt;=0.716,6,7)))</f>
        <v/>
      </c>
      <c r="D564" s="23">
        <f>INDEX($F$12:$F$18,C564)</f>
        <v/>
      </c>
      <c r="E564" s="27">
        <f>'1 Data'!I553</f>
        <v/>
      </c>
      <c r="F564" s="30">
        <f>COUNTIF($D$23:$D$1022,"&lt;"&amp;D564)+(COUNTIF($D$23:$D$1022,"="&amp;D564)+1)/2</f>
        <v/>
      </c>
    </row>
    <row r="565">
      <c r="B565" s="27">
        <f>'1 Data'!B554</f>
        <v/>
      </c>
      <c r="C565" s="29">
        <f>IF('1 Data'!E554&lt;=1.5,IF('1 Data'!F554&lt;=1.5,IF('1 Data'!G554&lt;=0.0003,1,2),IF('1 Data'!C554&lt;=165000,3,4)),IF('1 Data'!G554&lt;=0.0652,5,IF('1 Data'!G554&lt;=0.716,6,7)))</f>
        <v/>
      </c>
      <c r="D565" s="23">
        <f>INDEX($F$12:$F$18,C565)</f>
        <v/>
      </c>
      <c r="E565" s="27">
        <f>'1 Data'!I554</f>
        <v/>
      </c>
      <c r="F565" s="30">
        <f>COUNTIF($D$23:$D$1022,"&lt;"&amp;D565)+(COUNTIF($D$23:$D$1022,"="&amp;D565)+1)/2</f>
        <v/>
      </c>
    </row>
    <row r="566">
      <c r="B566" s="27">
        <f>'1 Data'!B555</f>
        <v/>
      </c>
      <c r="C566" s="29">
        <f>IF('1 Data'!E555&lt;=1.5,IF('1 Data'!F555&lt;=1.5,IF('1 Data'!G555&lt;=0.0003,1,2),IF('1 Data'!C555&lt;=165000,3,4)),IF('1 Data'!G555&lt;=0.0652,5,IF('1 Data'!G555&lt;=0.716,6,7)))</f>
        <v/>
      </c>
      <c r="D566" s="23">
        <f>INDEX($F$12:$F$18,C566)</f>
        <v/>
      </c>
      <c r="E566" s="27">
        <f>'1 Data'!I555</f>
        <v/>
      </c>
      <c r="F566" s="30">
        <f>COUNTIF($D$23:$D$1022,"&lt;"&amp;D566)+(COUNTIF($D$23:$D$1022,"="&amp;D566)+1)/2</f>
        <v/>
      </c>
    </row>
    <row r="567">
      <c r="B567" s="27">
        <f>'1 Data'!B556</f>
        <v/>
      </c>
      <c r="C567" s="29">
        <f>IF('1 Data'!E556&lt;=1.5,IF('1 Data'!F556&lt;=1.5,IF('1 Data'!G556&lt;=0.0003,1,2),IF('1 Data'!C556&lt;=165000,3,4)),IF('1 Data'!G556&lt;=0.0652,5,IF('1 Data'!G556&lt;=0.716,6,7)))</f>
        <v/>
      </c>
      <c r="D567" s="23">
        <f>INDEX($F$12:$F$18,C567)</f>
        <v/>
      </c>
      <c r="E567" s="27">
        <f>'1 Data'!I556</f>
        <v/>
      </c>
      <c r="F567" s="30">
        <f>COUNTIF($D$23:$D$1022,"&lt;"&amp;D567)+(COUNTIF($D$23:$D$1022,"="&amp;D567)+1)/2</f>
        <v/>
      </c>
    </row>
    <row r="568">
      <c r="B568" s="27">
        <f>'1 Data'!B557</f>
        <v/>
      </c>
      <c r="C568" s="29">
        <f>IF('1 Data'!E557&lt;=1.5,IF('1 Data'!F557&lt;=1.5,IF('1 Data'!G557&lt;=0.0003,1,2),IF('1 Data'!C557&lt;=165000,3,4)),IF('1 Data'!G557&lt;=0.0652,5,IF('1 Data'!G557&lt;=0.716,6,7)))</f>
        <v/>
      </c>
      <c r="D568" s="23">
        <f>INDEX($F$12:$F$18,C568)</f>
        <v/>
      </c>
      <c r="E568" s="27">
        <f>'1 Data'!I557</f>
        <v/>
      </c>
      <c r="F568" s="30">
        <f>COUNTIF($D$23:$D$1022,"&lt;"&amp;D568)+(COUNTIF($D$23:$D$1022,"="&amp;D568)+1)/2</f>
        <v/>
      </c>
    </row>
    <row r="569">
      <c r="B569" s="27">
        <f>'1 Data'!B558</f>
        <v/>
      </c>
      <c r="C569" s="29">
        <f>IF('1 Data'!E558&lt;=1.5,IF('1 Data'!F558&lt;=1.5,IF('1 Data'!G558&lt;=0.0003,1,2),IF('1 Data'!C558&lt;=165000,3,4)),IF('1 Data'!G558&lt;=0.0652,5,IF('1 Data'!G558&lt;=0.716,6,7)))</f>
        <v/>
      </c>
      <c r="D569" s="23">
        <f>INDEX($F$12:$F$18,C569)</f>
        <v/>
      </c>
      <c r="E569" s="27">
        <f>'1 Data'!I558</f>
        <v/>
      </c>
      <c r="F569" s="30">
        <f>COUNTIF($D$23:$D$1022,"&lt;"&amp;D569)+(COUNTIF($D$23:$D$1022,"="&amp;D569)+1)/2</f>
        <v/>
      </c>
    </row>
    <row r="570">
      <c r="B570" s="27">
        <f>'1 Data'!B559</f>
        <v/>
      </c>
      <c r="C570" s="29">
        <f>IF('1 Data'!E559&lt;=1.5,IF('1 Data'!F559&lt;=1.5,IF('1 Data'!G559&lt;=0.0003,1,2),IF('1 Data'!C559&lt;=165000,3,4)),IF('1 Data'!G559&lt;=0.0652,5,IF('1 Data'!G559&lt;=0.716,6,7)))</f>
        <v/>
      </c>
      <c r="D570" s="23">
        <f>INDEX($F$12:$F$18,C570)</f>
        <v/>
      </c>
      <c r="E570" s="27">
        <f>'1 Data'!I559</f>
        <v/>
      </c>
      <c r="F570" s="30">
        <f>COUNTIF($D$23:$D$1022,"&lt;"&amp;D570)+(COUNTIF($D$23:$D$1022,"="&amp;D570)+1)/2</f>
        <v/>
      </c>
    </row>
    <row r="571">
      <c r="B571" s="27">
        <f>'1 Data'!B560</f>
        <v/>
      </c>
      <c r="C571" s="29">
        <f>IF('1 Data'!E560&lt;=1.5,IF('1 Data'!F560&lt;=1.5,IF('1 Data'!G560&lt;=0.0003,1,2),IF('1 Data'!C560&lt;=165000,3,4)),IF('1 Data'!G560&lt;=0.0652,5,IF('1 Data'!G560&lt;=0.716,6,7)))</f>
        <v/>
      </c>
      <c r="D571" s="23">
        <f>INDEX($F$12:$F$18,C571)</f>
        <v/>
      </c>
      <c r="E571" s="27">
        <f>'1 Data'!I560</f>
        <v/>
      </c>
      <c r="F571" s="30">
        <f>COUNTIF($D$23:$D$1022,"&lt;"&amp;D571)+(COUNTIF($D$23:$D$1022,"="&amp;D571)+1)/2</f>
        <v/>
      </c>
    </row>
    <row r="572">
      <c r="B572" s="27">
        <f>'1 Data'!B561</f>
        <v/>
      </c>
      <c r="C572" s="29">
        <f>IF('1 Data'!E561&lt;=1.5,IF('1 Data'!F561&lt;=1.5,IF('1 Data'!G561&lt;=0.0003,1,2),IF('1 Data'!C561&lt;=165000,3,4)),IF('1 Data'!G561&lt;=0.0652,5,IF('1 Data'!G561&lt;=0.716,6,7)))</f>
        <v/>
      </c>
      <c r="D572" s="23">
        <f>INDEX($F$12:$F$18,C572)</f>
        <v/>
      </c>
      <c r="E572" s="27">
        <f>'1 Data'!I561</f>
        <v/>
      </c>
      <c r="F572" s="30">
        <f>COUNTIF($D$23:$D$1022,"&lt;"&amp;D572)+(COUNTIF($D$23:$D$1022,"="&amp;D572)+1)/2</f>
        <v/>
      </c>
    </row>
    <row r="573">
      <c r="B573" s="27">
        <f>'1 Data'!B562</f>
        <v/>
      </c>
      <c r="C573" s="29">
        <f>IF('1 Data'!E562&lt;=1.5,IF('1 Data'!F562&lt;=1.5,IF('1 Data'!G562&lt;=0.0003,1,2),IF('1 Data'!C562&lt;=165000,3,4)),IF('1 Data'!G562&lt;=0.0652,5,IF('1 Data'!G562&lt;=0.716,6,7)))</f>
        <v/>
      </c>
      <c r="D573" s="23">
        <f>INDEX($F$12:$F$18,C573)</f>
        <v/>
      </c>
      <c r="E573" s="27">
        <f>'1 Data'!I562</f>
        <v/>
      </c>
      <c r="F573" s="30">
        <f>COUNTIF($D$23:$D$1022,"&lt;"&amp;D573)+(COUNTIF($D$23:$D$1022,"="&amp;D573)+1)/2</f>
        <v/>
      </c>
    </row>
    <row r="574">
      <c r="B574" s="27">
        <f>'1 Data'!B563</f>
        <v/>
      </c>
      <c r="C574" s="29">
        <f>IF('1 Data'!E563&lt;=1.5,IF('1 Data'!F563&lt;=1.5,IF('1 Data'!G563&lt;=0.0003,1,2),IF('1 Data'!C563&lt;=165000,3,4)),IF('1 Data'!G563&lt;=0.0652,5,IF('1 Data'!G563&lt;=0.716,6,7)))</f>
        <v/>
      </c>
      <c r="D574" s="23">
        <f>INDEX($F$12:$F$18,C574)</f>
        <v/>
      </c>
      <c r="E574" s="27">
        <f>'1 Data'!I563</f>
        <v/>
      </c>
      <c r="F574" s="30">
        <f>COUNTIF($D$23:$D$1022,"&lt;"&amp;D574)+(COUNTIF($D$23:$D$1022,"="&amp;D574)+1)/2</f>
        <v/>
      </c>
    </row>
    <row r="575">
      <c r="B575" s="27">
        <f>'1 Data'!B564</f>
        <v/>
      </c>
      <c r="C575" s="29">
        <f>IF('1 Data'!E564&lt;=1.5,IF('1 Data'!F564&lt;=1.5,IF('1 Data'!G564&lt;=0.0003,1,2),IF('1 Data'!C564&lt;=165000,3,4)),IF('1 Data'!G564&lt;=0.0652,5,IF('1 Data'!G564&lt;=0.716,6,7)))</f>
        <v/>
      </c>
      <c r="D575" s="23">
        <f>INDEX($F$12:$F$18,C575)</f>
        <v/>
      </c>
      <c r="E575" s="27">
        <f>'1 Data'!I564</f>
        <v/>
      </c>
      <c r="F575" s="30">
        <f>COUNTIF($D$23:$D$1022,"&lt;"&amp;D575)+(COUNTIF($D$23:$D$1022,"="&amp;D575)+1)/2</f>
        <v/>
      </c>
    </row>
    <row r="576">
      <c r="B576" s="27">
        <f>'1 Data'!B565</f>
        <v/>
      </c>
      <c r="C576" s="29">
        <f>IF('1 Data'!E565&lt;=1.5,IF('1 Data'!F565&lt;=1.5,IF('1 Data'!G565&lt;=0.0003,1,2),IF('1 Data'!C565&lt;=165000,3,4)),IF('1 Data'!G565&lt;=0.0652,5,IF('1 Data'!G565&lt;=0.716,6,7)))</f>
        <v/>
      </c>
      <c r="D576" s="23">
        <f>INDEX($F$12:$F$18,C576)</f>
        <v/>
      </c>
      <c r="E576" s="27">
        <f>'1 Data'!I565</f>
        <v/>
      </c>
      <c r="F576" s="30">
        <f>COUNTIF($D$23:$D$1022,"&lt;"&amp;D576)+(COUNTIF($D$23:$D$1022,"="&amp;D576)+1)/2</f>
        <v/>
      </c>
    </row>
    <row r="577">
      <c r="B577" s="27">
        <f>'1 Data'!B566</f>
        <v/>
      </c>
      <c r="C577" s="29">
        <f>IF('1 Data'!E566&lt;=1.5,IF('1 Data'!F566&lt;=1.5,IF('1 Data'!G566&lt;=0.0003,1,2),IF('1 Data'!C566&lt;=165000,3,4)),IF('1 Data'!G566&lt;=0.0652,5,IF('1 Data'!G566&lt;=0.716,6,7)))</f>
        <v/>
      </c>
      <c r="D577" s="23">
        <f>INDEX($F$12:$F$18,C577)</f>
        <v/>
      </c>
      <c r="E577" s="27">
        <f>'1 Data'!I566</f>
        <v/>
      </c>
      <c r="F577" s="30">
        <f>COUNTIF($D$23:$D$1022,"&lt;"&amp;D577)+(COUNTIF($D$23:$D$1022,"="&amp;D577)+1)/2</f>
        <v/>
      </c>
    </row>
    <row r="578">
      <c r="B578" s="27">
        <f>'1 Data'!B567</f>
        <v/>
      </c>
      <c r="C578" s="29">
        <f>IF('1 Data'!E567&lt;=1.5,IF('1 Data'!F567&lt;=1.5,IF('1 Data'!G567&lt;=0.0003,1,2),IF('1 Data'!C567&lt;=165000,3,4)),IF('1 Data'!G567&lt;=0.0652,5,IF('1 Data'!G567&lt;=0.716,6,7)))</f>
        <v/>
      </c>
      <c r="D578" s="23">
        <f>INDEX($F$12:$F$18,C578)</f>
        <v/>
      </c>
      <c r="E578" s="27">
        <f>'1 Data'!I567</f>
        <v/>
      </c>
      <c r="F578" s="30">
        <f>COUNTIF($D$23:$D$1022,"&lt;"&amp;D578)+(COUNTIF($D$23:$D$1022,"="&amp;D578)+1)/2</f>
        <v/>
      </c>
    </row>
    <row r="579">
      <c r="B579" s="27">
        <f>'1 Data'!B568</f>
        <v/>
      </c>
      <c r="C579" s="29">
        <f>IF('1 Data'!E568&lt;=1.5,IF('1 Data'!F568&lt;=1.5,IF('1 Data'!G568&lt;=0.0003,1,2),IF('1 Data'!C568&lt;=165000,3,4)),IF('1 Data'!G568&lt;=0.0652,5,IF('1 Data'!G568&lt;=0.716,6,7)))</f>
        <v/>
      </c>
      <c r="D579" s="23">
        <f>INDEX($F$12:$F$18,C579)</f>
        <v/>
      </c>
      <c r="E579" s="27">
        <f>'1 Data'!I568</f>
        <v/>
      </c>
      <c r="F579" s="30">
        <f>COUNTIF($D$23:$D$1022,"&lt;"&amp;D579)+(COUNTIF($D$23:$D$1022,"="&amp;D579)+1)/2</f>
        <v/>
      </c>
    </row>
    <row r="580">
      <c r="B580" s="27">
        <f>'1 Data'!B569</f>
        <v/>
      </c>
      <c r="C580" s="29">
        <f>IF('1 Data'!E569&lt;=1.5,IF('1 Data'!F569&lt;=1.5,IF('1 Data'!G569&lt;=0.0003,1,2),IF('1 Data'!C569&lt;=165000,3,4)),IF('1 Data'!G569&lt;=0.0652,5,IF('1 Data'!G569&lt;=0.716,6,7)))</f>
        <v/>
      </c>
      <c r="D580" s="23">
        <f>INDEX($F$12:$F$18,C580)</f>
        <v/>
      </c>
      <c r="E580" s="27">
        <f>'1 Data'!I569</f>
        <v/>
      </c>
      <c r="F580" s="30">
        <f>COUNTIF($D$23:$D$1022,"&lt;"&amp;D580)+(COUNTIF($D$23:$D$1022,"="&amp;D580)+1)/2</f>
        <v/>
      </c>
    </row>
    <row r="581">
      <c r="B581" s="27">
        <f>'1 Data'!B570</f>
        <v/>
      </c>
      <c r="C581" s="29">
        <f>IF('1 Data'!E570&lt;=1.5,IF('1 Data'!F570&lt;=1.5,IF('1 Data'!G570&lt;=0.0003,1,2),IF('1 Data'!C570&lt;=165000,3,4)),IF('1 Data'!G570&lt;=0.0652,5,IF('1 Data'!G570&lt;=0.716,6,7)))</f>
        <v/>
      </c>
      <c r="D581" s="23">
        <f>INDEX($F$12:$F$18,C581)</f>
        <v/>
      </c>
      <c r="E581" s="27">
        <f>'1 Data'!I570</f>
        <v/>
      </c>
      <c r="F581" s="30">
        <f>COUNTIF($D$23:$D$1022,"&lt;"&amp;D581)+(COUNTIF($D$23:$D$1022,"="&amp;D581)+1)/2</f>
        <v/>
      </c>
    </row>
    <row r="582">
      <c r="B582" s="27">
        <f>'1 Data'!B571</f>
        <v/>
      </c>
      <c r="C582" s="29">
        <f>IF('1 Data'!E571&lt;=1.5,IF('1 Data'!F571&lt;=1.5,IF('1 Data'!G571&lt;=0.0003,1,2),IF('1 Data'!C571&lt;=165000,3,4)),IF('1 Data'!G571&lt;=0.0652,5,IF('1 Data'!G571&lt;=0.716,6,7)))</f>
        <v/>
      </c>
      <c r="D582" s="23">
        <f>INDEX($F$12:$F$18,C582)</f>
        <v/>
      </c>
      <c r="E582" s="27">
        <f>'1 Data'!I571</f>
        <v/>
      </c>
      <c r="F582" s="30">
        <f>COUNTIF($D$23:$D$1022,"&lt;"&amp;D582)+(COUNTIF($D$23:$D$1022,"="&amp;D582)+1)/2</f>
        <v/>
      </c>
    </row>
    <row r="583">
      <c r="B583" s="27">
        <f>'1 Data'!B572</f>
        <v/>
      </c>
      <c r="C583" s="29">
        <f>IF('1 Data'!E572&lt;=1.5,IF('1 Data'!F572&lt;=1.5,IF('1 Data'!G572&lt;=0.0003,1,2),IF('1 Data'!C572&lt;=165000,3,4)),IF('1 Data'!G572&lt;=0.0652,5,IF('1 Data'!G572&lt;=0.716,6,7)))</f>
        <v/>
      </c>
      <c r="D583" s="23">
        <f>INDEX($F$12:$F$18,C583)</f>
        <v/>
      </c>
      <c r="E583" s="27">
        <f>'1 Data'!I572</f>
        <v/>
      </c>
      <c r="F583" s="30">
        <f>COUNTIF($D$23:$D$1022,"&lt;"&amp;D583)+(COUNTIF($D$23:$D$1022,"="&amp;D583)+1)/2</f>
        <v/>
      </c>
    </row>
    <row r="584">
      <c r="B584" s="27">
        <f>'1 Data'!B573</f>
        <v/>
      </c>
      <c r="C584" s="29">
        <f>IF('1 Data'!E573&lt;=1.5,IF('1 Data'!F573&lt;=1.5,IF('1 Data'!G573&lt;=0.0003,1,2),IF('1 Data'!C573&lt;=165000,3,4)),IF('1 Data'!G573&lt;=0.0652,5,IF('1 Data'!G573&lt;=0.716,6,7)))</f>
        <v/>
      </c>
      <c r="D584" s="23">
        <f>INDEX($F$12:$F$18,C584)</f>
        <v/>
      </c>
      <c r="E584" s="27">
        <f>'1 Data'!I573</f>
        <v/>
      </c>
      <c r="F584" s="30">
        <f>COUNTIF($D$23:$D$1022,"&lt;"&amp;D584)+(COUNTIF($D$23:$D$1022,"="&amp;D584)+1)/2</f>
        <v/>
      </c>
    </row>
    <row r="585">
      <c r="B585" s="27">
        <f>'1 Data'!B574</f>
        <v/>
      </c>
      <c r="C585" s="29">
        <f>IF('1 Data'!E574&lt;=1.5,IF('1 Data'!F574&lt;=1.5,IF('1 Data'!G574&lt;=0.0003,1,2),IF('1 Data'!C574&lt;=165000,3,4)),IF('1 Data'!G574&lt;=0.0652,5,IF('1 Data'!G574&lt;=0.716,6,7)))</f>
        <v/>
      </c>
      <c r="D585" s="23">
        <f>INDEX($F$12:$F$18,C585)</f>
        <v/>
      </c>
      <c r="E585" s="27">
        <f>'1 Data'!I574</f>
        <v/>
      </c>
      <c r="F585" s="30">
        <f>COUNTIF($D$23:$D$1022,"&lt;"&amp;D585)+(COUNTIF($D$23:$D$1022,"="&amp;D585)+1)/2</f>
        <v/>
      </c>
    </row>
    <row r="586">
      <c r="B586" s="27">
        <f>'1 Data'!B575</f>
        <v/>
      </c>
      <c r="C586" s="29">
        <f>IF('1 Data'!E575&lt;=1.5,IF('1 Data'!F575&lt;=1.5,IF('1 Data'!G575&lt;=0.0003,1,2),IF('1 Data'!C575&lt;=165000,3,4)),IF('1 Data'!G575&lt;=0.0652,5,IF('1 Data'!G575&lt;=0.716,6,7)))</f>
        <v/>
      </c>
      <c r="D586" s="23">
        <f>INDEX($F$12:$F$18,C586)</f>
        <v/>
      </c>
      <c r="E586" s="27">
        <f>'1 Data'!I575</f>
        <v/>
      </c>
      <c r="F586" s="30">
        <f>COUNTIF($D$23:$D$1022,"&lt;"&amp;D586)+(COUNTIF($D$23:$D$1022,"="&amp;D586)+1)/2</f>
        <v/>
      </c>
    </row>
    <row r="587">
      <c r="B587" s="27">
        <f>'1 Data'!B576</f>
        <v/>
      </c>
      <c r="C587" s="29">
        <f>IF('1 Data'!E576&lt;=1.5,IF('1 Data'!F576&lt;=1.5,IF('1 Data'!G576&lt;=0.0003,1,2),IF('1 Data'!C576&lt;=165000,3,4)),IF('1 Data'!G576&lt;=0.0652,5,IF('1 Data'!G576&lt;=0.716,6,7)))</f>
        <v/>
      </c>
      <c r="D587" s="23">
        <f>INDEX($F$12:$F$18,C587)</f>
        <v/>
      </c>
      <c r="E587" s="27">
        <f>'1 Data'!I576</f>
        <v/>
      </c>
      <c r="F587" s="30">
        <f>COUNTIF($D$23:$D$1022,"&lt;"&amp;D587)+(COUNTIF($D$23:$D$1022,"="&amp;D587)+1)/2</f>
        <v/>
      </c>
    </row>
    <row r="588">
      <c r="B588" s="27">
        <f>'1 Data'!B577</f>
        <v/>
      </c>
      <c r="C588" s="29">
        <f>IF('1 Data'!E577&lt;=1.5,IF('1 Data'!F577&lt;=1.5,IF('1 Data'!G577&lt;=0.0003,1,2),IF('1 Data'!C577&lt;=165000,3,4)),IF('1 Data'!G577&lt;=0.0652,5,IF('1 Data'!G577&lt;=0.716,6,7)))</f>
        <v/>
      </c>
      <c r="D588" s="23">
        <f>INDEX($F$12:$F$18,C588)</f>
        <v/>
      </c>
      <c r="E588" s="27">
        <f>'1 Data'!I577</f>
        <v/>
      </c>
      <c r="F588" s="30">
        <f>COUNTIF($D$23:$D$1022,"&lt;"&amp;D588)+(COUNTIF($D$23:$D$1022,"="&amp;D588)+1)/2</f>
        <v/>
      </c>
    </row>
    <row r="589">
      <c r="B589" s="27">
        <f>'1 Data'!B578</f>
        <v/>
      </c>
      <c r="C589" s="29">
        <f>IF('1 Data'!E578&lt;=1.5,IF('1 Data'!F578&lt;=1.5,IF('1 Data'!G578&lt;=0.0003,1,2),IF('1 Data'!C578&lt;=165000,3,4)),IF('1 Data'!G578&lt;=0.0652,5,IF('1 Data'!G578&lt;=0.716,6,7)))</f>
        <v/>
      </c>
      <c r="D589" s="23">
        <f>INDEX($F$12:$F$18,C589)</f>
        <v/>
      </c>
      <c r="E589" s="27">
        <f>'1 Data'!I578</f>
        <v/>
      </c>
      <c r="F589" s="30">
        <f>COUNTIF($D$23:$D$1022,"&lt;"&amp;D589)+(COUNTIF($D$23:$D$1022,"="&amp;D589)+1)/2</f>
        <v/>
      </c>
    </row>
    <row r="590">
      <c r="B590" s="27">
        <f>'1 Data'!B579</f>
        <v/>
      </c>
      <c r="C590" s="29">
        <f>IF('1 Data'!E579&lt;=1.5,IF('1 Data'!F579&lt;=1.5,IF('1 Data'!G579&lt;=0.0003,1,2),IF('1 Data'!C579&lt;=165000,3,4)),IF('1 Data'!G579&lt;=0.0652,5,IF('1 Data'!G579&lt;=0.716,6,7)))</f>
        <v/>
      </c>
      <c r="D590" s="23">
        <f>INDEX($F$12:$F$18,C590)</f>
        <v/>
      </c>
      <c r="E590" s="27">
        <f>'1 Data'!I579</f>
        <v/>
      </c>
      <c r="F590" s="30">
        <f>COUNTIF($D$23:$D$1022,"&lt;"&amp;D590)+(COUNTIF($D$23:$D$1022,"="&amp;D590)+1)/2</f>
        <v/>
      </c>
    </row>
    <row r="591">
      <c r="B591" s="27">
        <f>'1 Data'!B580</f>
        <v/>
      </c>
      <c r="C591" s="29">
        <f>IF('1 Data'!E580&lt;=1.5,IF('1 Data'!F580&lt;=1.5,IF('1 Data'!G580&lt;=0.0003,1,2),IF('1 Data'!C580&lt;=165000,3,4)),IF('1 Data'!G580&lt;=0.0652,5,IF('1 Data'!G580&lt;=0.716,6,7)))</f>
        <v/>
      </c>
      <c r="D591" s="23">
        <f>INDEX($F$12:$F$18,C591)</f>
        <v/>
      </c>
      <c r="E591" s="27">
        <f>'1 Data'!I580</f>
        <v/>
      </c>
      <c r="F591" s="30">
        <f>COUNTIF($D$23:$D$1022,"&lt;"&amp;D591)+(COUNTIF($D$23:$D$1022,"="&amp;D591)+1)/2</f>
        <v/>
      </c>
    </row>
    <row r="592">
      <c r="B592" s="27">
        <f>'1 Data'!B581</f>
        <v/>
      </c>
      <c r="C592" s="29">
        <f>IF('1 Data'!E581&lt;=1.5,IF('1 Data'!F581&lt;=1.5,IF('1 Data'!G581&lt;=0.0003,1,2),IF('1 Data'!C581&lt;=165000,3,4)),IF('1 Data'!G581&lt;=0.0652,5,IF('1 Data'!G581&lt;=0.716,6,7)))</f>
        <v/>
      </c>
      <c r="D592" s="23">
        <f>INDEX($F$12:$F$18,C592)</f>
        <v/>
      </c>
      <c r="E592" s="27">
        <f>'1 Data'!I581</f>
        <v/>
      </c>
      <c r="F592" s="30">
        <f>COUNTIF($D$23:$D$1022,"&lt;"&amp;D592)+(COUNTIF($D$23:$D$1022,"="&amp;D592)+1)/2</f>
        <v/>
      </c>
    </row>
    <row r="593">
      <c r="B593" s="27">
        <f>'1 Data'!B582</f>
        <v/>
      </c>
      <c r="C593" s="29">
        <f>IF('1 Data'!E582&lt;=1.5,IF('1 Data'!F582&lt;=1.5,IF('1 Data'!G582&lt;=0.0003,1,2),IF('1 Data'!C582&lt;=165000,3,4)),IF('1 Data'!G582&lt;=0.0652,5,IF('1 Data'!G582&lt;=0.716,6,7)))</f>
        <v/>
      </c>
      <c r="D593" s="23">
        <f>INDEX($F$12:$F$18,C593)</f>
        <v/>
      </c>
      <c r="E593" s="27">
        <f>'1 Data'!I582</f>
        <v/>
      </c>
      <c r="F593" s="30">
        <f>COUNTIF($D$23:$D$1022,"&lt;"&amp;D593)+(COUNTIF($D$23:$D$1022,"="&amp;D593)+1)/2</f>
        <v/>
      </c>
    </row>
    <row r="594">
      <c r="B594" s="27">
        <f>'1 Data'!B583</f>
        <v/>
      </c>
      <c r="C594" s="29">
        <f>IF('1 Data'!E583&lt;=1.5,IF('1 Data'!F583&lt;=1.5,IF('1 Data'!G583&lt;=0.0003,1,2),IF('1 Data'!C583&lt;=165000,3,4)),IF('1 Data'!G583&lt;=0.0652,5,IF('1 Data'!G583&lt;=0.716,6,7)))</f>
        <v/>
      </c>
      <c r="D594" s="23">
        <f>INDEX($F$12:$F$18,C594)</f>
        <v/>
      </c>
      <c r="E594" s="27">
        <f>'1 Data'!I583</f>
        <v/>
      </c>
      <c r="F594" s="30">
        <f>COUNTIF($D$23:$D$1022,"&lt;"&amp;D594)+(COUNTIF($D$23:$D$1022,"="&amp;D594)+1)/2</f>
        <v/>
      </c>
    </row>
    <row r="595">
      <c r="B595" s="27">
        <f>'1 Data'!B584</f>
        <v/>
      </c>
      <c r="C595" s="29">
        <f>IF('1 Data'!E584&lt;=1.5,IF('1 Data'!F584&lt;=1.5,IF('1 Data'!G584&lt;=0.0003,1,2),IF('1 Data'!C584&lt;=165000,3,4)),IF('1 Data'!G584&lt;=0.0652,5,IF('1 Data'!G584&lt;=0.716,6,7)))</f>
        <v/>
      </c>
      <c r="D595" s="23">
        <f>INDEX($F$12:$F$18,C595)</f>
        <v/>
      </c>
      <c r="E595" s="27">
        <f>'1 Data'!I584</f>
        <v/>
      </c>
      <c r="F595" s="30">
        <f>COUNTIF($D$23:$D$1022,"&lt;"&amp;D595)+(COUNTIF($D$23:$D$1022,"="&amp;D595)+1)/2</f>
        <v/>
      </c>
    </row>
    <row r="596">
      <c r="B596" s="27">
        <f>'1 Data'!B585</f>
        <v/>
      </c>
      <c r="C596" s="29">
        <f>IF('1 Data'!E585&lt;=1.5,IF('1 Data'!F585&lt;=1.5,IF('1 Data'!G585&lt;=0.0003,1,2),IF('1 Data'!C585&lt;=165000,3,4)),IF('1 Data'!G585&lt;=0.0652,5,IF('1 Data'!G585&lt;=0.716,6,7)))</f>
        <v/>
      </c>
      <c r="D596" s="23">
        <f>INDEX($F$12:$F$18,C596)</f>
        <v/>
      </c>
      <c r="E596" s="27">
        <f>'1 Data'!I585</f>
        <v/>
      </c>
      <c r="F596" s="30">
        <f>COUNTIF($D$23:$D$1022,"&lt;"&amp;D596)+(COUNTIF($D$23:$D$1022,"="&amp;D596)+1)/2</f>
        <v/>
      </c>
    </row>
    <row r="597">
      <c r="B597" s="27">
        <f>'1 Data'!B586</f>
        <v/>
      </c>
      <c r="C597" s="29">
        <f>IF('1 Data'!E586&lt;=1.5,IF('1 Data'!F586&lt;=1.5,IF('1 Data'!G586&lt;=0.0003,1,2),IF('1 Data'!C586&lt;=165000,3,4)),IF('1 Data'!G586&lt;=0.0652,5,IF('1 Data'!G586&lt;=0.716,6,7)))</f>
        <v/>
      </c>
      <c r="D597" s="23">
        <f>INDEX($F$12:$F$18,C597)</f>
        <v/>
      </c>
      <c r="E597" s="27">
        <f>'1 Data'!I586</f>
        <v/>
      </c>
      <c r="F597" s="30">
        <f>COUNTIF($D$23:$D$1022,"&lt;"&amp;D597)+(COUNTIF($D$23:$D$1022,"="&amp;D597)+1)/2</f>
        <v/>
      </c>
    </row>
    <row r="598">
      <c r="B598" s="27">
        <f>'1 Data'!B587</f>
        <v/>
      </c>
      <c r="C598" s="29">
        <f>IF('1 Data'!E587&lt;=1.5,IF('1 Data'!F587&lt;=1.5,IF('1 Data'!G587&lt;=0.0003,1,2),IF('1 Data'!C587&lt;=165000,3,4)),IF('1 Data'!G587&lt;=0.0652,5,IF('1 Data'!G587&lt;=0.716,6,7)))</f>
        <v/>
      </c>
      <c r="D598" s="23">
        <f>INDEX($F$12:$F$18,C598)</f>
        <v/>
      </c>
      <c r="E598" s="27">
        <f>'1 Data'!I587</f>
        <v/>
      </c>
      <c r="F598" s="30">
        <f>COUNTIF($D$23:$D$1022,"&lt;"&amp;D598)+(COUNTIF($D$23:$D$1022,"="&amp;D598)+1)/2</f>
        <v/>
      </c>
    </row>
    <row r="599">
      <c r="B599" s="27">
        <f>'1 Data'!B588</f>
        <v/>
      </c>
      <c r="C599" s="29">
        <f>IF('1 Data'!E588&lt;=1.5,IF('1 Data'!F588&lt;=1.5,IF('1 Data'!G588&lt;=0.0003,1,2),IF('1 Data'!C588&lt;=165000,3,4)),IF('1 Data'!G588&lt;=0.0652,5,IF('1 Data'!G588&lt;=0.716,6,7)))</f>
        <v/>
      </c>
      <c r="D599" s="23">
        <f>INDEX($F$12:$F$18,C599)</f>
        <v/>
      </c>
      <c r="E599" s="27">
        <f>'1 Data'!I588</f>
        <v/>
      </c>
      <c r="F599" s="30">
        <f>COUNTIF($D$23:$D$1022,"&lt;"&amp;D599)+(COUNTIF($D$23:$D$1022,"="&amp;D599)+1)/2</f>
        <v/>
      </c>
    </row>
    <row r="600">
      <c r="B600" s="27">
        <f>'1 Data'!B589</f>
        <v/>
      </c>
      <c r="C600" s="29">
        <f>IF('1 Data'!E589&lt;=1.5,IF('1 Data'!F589&lt;=1.5,IF('1 Data'!G589&lt;=0.0003,1,2),IF('1 Data'!C589&lt;=165000,3,4)),IF('1 Data'!G589&lt;=0.0652,5,IF('1 Data'!G589&lt;=0.716,6,7)))</f>
        <v/>
      </c>
      <c r="D600" s="23">
        <f>INDEX($F$12:$F$18,C600)</f>
        <v/>
      </c>
      <c r="E600" s="27">
        <f>'1 Data'!I589</f>
        <v/>
      </c>
      <c r="F600" s="30">
        <f>COUNTIF($D$23:$D$1022,"&lt;"&amp;D600)+(COUNTIF($D$23:$D$1022,"="&amp;D600)+1)/2</f>
        <v/>
      </c>
    </row>
    <row r="601">
      <c r="B601" s="27">
        <f>'1 Data'!B590</f>
        <v/>
      </c>
      <c r="C601" s="29">
        <f>IF('1 Data'!E590&lt;=1.5,IF('1 Data'!F590&lt;=1.5,IF('1 Data'!G590&lt;=0.0003,1,2),IF('1 Data'!C590&lt;=165000,3,4)),IF('1 Data'!G590&lt;=0.0652,5,IF('1 Data'!G590&lt;=0.716,6,7)))</f>
        <v/>
      </c>
      <c r="D601" s="23">
        <f>INDEX($F$12:$F$18,C601)</f>
        <v/>
      </c>
      <c r="E601" s="27">
        <f>'1 Data'!I590</f>
        <v/>
      </c>
      <c r="F601" s="30">
        <f>COUNTIF($D$23:$D$1022,"&lt;"&amp;D601)+(COUNTIF($D$23:$D$1022,"="&amp;D601)+1)/2</f>
        <v/>
      </c>
    </row>
    <row r="602">
      <c r="B602" s="27">
        <f>'1 Data'!B591</f>
        <v/>
      </c>
      <c r="C602" s="29">
        <f>IF('1 Data'!E591&lt;=1.5,IF('1 Data'!F591&lt;=1.5,IF('1 Data'!G591&lt;=0.0003,1,2),IF('1 Data'!C591&lt;=165000,3,4)),IF('1 Data'!G591&lt;=0.0652,5,IF('1 Data'!G591&lt;=0.716,6,7)))</f>
        <v/>
      </c>
      <c r="D602" s="23">
        <f>INDEX($F$12:$F$18,C602)</f>
        <v/>
      </c>
      <c r="E602" s="27">
        <f>'1 Data'!I591</f>
        <v/>
      </c>
      <c r="F602" s="30">
        <f>COUNTIF($D$23:$D$1022,"&lt;"&amp;D602)+(COUNTIF($D$23:$D$1022,"="&amp;D602)+1)/2</f>
        <v/>
      </c>
    </row>
    <row r="603">
      <c r="B603" s="27">
        <f>'1 Data'!B592</f>
        <v/>
      </c>
      <c r="C603" s="29">
        <f>IF('1 Data'!E592&lt;=1.5,IF('1 Data'!F592&lt;=1.5,IF('1 Data'!G592&lt;=0.0003,1,2),IF('1 Data'!C592&lt;=165000,3,4)),IF('1 Data'!G592&lt;=0.0652,5,IF('1 Data'!G592&lt;=0.716,6,7)))</f>
        <v/>
      </c>
      <c r="D603" s="23">
        <f>INDEX($F$12:$F$18,C603)</f>
        <v/>
      </c>
      <c r="E603" s="27">
        <f>'1 Data'!I592</f>
        <v/>
      </c>
      <c r="F603" s="30">
        <f>COUNTIF($D$23:$D$1022,"&lt;"&amp;D603)+(COUNTIF($D$23:$D$1022,"="&amp;D603)+1)/2</f>
        <v/>
      </c>
    </row>
    <row r="604">
      <c r="B604" s="27">
        <f>'1 Data'!B593</f>
        <v/>
      </c>
      <c r="C604" s="29">
        <f>IF('1 Data'!E593&lt;=1.5,IF('1 Data'!F593&lt;=1.5,IF('1 Data'!G593&lt;=0.0003,1,2),IF('1 Data'!C593&lt;=165000,3,4)),IF('1 Data'!G593&lt;=0.0652,5,IF('1 Data'!G593&lt;=0.716,6,7)))</f>
        <v/>
      </c>
      <c r="D604" s="23">
        <f>INDEX($F$12:$F$18,C604)</f>
        <v/>
      </c>
      <c r="E604" s="27">
        <f>'1 Data'!I593</f>
        <v/>
      </c>
      <c r="F604" s="30">
        <f>COUNTIF($D$23:$D$1022,"&lt;"&amp;D604)+(COUNTIF($D$23:$D$1022,"="&amp;D604)+1)/2</f>
        <v/>
      </c>
    </row>
    <row r="605">
      <c r="B605" s="27">
        <f>'1 Data'!B594</f>
        <v/>
      </c>
      <c r="C605" s="29">
        <f>IF('1 Data'!E594&lt;=1.5,IF('1 Data'!F594&lt;=1.5,IF('1 Data'!G594&lt;=0.0003,1,2),IF('1 Data'!C594&lt;=165000,3,4)),IF('1 Data'!G594&lt;=0.0652,5,IF('1 Data'!G594&lt;=0.716,6,7)))</f>
        <v/>
      </c>
      <c r="D605" s="23">
        <f>INDEX($F$12:$F$18,C605)</f>
        <v/>
      </c>
      <c r="E605" s="27">
        <f>'1 Data'!I594</f>
        <v/>
      </c>
      <c r="F605" s="30">
        <f>COUNTIF($D$23:$D$1022,"&lt;"&amp;D605)+(COUNTIF($D$23:$D$1022,"="&amp;D605)+1)/2</f>
        <v/>
      </c>
    </row>
    <row r="606">
      <c r="B606" s="27">
        <f>'1 Data'!B595</f>
        <v/>
      </c>
      <c r="C606" s="29">
        <f>IF('1 Data'!E595&lt;=1.5,IF('1 Data'!F595&lt;=1.5,IF('1 Data'!G595&lt;=0.0003,1,2),IF('1 Data'!C595&lt;=165000,3,4)),IF('1 Data'!G595&lt;=0.0652,5,IF('1 Data'!G595&lt;=0.716,6,7)))</f>
        <v/>
      </c>
      <c r="D606" s="23">
        <f>INDEX($F$12:$F$18,C606)</f>
        <v/>
      </c>
      <c r="E606" s="27">
        <f>'1 Data'!I595</f>
        <v/>
      </c>
      <c r="F606" s="30">
        <f>COUNTIF($D$23:$D$1022,"&lt;"&amp;D606)+(COUNTIF($D$23:$D$1022,"="&amp;D606)+1)/2</f>
        <v/>
      </c>
    </row>
    <row r="607">
      <c r="B607" s="27">
        <f>'1 Data'!B596</f>
        <v/>
      </c>
      <c r="C607" s="29">
        <f>IF('1 Data'!E596&lt;=1.5,IF('1 Data'!F596&lt;=1.5,IF('1 Data'!G596&lt;=0.0003,1,2),IF('1 Data'!C596&lt;=165000,3,4)),IF('1 Data'!G596&lt;=0.0652,5,IF('1 Data'!G596&lt;=0.716,6,7)))</f>
        <v/>
      </c>
      <c r="D607" s="23">
        <f>INDEX($F$12:$F$18,C607)</f>
        <v/>
      </c>
      <c r="E607" s="27">
        <f>'1 Data'!I596</f>
        <v/>
      </c>
      <c r="F607" s="30">
        <f>COUNTIF($D$23:$D$1022,"&lt;"&amp;D607)+(COUNTIF($D$23:$D$1022,"="&amp;D607)+1)/2</f>
        <v/>
      </c>
    </row>
    <row r="608">
      <c r="B608" s="27">
        <f>'1 Data'!B597</f>
        <v/>
      </c>
      <c r="C608" s="29">
        <f>IF('1 Data'!E597&lt;=1.5,IF('1 Data'!F597&lt;=1.5,IF('1 Data'!G597&lt;=0.0003,1,2),IF('1 Data'!C597&lt;=165000,3,4)),IF('1 Data'!G597&lt;=0.0652,5,IF('1 Data'!G597&lt;=0.716,6,7)))</f>
        <v/>
      </c>
      <c r="D608" s="23">
        <f>INDEX($F$12:$F$18,C608)</f>
        <v/>
      </c>
      <c r="E608" s="27">
        <f>'1 Data'!I597</f>
        <v/>
      </c>
      <c r="F608" s="30">
        <f>COUNTIF($D$23:$D$1022,"&lt;"&amp;D608)+(COUNTIF($D$23:$D$1022,"="&amp;D608)+1)/2</f>
        <v/>
      </c>
    </row>
    <row r="609">
      <c r="B609" s="27">
        <f>'1 Data'!B598</f>
        <v/>
      </c>
      <c r="C609" s="29">
        <f>IF('1 Data'!E598&lt;=1.5,IF('1 Data'!F598&lt;=1.5,IF('1 Data'!G598&lt;=0.0003,1,2),IF('1 Data'!C598&lt;=165000,3,4)),IF('1 Data'!G598&lt;=0.0652,5,IF('1 Data'!G598&lt;=0.716,6,7)))</f>
        <v/>
      </c>
      <c r="D609" s="23">
        <f>INDEX($F$12:$F$18,C609)</f>
        <v/>
      </c>
      <c r="E609" s="27">
        <f>'1 Data'!I598</f>
        <v/>
      </c>
      <c r="F609" s="30">
        <f>COUNTIF($D$23:$D$1022,"&lt;"&amp;D609)+(COUNTIF($D$23:$D$1022,"="&amp;D609)+1)/2</f>
        <v/>
      </c>
    </row>
    <row r="610">
      <c r="B610" s="27">
        <f>'1 Data'!B599</f>
        <v/>
      </c>
      <c r="C610" s="29">
        <f>IF('1 Data'!E599&lt;=1.5,IF('1 Data'!F599&lt;=1.5,IF('1 Data'!G599&lt;=0.0003,1,2),IF('1 Data'!C599&lt;=165000,3,4)),IF('1 Data'!G599&lt;=0.0652,5,IF('1 Data'!G599&lt;=0.716,6,7)))</f>
        <v/>
      </c>
      <c r="D610" s="23">
        <f>INDEX($F$12:$F$18,C610)</f>
        <v/>
      </c>
      <c r="E610" s="27">
        <f>'1 Data'!I599</f>
        <v/>
      </c>
      <c r="F610" s="30">
        <f>COUNTIF($D$23:$D$1022,"&lt;"&amp;D610)+(COUNTIF($D$23:$D$1022,"="&amp;D610)+1)/2</f>
        <v/>
      </c>
    </row>
    <row r="611">
      <c r="B611" s="27">
        <f>'1 Data'!B600</f>
        <v/>
      </c>
      <c r="C611" s="29">
        <f>IF('1 Data'!E600&lt;=1.5,IF('1 Data'!F600&lt;=1.5,IF('1 Data'!G600&lt;=0.0003,1,2),IF('1 Data'!C600&lt;=165000,3,4)),IF('1 Data'!G600&lt;=0.0652,5,IF('1 Data'!G600&lt;=0.716,6,7)))</f>
        <v/>
      </c>
      <c r="D611" s="23">
        <f>INDEX($F$12:$F$18,C611)</f>
        <v/>
      </c>
      <c r="E611" s="27">
        <f>'1 Data'!I600</f>
        <v/>
      </c>
      <c r="F611" s="30">
        <f>COUNTIF($D$23:$D$1022,"&lt;"&amp;D611)+(COUNTIF($D$23:$D$1022,"="&amp;D611)+1)/2</f>
        <v/>
      </c>
    </row>
    <row r="612">
      <c r="B612" s="27">
        <f>'1 Data'!B601</f>
        <v/>
      </c>
      <c r="C612" s="29">
        <f>IF('1 Data'!E601&lt;=1.5,IF('1 Data'!F601&lt;=1.5,IF('1 Data'!G601&lt;=0.0003,1,2),IF('1 Data'!C601&lt;=165000,3,4)),IF('1 Data'!G601&lt;=0.0652,5,IF('1 Data'!G601&lt;=0.716,6,7)))</f>
        <v/>
      </c>
      <c r="D612" s="23">
        <f>INDEX($F$12:$F$18,C612)</f>
        <v/>
      </c>
      <c r="E612" s="27">
        <f>'1 Data'!I601</f>
        <v/>
      </c>
      <c r="F612" s="30">
        <f>COUNTIF($D$23:$D$1022,"&lt;"&amp;D612)+(COUNTIF($D$23:$D$1022,"="&amp;D612)+1)/2</f>
        <v/>
      </c>
    </row>
    <row r="613">
      <c r="B613" s="27">
        <f>'1 Data'!B602</f>
        <v/>
      </c>
      <c r="C613" s="29">
        <f>IF('1 Data'!E602&lt;=1.5,IF('1 Data'!F602&lt;=1.5,IF('1 Data'!G602&lt;=0.0003,1,2),IF('1 Data'!C602&lt;=165000,3,4)),IF('1 Data'!G602&lt;=0.0652,5,IF('1 Data'!G602&lt;=0.716,6,7)))</f>
        <v/>
      </c>
      <c r="D613" s="23">
        <f>INDEX($F$12:$F$18,C613)</f>
        <v/>
      </c>
      <c r="E613" s="27">
        <f>'1 Data'!I602</f>
        <v/>
      </c>
      <c r="F613" s="30">
        <f>COUNTIF($D$23:$D$1022,"&lt;"&amp;D613)+(COUNTIF($D$23:$D$1022,"="&amp;D613)+1)/2</f>
        <v/>
      </c>
    </row>
    <row r="614">
      <c r="B614" s="27">
        <f>'1 Data'!B603</f>
        <v/>
      </c>
      <c r="C614" s="29">
        <f>IF('1 Data'!E603&lt;=1.5,IF('1 Data'!F603&lt;=1.5,IF('1 Data'!G603&lt;=0.0003,1,2),IF('1 Data'!C603&lt;=165000,3,4)),IF('1 Data'!G603&lt;=0.0652,5,IF('1 Data'!G603&lt;=0.716,6,7)))</f>
        <v/>
      </c>
      <c r="D614" s="23">
        <f>INDEX($F$12:$F$18,C614)</f>
        <v/>
      </c>
      <c r="E614" s="27">
        <f>'1 Data'!I603</f>
        <v/>
      </c>
      <c r="F614" s="30">
        <f>COUNTIF($D$23:$D$1022,"&lt;"&amp;D614)+(COUNTIF($D$23:$D$1022,"="&amp;D614)+1)/2</f>
        <v/>
      </c>
    </row>
    <row r="615">
      <c r="B615" s="27">
        <f>'1 Data'!B604</f>
        <v/>
      </c>
      <c r="C615" s="29">
        <f>IF('1 Data'!E604&lt;=1.5,IF('1 Data'!F604&lt;=1.5,IF('1 Data'!G604&lt;=0.0003,1,2),IF('1 Data'!C604&lt;=165000,3,4)),IF('1 Data'!G604&lt;=0.0652,5,IF('1 Data'!G604&lt;=0.716,6,7)))</f>
        <v/>
      </c>
      <c r="D615" s="23">
        <f>INDEX($F$12:$F$18,C615)</f>
        <v/>
      </c>
      <c r="E615" s="27">
        <f>'1 Data'!I604</f>
        <v/>
      </c>
      <c r="F615" s="30">
        <f>COUNTIF($D$23:$D$1022,"&lt;"&amp;D615)+(COUNTIF($D$23:$D$1022,"="&amp;D615)+1)/2</f>
        <v/>
      </c>
    </row>
    <row r="616">
      <c r="B616" s="27">
        <f>'1 Data'!B605</f>
        <v/>
      </c>
      <c r="C616" s="29">
        <f>IF('1 Data'!E605&lt;=1.5,IF('1 Data'!F605&lt;=1.5,IF('1 Data'!G605&lt;=0.0003,1,2),IF('1 Data'!C605&lt;=165000,3,4)),IF('1 Data'!G605&lt;=0.0652,5,IF('1 Data'!G605&lt;=0.716,6,7)))</f>
        <v/>
      </c>
      <c r="D616" s="23">
        <f>INDEX($F$12:$F$18,C616)</f>
        <v/>
      </c>
      <c r="E616" s="27">
        <f>'1 Data'!I605</f>
        <v/>
      </c>
      <c r="F616" s="30">
        <f>COUNTIF($D$23:$D$1022,"&lt;"&amp;D616)+(COUNTIF($D$23:$D$1022,"="&amp;D616)+1)/2</f>
        <v/>
      </c>
    </row>
    <row r="617">
      <c r="B617" s="27">
        <f>'1 Data'!B606</f>
        <v/>
      </c>
      <c r="C617" s="29">
        <f>IF('1 Data'!E606&lt;=1.5,IF('1 Data'!F606&lt;=1.5,IF('1 Data'!G606&lt;=0.0003,1,2),IF('1 Data'!C606&lt;=165000,3,4)),IF('1 Data'!G606&lt;=0.0652,5,IF('1 Data'!G606&lt;=0.716,6,7)))</f>
        <v/>
      </c>
      <c r="D617" s="23">
        <f>INDEX($F$12:$F$18,C617)</f>
        <v/>
      </c>
      <c r="E617" s="27">
        <f>'1 Data'!I606</f>
        <v/>
      </c>
      <c r="F617" s="30">
        <f>COUNTIF($D$23:$D$1022,"&lt;"&amp;D617)+(COUNTIF($D$23:$D$1022,"="&amp;D617)+1)/2</f>
        <v/>
      </c>
    </row>
    <row r="618">
      <c r="B618" s="27">
        <f>'1 Data'!B607</f>
        <v/>
      </c>
      <c r="C618" s="29">
        <f>IF('1 Data'!E607&lt;=1.5,IF('1 Data'!F607&lt;=1.5,IF('1 Data'!G607&lt;=0.0003,1,2),IF('1 Data'!C607&lt;=165000,3,4)),IF('1 Data'!G607&lt;=0.0652,5,IF('1 Data'!G607&lt;=0.716,6,7)))</f>
        <v/>
      </c>
      <c r="D618" s="23">
        <f>INDEX($F$12:$F$18,C618)</f>
        <v/>
      </c>
      <c r="E618" s="27">
        <f>'1 Data'!I607</f>
        <v/>
      </c>
      <c r="F618" s="30">
        <f>COUNTIF($D$23:$D$1022,"&lt;"&amp;D618)+(COUNTIF($D$23:$D$1022,"="&amp;D618)+1)/2</f>
        <v/>
      </c>
    </row>
    <row r="619">
      <c r="B619" s="27">
        <f>'1 Data'!B608</f>
        <v/>
      </c>
      <c r="C619" s="29">
        <f>IF('1 Data'!E608&lt;=1.5,IF('1 Data'!F608&lt;=1.5,IF('1 Data'!G608&lt;=0.0003,1,2),IF('1 Data'!C608&lt;=165000,3,4)),IF('1 Data'!G608&lt;=0.0652,5,IF('1 Data'!G608&lt;=0.716,6,7)))</f>
        <v/>
      </c>
      <c r="D619" s="23">
        <f>INDEX($F$12:$F$18,C619)</f>
        <v/>
      </c>
      <c r="E619" s="27">
        <f>'1 Data'!I608</f>
        <v/>
      </c>
      <c r="F619" s="30">
        <f>COUNTIF($D$23:$D$1022,"&lt;"&amp;D619)+(COUNTIF($D$23:$D$1022,"="&amp;D619)+1)/2</f>
        <v/>
      </c>
    </row>
    <row r="620">
      <c r="B620" s="27">
        <f>'1 Data'!B609</f>
        <v/>
      </c>
      <c r="C620" s="29">
        <f>IF('1 Data'!E609&lt;=1.5,IF('1 Data'!F609&lt;=1.5,IF('1 Data'!G609&lt;=0.0003,1,2),IF('1 Data'!C609&lt;=165000,3,4)),IF('1 Data'!G609&lt;=0.0652,5,IF('1 Data'!G609&lt;=0.716,6,7)))</f>
        <v/>
      </c>
      <c r="D620" s="23">
        <f>INDEX($F$12:$F$18,C620)</f>
        <v/>
      </c>
      <c r="E620" s="27">
        <f>'1 Data'!I609</f>
        <v/>
      </c>
      <c r="F620" s="30">
        <f>COUNTIF($D$23:$D$1022,"&lt;"&amp;D620)+(COUNTIF($D$23:$D$1022,"="&amp;D620)+1)/2</f>
        <v/>
      </c>
    </row>
    <row r="621">
      <c r="B621" s="27">
        <f>'1 Data'!B610</f>
        <v/>
      </c>
      <c r="C621" s="29">
        <f>IF('1 Data'!E610&lt;=1.5,IF('1 Data'!F610&lt;=1.5,IF('1 Data'!G610&lt;=0.0003,1,2),IF('1 Data'!C610&lt;=165000,3,4)),IF('1 Data'!G610&lt;=0.0652,5,IF('1 Data'!G610&lt;=0.716,6,7)))</f>
        <v/>
      </c>
      <c r="D621" s="23">
        <f>INDEX($F$12:$F$18,C621)</f>
        <v/>
      </c>
      <c r="E621" s="27">
        <f>'1 Data'!I610</f>
        <v/>
      </c>
      <c r="F621" s="30">
        <f>COUNTIF($D$23:$D$1022,"&lt;"&amp;D621)+(COUNTIF($D$23:$D$1022,"="&amp;D621)+1)/2</f>
        <v/>
      </c>
    </row>
    <row r="622">
      <c r="B622" s="27">
        <f>'1 Data'!B611</f>
        <v/>
      </c>
      <c r="C622" s="29">
        <f>IF('1 Data'!E611&lt;=1.5,IF('1 Data'!F611&lt;=1.5,IF('1 Data'!G611&lt;=0.0003,1,2),IF('1 Data'!C611&lt;=165000,3,4)),IF('1 Data'!G611&lt;=0.0652,5,IF('1 Data'!G611&lt;=0.716,6,7)))</f>
        <v/>
      </c>
      <c r="D622" s="23">
        <f>INDEX($F$12:$F$18,C622)</f>
        <v/>
      </c>
      <c r="E622" s="27">
        <f>'1 Data'!I611</f>
        <v/>
      </c>
      <c r="F622" s="30">
        <f>COUNTIF($D$23:$D$1022,"&lt;"&amp;D622)+(COUNTIF($D$23:$D$1022,"="&amp;D622)+1)/2</f>
        <v/>
      </c>
    </row>
    <row r="623">
      <c r="B623" s="27">
        <f>'1 Data'!B612</f>
        <v/>
      </c>
      <c r="C623" s="29">
        <f>IF('1 Data'!E612&lt;=1.5,IF('1 Data'!F612&lt;=1.5,IF('1 Data'!G612&lt;=0.0003,1,2),IF('1 Data'!C612&lt;=165000,3,4)),IF('1 Data'!G612&lt;=0.0652,5,IF('1 Data'!G612&lt;=0.716,6,7)))</f>
        <v/>
      </c>
      <c r="D623" s="23">
        <f>INDEX($F$12:$F$18,C623)</f>
        <v/>
      </c>
      <c r="E623" s="27">
        <f>'1 Data'!I612</f>
        <v/>
      </c>
      <c r="F623" s="30">
        <f>COUNTIF($D$23:$D$1022,"&lt;"&amp;D623)+(COUNTIF($D$23:$D$1022,"="&amp;D623)+1)/2</f>
        <v/>
      </c>
    </row>
    <row r="624">
      <c r="B624" s="27">
        <f>'1 Data'!B613</f>
        <v/>
      </c>
      <c r="C624" s="29">
        <f>IF('1 Data'!E613&lt;=1.5,IF('1 Data'!F613&lt;=1.5,IF('1 Data'!G613&lt;=0.0003,1,2),IF('1 Data'!C613&lt;=165000,3,4)),IF('1 Data'!G613&lt;=0.0652,5,IF('1 Data'!G613&lt;=0.716,6,7)))</f>
        <v/>
      </c>
      <c r="D624" s="23">
        <f>INDEX($F$12:$F$18,C624)</f>
        <v/>
      </c>
      <c r="E624" s="27">
        <f>'1 Data'!I613</f>
        <v/>
      </c>
      <c r="F624" s="30">
        <f>COUNTIF($D$23:$D$1022,"&lt;"&amp;D624)+(COUNTIF($D$23:$D$1022,"="&amp;D624)+1)/2</f>
        <v/>
      </c>
    </row>
    <row r="625">
      <c r="B625" s="27">
        <f>'1 Data'!B614</f>
        <v/>
      </c>
      <c r="C625" s="29">
        <f>IF('1 Data'!E614&lt;=1.5,IF('1 Data'!F614&lt;=1.5,IF('1 Data'!G614&lt;=0.0003,1,2),IF('1 Data'!C614&lt;=165000,3,4)),IF('1 Data'!G614&lt;=0.0652,5,IF('1 Data'!G614&lt;=0.716,6,7)))</f>
        <v/>
      </c>
      <c r="D625" s="23">
        <f>INDEX($F$12:$F$18,C625)</f>
        <v/>
      </c>
      <c r="E625" s="27">
        <f>'1 Data'!I614</f>
        <v/>
      </c>
      <c r="F625" s="30">
        <f>COUNTIF($D$23:$D$1022,"&lt;"&amp;D625)+(COUNTIF($D$23:$D$1022,"="&amp;D625)+1)/2</f>
        <v/>
      </c>
    </row>
    <row r="626">
      <c r="B626" s="27">
        <f>'1 Data'!B615</f>
        <v/>
      </c>
      <c r="C626" s="29">
        <f>IF('1 Data'!E615&lt;=1.5,IF('1 Data'!F615&lt;=1.5,IF('1 Data'!G615&lt;=0.0003,1,2),IF('1 Data'!C615&lt;=165000,3,4)),IF('1 Data'!G615&lt;=0.0652,5,IF('1 Data'!G615&lt;=0.716,6,7)))</f>
        <v/>
      </c>
      <c r="D626" s="23">
        <f>INDEX($F$12:$F$18,C626)</f>
        <v/>
      </c>
      <c r="E626" s="27">
        <f>'1 Data'!I615</f>
        <v/>
      </c>
      <c r="F626" s="30">
        <f>COUNTIF($D$23:$D$1022,"&lt;"&amp;D626)+(COUNTIF($D$23:$D$1022,"="&amp;D626)+1)/2</f>
        <v/>
      </c>
    </row>
    <row r="627">
      <c r="B627" s="27">
        <f>'1 Data'!B616</f>
        <v/>
      </c>
      <c r="C627" s="29">
        <f>IF('1 Data'!E616&lt;=1.5,IF('1 Data'!F616&lt;=1.5,IF('1 Data'!G616&lt;=0.0003,1,2),IF('1 Data'!C616&lt;=165000,3,4)),IF('1 Data'!G616&lt;=0.0652,5,IF('1 Data'!G616&lt;=0.716,6,7)))</f>
        <v/>
      </c>
      <c r="D627" s="23">
        <f>INDEX($F$12:$F$18,C627)</f>
        <v/>
      </c>
      <c r="E627" s="27">
        <f>'1 Data'!I616</f>
        <v/>
      </c>
      <c r="F627" s="30">
        <f>COUNTIF($D$23:$D$1022,"&lt;"&amp;D627)+(COUNTIF($D$23:$D$1022,"="&amp;D627)+1)/2</f>
        <v/>
      </c>
    </row>
    <row r="628">
      <c r="B628" s="27">
        <f>'1 Data'!B617</f>
        <v/>
      </c>
      <c r="C628" s="29">
        <f>IF('1 Data'!E617&lt;=1.5,IF('1 Data'!F617&lt;=1.5,IF('1 Data'!G617&lt;=0.0003,1,2),IF('1 Data'!C617&lt;=165000,3,4)),IF('1 Data'!G617&lt;=0.0652,5,IF('1 Data'!G617&lt;=0.716,6,7)))</f>
        <v/>
      </c>
      <c r="D628" s="23">
        <f>INDEX($F$12:$F$18,C628)</f>
        <v/>
      </c>
      <c r="E628" s="27">
        <f>'1 Data'!I617</f>
        <v/>
      </c>
      <c r="F628" s="30">
        <f>COUNTIF($D$23:$D$1022,"&lt;"&amp;D628)+(COUNTIF($D$23:$D$1022,"="&amp;D628)+1)/2</f>
        <v/>
      </c>
    </row>
    <row r="629">
      <c r="B629" s="27">
        <f>'1 Data'!B618</f>
        <v/>
      </c>
      <c r="C629" s="29">
        <f>IF('1 Data'!E618&lt;=1.5,IF('1 Data'!F618&lt;=1.5,IF('1 Data'!G618&lt;=0.0003,1,2),IF('1 Data'!C618&lt;=165000,3,4)),IF('1 Data'!G618&lt;=0.0652,5,IF('1 Data'!G618&lt;=0.716,6,7)))</f>
        <v/>
      </c>
      <c r="D629" s="23">
        <f>INDEX($F$12:$F$18,C629)</f>
        <v/>
      </c>
      <c r="E629" s="27">
        <f>'1 Data'!I618</f>
        <v/>
      </c>
      <c r="F629" s="30">
        <f>COUNTIF($D$23:$D$1022,"&lt;"&amp;D629)+(COUNTIF($D$23:$D$1022,"="&amp;D629)+1)/2</f>
        <v/>
      </c>
    </row>
    <row r="630">
      <c r="B630" s="27">
        <f>'1 Data'!B619</f>
        <v/>
      </c>
      <c r="C630" s="29">
        <f>IF('1 Data'!E619&lt;=1.5,IF('1 Data'!F619&lt;=1.5,IF('1 Data'!G619&lt;=0.0003,1,2),IF('1 Data'!C619&lt;=165000,3,4)),IF('1 Data'!G619&lt;=0.0652,5,IF('1 Data'!G619&lt;=0.716,6,7)))</f>
        <v/>
      </c>
      <c r="D630" s="23">
        <f>INDEX($F$12:$F$18,C630)</f>
        <v/>
      </c>
      <c r="E630" s="27">
        <f>'1 Data'!I619</f>
        <v/>
      </c>
      <c r="F630" s="30">
        <f>COUNTIF($D$23:$D$1022,"&lt;"&amp;D630)+(COUNTIF($D$23:$D$1022,"="&amp;D630)+1)/2</f>
        <v/>
      </c>
    </row>
    <row r="631">
      <c r="B631" s="27">
        <f>'1 Data'!B620</f>
        <v/>
      </c>
      <c r="C631" s="29">
        <f>IF('1 Data'!E620&lt;=1.5,IF('1 Data'!F620&lt;=1.5,IF('1 Data'!G620&lt;=0.0003,1,2),IF('1 Data'!C620&lt;=165000,3,4)),IF('1 Data'!G620&lt;=0.0652,5,IF('1 Data'!G620&lt;=0.716,6,7)))</f>
        <v/>
      </c>
      <c r="D631" s="23">
        <f>INDEX($F$12:$F$18,C631)</f>
        <v/>
      </c>
      <c r="E631" s="27">
        <f>'1 Data'!I620</f>
        <v/>
      </c>
      <c r="F631" s="30">
        <f>COUNTIF($D$23:$D$1022,"&lt;"&amp;D631)+(COUNTIF($D$23:$D$1022,"="&amp;D631)+1)/2</f>
        <v/>
      </c>
    </row>
    <row r="632">
      <c r="B632" s="27">
        <f>'1 Data'!B621</f>
        <v/>
      </c>
      <c r="C632" s="29">
        <f>IF('1 Data'!E621&lt;=1.5,IF('1 Data'!F621&lt;=1.5,IF('1 Data'!G621&lt;=0.0003,1,2),IF('1 Data'!C621&lt;=165000,3,4)),IF('1 Data'!G621&lt;=0.0652,5,IF('1 Data'!G621&lt;=0.716,6,7)))</f>
        <v/>
      </c>
      <c r="D632" s="23">
        <f>INDEX($F$12:$F$18,C632)</f>
        <v/>
      </c>
      <c r="E632" s="27">
        <f>'1 Data'!I621</f>
        <v/>
      </c>
      <c r="F632" s="30">
        <f>COUNTIF($D$23:$D$1022,"&lt;"&amp;D632)+(COUNTIF($D$23:$D$1022,"="&amp;D632)+1)/2</f>
        <v/>
      </c>
    </row>
    <row r="633">
      <c r="B633" s="27">
        <f>'1 Data'!B622</f>
        <v/>
      </c>
      <c r="C633" s="29">
        <f>IF('1 Data'!E622&lt;=1.5,IF('1 Data'!F622&lt;=1.5,IF('1 Data'!G622&lt;=0.0003,1,2),IF('1 Data'!C622&lt;=165000,3,4)),IF('1 Data'!G622&lt;=0.0652,5,IF('1 Data'!G622&lt;=0.716,6,7)))</f>
        <v/>
      </c>
      <c r="D633" s="23">
        <f>INDEX($F$12:$F$18,C633)</f>
        <v/>
      </c>
      <c r="E633" s="27">
        <f>'1 Data'!I622</f>
        <v/>
      </c>
      <c r="F633" s="30">
        <f>COUNTIF($D$23:$D$1022,"&lt;"&amp;D633)+(COUNTIF($D$23:$D$1022,"="&amp;D633)+1)/2</f>
        <v/>
      </c>
    </row>
    <row r="634">
      <c r="B634" s="27">
        <f>'1 Data'!B623</f>
        <v/>
      </c>
      <c r="C634" s="29">
        <f>IF('1 Data'!E623&lt;=1.5,IF('1 Data'!F623&lt;=1.5,IF('1 Data'!G623&lt;=0.0003,1,2),IF('1 Data'!C623&lt;=165000,3,4)),IF('1 Data'!G623&lt;=0.0652,5,IF('1 Data'!G623&lt;=0.716,6,7)))</f>
        <v/>
      </c>
      <c r="D634" s="23">
        <f>INDEX($F$12:$F$18,C634)</f>
        <v/>
      </c>
      <c r="E634" s="27">
        <f>'1 Data'!I623</f>
        <v/>
      </c>
      <c r="F634" s="30">
        <f>COUNTIF($D$23:$D$1022,"&lt;"&amp;D634)+(COUNTIF($D$23:$D$1022,"="&amp;D634)+1)/2</f>
        <v/>
      </c>
    </row>
    <row r="635">
      <c r="B635" s="27">
        <f>'1 Data'!B624</f>
        <v/>
      </c>
      <c r="C635" s="29">
        <f>IF('1 Data'!E624&lt;=1.5,IF('1 Data'!F624&lt;=1.5,IF('1 Data'!G624&lt;=0.0003,1,2),IF('1 Data'!C624&lt;=165000,3,4)),IF('1 Data'!G624&lt;=0.0652,5,IF('1 Data'!G624&lt;=0.716,6,7)))</f>
        <v/>
      </c>
      <c r="D635" s="23">
        <f>INDEX($F$12:$F$18,C635)</f>
        <v/>
      </c>
      <c r="E635" s="27">
        <f>'1 Data'!I624</f>
        <v/>
      </c>
      <c r="F635" s="30">
        <f>COUNTIF($D$23:$D$1022,"&lt;"&amp;D635)+(COUNTIF($D$23:$D$1022,"="&amp;D635)+1)/2</f>
        <v/>
      </c>
    </row>
    <row r="636">
      <c r="B636" s="27">
        <f>'1 Data'!B625</f>
        <v/>
      </c>
      <c r="C636" s="29">
        <f>IF('1 Data'!E625&lt;=1.5,IF('1 Data'!F625&lt;=1.5,IF('1 Data'!G625&lt;=0.0003,1,2),IF('1 Data'!C625&lt;=165000,3,4)),IF('1 Data'!G625&lt;=0.0652,5,IF('1 Data'!G625&lt;=0.716,6,7)))</f>
        <v/>
      </c>
      <c r="D636" s="23">
        <f>INDEX($F$12:$F$18,C636)</f>
        <v/>
      </c>
      <c r="E636" s="27">
        <f>'1 Data'!I625</f>
        <v/>
      </c>
      <c r="F636" s="30">
        <f>COUNTIF($D$23:$D$1022,"&lt;"&amp;D636)+(COUNTIF($D$23:$D$1022,"="&amp;D636)+1)/2</f>
        <v/>
      </c>
    </row>
    <row r="637">
      <c r="B637" s="27">
        <f>'1 Data'!B626</f>
        <v/>
      </c>
      <c r="C637" s="29">
        <f>IF('1 Data'!E626&lt;=1.5,IF('1 Data'!F626&lt;=1.5,IF('1 Data'!G626&lt;=0.0003,1,2),IF('1 Data'!C626&lt;=165000,3,4)),IF('1 Data'!G626&lt;=0.0652,5,IF('1 Data'!G626&lt;=0.716,6,7)))</f>
        <v/>
      </c>
      <c r="D637" s="23">
        <f>INDEX($F$12:$F$18,C637)</f>
        <v/>
      </c>
      <c r="E637" s="27">
        <f>'1 Data'!I626</f>
        <v/>
      </c>
      <c r="F637" s="30">
        <f>COUNTIF($D$23:$D$1022,"&lt;"&amp;D637)+(COUNTIF($D$23:$D$1022,"="&amp;D637)+1)/2</f>
        <v/>
      </c>
    </row>
    <row r="638">
      <c r="B638" s="27">
        <f>'1 Data'!B627</f>
        <v/>
      </c>
      <c r="C638" s="29">
        <f>IF('1 Data'!E627&lt;=1.5,IF('1 Data'!F627&lt;=1.5,IF('1 Data'!G627&lt;=0.0003,1,2),IF('1 Data'!C627&lt;=165000,3,4)),IF('1 Data'!G627&lt;=0.0652,5,IF('1 Data'!G627&lt;=0.716,6,7)))</f>
        <v/>
      </c>
      <c r="D638" s="23">
        <f>INDEX($F$12:$F$18,C638)</f>
        <v/>
      </c>
      <c r="E638" s="27">
        <f>'1 Data'!I627</f>
        <v/>
      </c>
      <c r="F638" s="30">
        <f>COUNTIF($D$23:$D$1022,"&lt;"&amp;D638)+(COUNTIF($D$23:$D$1022,"="&amp;D638)+1)/2</f>
        <v/>
      </c>
    </row>
    <row r="639">
      <c r="B639" s="27">
        <f>'1 Data'!B628</f>
        <v/>
      </c>
      <c r="C639" s="29">
        <f>IF('1 Data'!E628&lt;=1.5,IF('1 Data'!F628&lt;=1.5,IF('1 Data'!G628&lt;=0.0003,1,2),IF('1 Data'!C628&lt;=165000,3,4)),IF('1 Data'!G628&lt;=0.0652,5,IF('1 Data'!G628&lt;=0.716,6,7)))</f>
        <v/>
      </c>
      <c r="D639" s="23">
        <f>INDEX($F$12:$F$18,C639)</f>
        <v/>
      </c>
      <c r="E639" s="27">
        <f>'1 Data'!I628</f>
        <v/>
      </c>
      <c r="F639" s="30">
        <f>COUNTIF($D$23:$D$1022,"&lt;"&amp;D639)+(COUNTIF($D$23:$D$1022,"="&amp;D639)+1)/2</f>
        <v/>
      </c>
    </row>
    <row r="640">
      <c r="B640" s="27">
        <f>'1 Data'!B629</f>
        <v/>
      </c>
      <c r="C640" s="29">
        <f>IF('1 Data'!E629&lt;=1.5,IF('1 Data'!F629&lt;=1.5,IF('1 Data'!G629&lt;=0.0003,1,2),IF('1 Data'!C629&lt;=165000,3,4)),IF('1 Data'!G629&lt;=0.0652,5,IF('1 Data'!G629&lt;=0.716,6,7)))</f>
        <v/>
      </c>
      <c r="D640" s="23">
        <f>INDEX($F$12:$F$18,C640)</f>
        <v/>
      </c>
      <c r="E640" s="27">
        <f>'1 Data'!I629</f>
        <v/>
      </c>
      <c r="F640" s="30">
        <f>COUNTIF($D$23:$D$1022,"&lt;"&amp;D640)+(COUNTIF($D$23:$D$1022,"="&amp;D640)+1)/2</f>
        <v/>
      </c>
    </row>
    <row r="641">
      <c r="B641" s="27">
        <f>'1 Data'!B630</f>
        <v/>
      </c>
      <c r="C641" s="29">
        <f>IF('1 Data'!E630&lt;=1.5,IF('1 Data'!F630&lt;=1.5,IF('1 Data'!G630&lt;=0.0003,1,2),IF('1 Data'!C630&lt;=165000,3,4)),IF('1 Data'!G630&lt;=0.0652,5,IF('1 Data'!G630&lt;=0.716,6,7)))</f>
        <v/>
      </c>
      <c r="D641" s="23">
        <f>INDEX($F$12:$F$18,C641)</f>
        <v/>
      </c>
      <c r="E641" s="27">
        <f>'1 Data'!I630</f>
        <v/>
      </c>
      <c r="F641" s="30">
        <f>COUNTIF($D$23:$D$1022,"&lt;"&amp;D641)+(COUNTIF($D$23:$D$1022,"="&amp;D641)+1)/2</f>
        <v/>
      </c>
    </row>
    <row r="642">
      <c r="B642" s="27">
        <f>'1 Data'!B631</f>
        <v/>
      </c>
      <c r="C642" s="29">
        <f>IF('1 Data'!E631&lt;=1.5,IF('1 Data'!F631&lt;=1.5,IF('1 Data'!G631&lt;=0.0003,1,2),IF('1 Data'!C631&lt;=165000,3,4)),IF('1 Data'!G631&lt;=0.0652,5,IF('1 Data'!G631&lt;=0.716,6,7)))</f>
        <v/>
      </c>
      <c r="D642" s="23">
        <f>INDEX($F$12:$F$18,C642)</f>
        <v/>
      </c>
      <c r="E642" s="27">
        <f>'1 Data'!I631</f>
        <v/>
      </c>
      <c r="F642" s="30">
        <f>COUNTIF($D$23:$D$1022,"&lt;"&amp;D642)+(COUNTIF($D$23:$D$1022,"="&amp;D642)+1)/2</f>
        <v/>
      </c>
    </row>
    <row r="643">
      <c r="B643" s="27">
        <f>'1 Data'!B632</f>
        <v/>
      </c>
      <c r="C643" s="29">
        <f>IF('1 Data'!E632&lt;=1.5,IF('1 Data'!F632&lt;=1.5,IF('1 Data'!G632&lt;=0.0003,1,2),IF('1 Data'!C632&lt;=165000,3,4)),IF('1 Data'!G632&lt;=0.0652,5,IF('1 Data'!G632&lt;=0.716,6,7)))</f>
        <v/>
      </c>
      <c r="D643" s="23">
        <f>INDEX($F$12:$F$18,C643)</f>
        <v/>
      </c>
      <c r="E643" s="27">
        <f>'1 Data'!I632</f>
        <v/>
      </c>
      <c r="F643" s="30">
        <f>COUNTIF($D$23:$D$1022,"&lt;"&amp;D643)+(COUNTIF($D$23:$D$1022,"="&amp;D643)+1)/2</f>
        <v/>
      </c>
    </row>
    <row r="644">
      <c r="B644" s="27">
        <f>'1 Data'!B633</f>
        <v/>
      </c>
      <c r="C644" s="29">
        <f>IF('1 Data'!E633&lt;=1.5,IF('1 Data'!F633&lt;=1.5,IF('1 Data'!G633&lt;=0.0003,1,2),IF('1 Data'!C633&lt;=165000,3,4)),IF('1 Data'!G633&lt;=0.0652,5,IF('1 Data'!G633&lt;=0.716,6,7)))</f>
        <v/>
      </c>
      <c r="D644" s="23">
        <f>INDEX($F$12:$F$18,C644)</f>
        <v/>
      </c>
      <c r="E644" s="27">
        <f>'1 Data'!I633</f>
        <v/>
      </c>
      <c r="F644" s="30">
        <f>COUNTIF($D$23:$D$1022,"&lt;"&amp;D644)+(COUNTIF($D$23:$D$1022,"="&amp;D644)+1)/2</f>
        <v/>
      </c>
    </row>
    <row r="645">
      <c r="B645" s="27">
        <f>'1 Data'!B634</f>
        <v/>
      </c>
      <c r="C645" s="29">
        <f>IF('1 Data'!E634&lt;=1.5,IF('1 Data'!F634&lt;=1.5,IF('1 Data'!G634&lt;=0.0003,1,2),IF('1 Data'!C634&lt;=165000,3,4)),IF('1 Data'!G634&lt;=0.0652,5,IF('1 Data'!G634&lt;=0.716,6,7)))</f>
        <v/>
      </c>
      <c r="D645" s="23">
        <f>INDEX($F$12:$F$18,C645)</f>
        <v/>
      </c>
      <c r="E645" s="27">
        <f>'1 Data'!I634</f>
        <v/>
      </c>
      <c r="F645" s="30">
        <f>COUNTIF($D$23:$D$1022,"&lt;"&amp;D645)+(COUNTIF($D$23:$D$1022,"="&amp;D645)+1)/2</f>
        <v/>
      </c>
    </row>
    <row r="646">
      <c r="B646" s="27">
        <f>'1 Data'!B635</f>
        <v/>
      </c>
      <c r="C646" s="29">
        <f>IF('1 Data'!E635&lt;=1.5,IF('1 Data'!F635&lt;=1.5,IF('1 Data'!G635&lt;=0.0003,1,2),IF('1 Data'!C635&lt;=165000,3,4)),IF('1 Data'!G635&lt;=0.0652,5,IF('1 Data'!G635&lt;=0.716,6,7)))</f>
        <v/>
      </c>
      <c r="D646" s="23">
        <f>INDEX($F$12:$F$18,C646)</f>
        <v/>
      </c>
      <c r="E646" s="27">
        <f>'1 Data'!I635</f>
        <v/>
      </c>
      <c r="F646" s="30">
        <f>COUNTIF($D$23:$D$1022,"&lt;"&amp;D646)+(COUNTIF($D$23:$D$1022,"="&amp;D646)+1)/2</f>
        <v/>
      </c>
    </row>
    <row r="647">
      <c r="B647" s="27">
        <f>'1 Data'!B636</f>
        <v/>
      </c>
      <c r="C647" s="29">
        <f>IF('1 Data'!E636&lt;=1.5,IF('1 Data'!F636&lt;=1.5,IF('1 Data'!G636&lt;=0.0003,1,2),IF('1 Data'!C636&lt;=165000,3,4)),IF('1 Data'!G636&lt;=0.0652,5,IF('1 Data'!G636&lt;=0.716,6,7)))</f>
        <v/>
      </c>
      <c r="D647" s="23">
        <f>INDEX($F$12:$F$18,C647)</f>
        <v/>
      </c>
      <c r="E647" s="27">
        <f>'1 Data'!I636</f>
        <v/>
      </c>
      <c r="F647" s="30">
        <f>COUNTIF($D$23:$D$1022,"&lt;"&amp;D647)+(COUNTIF($D$23:$D$1022,"="&amp;D647)+1)/2</f>
        <v/>
      </c>
    </row>
    <row r="648">
      <c r="B648" s="27">
        <f>'1 Data'!B637</f>
        <v/>
      </c>
      <c r="C648" s="29">
        <f>IF('1 Data'!E637&lt;=1.5,IF('1 Data'!F637&lt;=1.5,IF('1 Data'!G637&lt;=0.0003,1,2),IF('1 Data'!C637&lt;=165000,3,4)),IF('1 Data'!G637&lt;=0.0652,5,IF('1 Data'!G637&lt;=0.716,6,7)))</f>
        <v/>
      </c>
      <c r="D648" s="23">
        <f>INDEX($F$12:$F$18,C648)</f>
        <v/>
      </c>
      <c r="E648" s="27">
        <f>'1 Data'!I637</f>
        <v/>
      </c>
      <c r="F648" s="30">
        <f>COUNTIF($D$23:$D$1022,"&lt;"&amp;D648)+(COUNTIF($D$23:$D$1022,"="&amp;D648)+1)/2</f>
        <v/>
      </c>
    </row>
    <row r="649">
      <c r="B649" s="27">
        <f>'1 Data'!B638</f>
        <v/>
      </c>
      <c r="C649" s="29">
        <f>IF('1 Data'!E638&lt;=1.5,IF('1 Data'!F638&lt;=1.5,IF('1 Data'!G638&lt;=0.0003,1,2),IF('1 Data'!C638&lt;=165000,3,4)),IF('1 Data'!G638&lt;=0.0652,5,IF('1 Data'!G638&lt;=0.716,6,7)))</f>
        <v/>
      </c>
      <c r="D649" s="23">
        <f>INDEX($F$12:$F$18,C649)</f>
        <v/>
      </c>
      <c r="E649" s="27">
        <f>'1 Data'!I638</f>
        <v/>
      </c>
      <c r="F649" s="30">
        <f>COUNTIF($D$23:$D$1022,"&lt;"&amp;D649)+(COUNTIF($D$23:$D$1022,"="&amp;D649)+1)/2</f>
        <v/>
      </c>
    </row>
    <row r="650">
      <c r="B650" s="27">
        <f>'1 Data'!B639</f>
        <v/>
      </c>
      <c r="C650" s="29">
        <f>IF('1 Data'!E639&lt;=1.5,IF('1 Data'!F639&lt;=1.5,IF('1 Data'!G639&lt;=0.0003,1,2),IF('1 Data'!C639&lt;=165000,3,4)),IF('1 Data'!G639&lt;=0.0652,5,IF('1 Data'!G639&lt;=0.716,6,7)))</f>
        <v/>
      </c>
      <c r="D650" s="23">
        <f>INDEX($F$12:$F$18,C650)</f>
        <v/>
      </c>
      <c r="E650" s="27">
        <f>'1 Data'!I639</f>
        <v/>
      </c>
      <c r="F650" s="30">
        <f>COUNTIF($D$23:$D$1022,"&lt;"&amp;D650)+(COUNTIF($D$23:$D$1022,"="&amp;D650)+1)/2</f>
        <v/>
      </c>
    </row>
    <row r="651">
      <c r="B651" s="27">
        <f>'1 Data'!B640</f>
        <v/>
      </c>
      <c r="C651" s="29">
        <f>IF('1 Data'!E640&lt;=1.5,IF('1 Data'!F640&lt;=1.5,IF('1 Data'!G640&lt;=0.0003,1,2),IF('1 Data'!C640&lt;=165000,3,4)),IF('1 Data'!G640&lt;=0.0652,5,IF('1 Data'!G640&lt;=0.716,6,7)))</f>
        <v/>
      </c>
      <c r="D651" s="23">
        <f>INDEX($F$12:$F$18,C651)</f>
        <v/>
      </c>
      <c r="E651" s="27">
        <f>'1 Data'!I640</f>
        <v/>
      </c>
      <c r="F651" s="30">
        <f>COUNTIF($D$23:$D$1022,"&lt;"&amp;D651)+(COUNTIF($D$23:$D$1022,"="&amp;D651)+1)/2</f>
        <v/>
      </c>
    </row>
    <row r="652">
      <c r="B652" s="27">
        <f>'1 Data'!B641</f>
        <v/>
      </c>
      <c r="C652" s="29">
        <f>IF('1 Data'!E641&lt;=1.5,IF('1 Data'!F641&lt;=1.5,IF('1 Data'!G641&lt;=0.0003,1,2),IF('1 Data'!C641&lt;=165000,3,4)),IF('1 Data'!G641&lt;=0.0652,5,IF('1 Data'!G641&lt;=0.716,6,7)))</f>
        <v/>
      </c>
      <c r="D652" s="23">
        <f>INDEX($F$12:$F$18,C652)</f>
        <v/>
      </c>
      <c r="E652" s="27">
        <f>'1 Data'!I641</f>
        <v/>
      </c>
      <c r="F652" s="30">
        <f>COUNTIF($D$23:$D$1022,"&lt;"&amp;D652)+(COUNTIF($D$23:$D$1022,"="&amp;D652)+1)/2</f>
        <v/>
      </c>
    </row>
    <row r="653">
      <c r="B653" s="27">
        <f>'1 Data'!B642</f>
        <v/>
      </c>
      <c r="C653" s="29">
        <f>IF('1 Data'!E642&lt;=1.5,IF('1 Data'!F642&lt;=1.5,IF('1 Data'!G642&lt;=0.0003,1,2),IF('1 Data'!C642&lt;=165000,3,4)),IF('1 Data'!G642&lt;=0.0652,5,IF('1 Data'!G642&lt;=0.716,6,7)))</f>
        <v/>
      </c>
      <c r="D653" s="23">
        <f>INDEX($F$12:$F$18,C653)</f>
        <v/>
      </c>
      <c r="E653" s="27">
        <f>'1 Data'!I642</f>
        <v/>
      </c>
      <c r="F653" s="30">
        <f>COUNTIF($D$23:$D$1022,"&lt;"&amp;D653)+(COUNTIF($D$23:$D$1022,"="&amp;D653)+1)/2</f>
        <v/>
      </c>
    </row>
    <row r="654">
      <c r="B654" s="27">
        <f>'1 Data'!B643</f>
        <v/>
      </c>
      <c r="C654" s="29">
        <f>IF('1 Data'!E643&lt;=1.5,IF('1 Data'!F643&lt;=1.5,IF('1 Data'!G643&lt;=0.0003,1,2),IF('1 Data'!C643&lt;=165000,3,4)),IF('1 Data'!G643&lt;=0.0652,5,IF('1 Data'!G643&lt;=0.716,6,7)))</f>
        <v/>
      </c>
      <c r="D654" s="23">
        <f>INDEX($F$12:$F$18,C654)</f>
        <v/>
      </c>
      <c r="E654" s="27">
        <f>'1 Data'!I643</f>
        <v/>
      </c>
      <c r="F654" s="30">
        <f>COUNTIF($D$23:$D$1022,"&lt;"&amp;D654)+(COUNTIF($D$23:$D$1022,"="&amp;D654)+1)/2</f>
        <v/>
      </c>
    </row>
    <row r="655">
      <c r="B655" s="27">
        <f>'1 Data'!B644</f>
        <v/>
      </c>
      <c r="C655" s="29">
        <f>IF('1 Data'!E644&lt;=1.5,IF('1 Data'!F644&lt;=1.5,IF('1 Data'!G644&lt;=0.0003,1,2),IF('1 Data'!C644&lt;=165000,3,4)),IF('1 Data'!G644&lt;=0.0652,5,IF('1 Data'!G644&lt;=0.716,6,7)))</f>
        <v/>
      </c>
      <c r="D655" s="23">
        <f>INDEX($F$12:$F$18,C655)</f>
        <v/>
      </c>
      <c r="E655" s="27">
        <f>'1 Data'!I644</f>
        <v/>
      </c>
      <c r="F655" s="30">
        <f>COUNTIF($D$23:$D$1022,"&lt;"&amp;D655)+(COUNTIF($D$23:$D$1022,"="&amp;D655)+1)/2</f>
        <v/>
      </c>
    </row>
    <row r="656">
      <c r="B656" s="27">
        <f>'1 Data'!B645</f>
        <v/>
      </c>
      <c r="C656" s="29">
        <f>IF('1 Data'!E645&lt;=1.5,IF('1 Data'!F645&lt;=1.5,IF('1 Data'!G645&lt;=0.0003,1,2),IF('1 Data'!C645&lt;=165000,3,4)),IF('1 Data'!G645&lt;=0.0652,5,IF('1 Data'!G645&lt;=0.716,6,7)))</f>
        <v/>
      </c>
      <c r="D656" s="23">
        <f>INDEX($F$12:$F$18,C656)</f>
        <v/>
      </c>
      <c r="E656" s="27">
        <f>'1 Data'!I645</f>
        <v/>
      </c>
      <c r="F656" s="30">
        <f>COUNTIF($D$23:$D$1022,"&lt;"&amp;D656)+(COUNTIF($D$23:$D$1022,"="&amp;D656)+1)/2</f>
        <v/>
      </c>
    </row>
    <row r="657">
      <c r="B657" s="27">
        <f>'1 Data'!B646</f>
        <v/>
      </c>
      <c r="C657" s="29">
        <f>IF('1 Data'!E646&lt;=1.5,IF('1 Data'!F646&lt;=1.5,IF('1 Data'!G646&lt;=0.0003,1,2),IF('1 Data'!C646&lt;=165000,3,4)),IF('1 Data'!G646&lt;=0.0652,5,IF('1 Data'!G646&lt;=0.716,6,7)))</f>
        <v/>
      </c>
      <c r="D657" s="23">
        <f>INDEX($F$12:$F$18,C657)</f>
        <v/>
      </c>
      <c r="E657" s="27">
        <f>'1 Data'!I646</f>
        <v/>
      </c>
      <c r="F657" s="30">
        <f>COUNTIF($D$23:$D$1022,"&lt;"&amp;D657)+(COUNTIF($D$23:$D$1022,"="&amp;D657)+1)/2</f>
        <v/>
      </c>
    </row>
    <row r="658">
      <c r="B658" s="27">
        <f>'1 Data'!B647</f>
        <v/>
      </c>
      <c r="C658" s="29">
        <f>IF('1 Data'!E647&lt;=1.5,IF('1 Data'!F647&lt;=1.5,IF('1 Data'!G647&lt;=0.0003,1,2),IF('1 Data'!C647&lt;=165000,3,4)),IF('1 Data'!G647&lt;=0.0652,5,IF('1 Data'!G647&lt;=0.716,6,7)))</f>
        <v/>
      </c>
      <c r="D658" s="23">
        <f>INDEX($F$12:$F$18,C658)</f>
        <v/>
      </c>
      <c r="E658" s="27">
        <f>'1 Data'!I647</f>
        <v/>
      </c>
      <c r="F658" s="30">
        <f>COUNTIF($D$23:$D$1022,"&lt;"&amp;D658)+(COUNTIF($D$23:$D$1022,"="&amp;D658)+1)/2</f>
        <v/>
      </c>
    </row>
    <row r="659">
      <c r="B659" s="27">
        <f>'1 Data'!B648</f>
        <v/>
      </c>
      <c r="C659" s="29">
        <f>IF('1 Data'!E648&lt;=1.5,IF('1 Data'!F648&lt;=1.5,IF('1 Data'!G648&lt;=0.0003,1,2),IF('1 Data'!C648&lt;=165000,3,4)),IF('1 Data'!G648&lt;=0.0652,5,IF('1 Data'!G648&lt;=0.716,6,7)))</f>
        <v/>
      </c>
      <c r="D659" s="23">
        <f>INDEX($F$12:$F$18,C659)</f>
        <v/>
      </c>
      <c r="E659" s="27">
        <f>'1 Data'!I648</f>
        <v/>
      </c>
      <c r="F659" s="30">
        <f>COUNTIF($D$23:$D$1022,"&lt;"&amp;D659)+(COUNTIF($D$23:$D$1022,"="&amp;D659)+1)/2</f>
        <v/>
      </c>
    </row>
    <row r="660">
      <c r="B660" s="27">
        <f>'1 Data'!B649</f>
        <v/>
      </c>
      <c r="C660" s="29">
        <f>IF('1 Data'!E649&lt;=1.5,IF('1 Data'!F649&lt;=1.5,IF('1 Data'!G649&lt;=0.0003,1,2),IF('1 Data'!C649&lt;=165000,3,4)),IF('1 Data'!G649&lt;=0.0652,5,IF('1 Data'!G649&lt;=0.716,6,7)))</f>
        <v/>
      </c>
      <c r="D660" s="23">
        <f>INDEX($F$12:$F$18,C660)</f>
        <v/>
      </c>
      <c r="E660" s="27">
        <f>'1 Data'!I649</f>
        <v/>
      </c>
      <c r="F660" s="30">
        <f>COUNTIF($D$23:$D$1022,"&lt;"&amp;D660)+(COUNTIF($D$23:$D$1022,"="&amp;D660)+1)/2</f>
        <v/>
      </c>
    </row>
    <row r="661">
      <c r="B661" s="27">
        <f>'1 Data'!B650</f>
        <v/>
      </c>
      <c r="C661" s="29">
        <f>IF('1 Data'!E650&lt;=1.5,IF('1 Data'!F650&lt;=1.5,IF('1 Data'!G650&lt;=0.0003,1,2),IF('1 Data'!C650&lt;=165000,3,4)),IF('1 Data'!G650&lt;=0.0652,5,IF('1 Data'!G650&lt;=0.716,6,7)))</f>
        <v/>
      </c>
      <c r="D661" s="23">
        <f>INDEX($F$12:$F$18,C661)</f>
        <v/>
      </c>
      <c r="E661" s="27">
        <f>'1 Data'!I650</f>
        <v/>
      </c>
      <c r="F661" s="30">
        <f>COUNTIF($D$23:$D$1022,"&lt;"&amp;D661)+(COUNTIF($D$23:$D$1022,"="&amp;D661)+1)/2</f>
        <v/>
      </c>
    </row>
    <row r="662">
      <c r="B662" s="27">
        <f>'1 Data'!B651</f>
        <v/>
      </c>
      <c r="C662" s="29">
        <f>IF('1 Data'!E651&lt;=1.5,IF('1 Data'!F651&lt;=1.5,IF('1 Data'!G651&lt;=0.0003,1,2),IF('1 Data'!C651&lt;=165000,3,4)),IF('1 Data'!G651&lt;=0.0652,5,IF('1 Data'!G651&lt;=0.716,6,7)))</f>
        <v/>
      </c>
      <c r="D662" s="23">
        <f>INDEX($F$12:$F$18,C662)</f>
        <v/>
      </c>
      <c r="E662" s="27">
        <f>'1 Data'!I651</f>
        <v/>
      </c>
      <c r="F662" s="30">
        <f>COUNTIF($D$23:$D$1022,"&lt;"&amp;D662)+(COUNTIF($D$23:$D$1022,"="&amp;D662)+1)/2</f>
        <v/>
      </c>
    </row>
    <row r="663">
      <c r="B663" s="27">
        <f>'1 Data'!B652</f>
        <v/>
      </c>
      <c r="C663" s="29">
        <f>IF('1 Data'!E652&lt;=1.5,IF('1 Data'!F652&lt;=1.5,IF('1 Data'!G652&lt;=0.0003,1,2),IF('1 Data'!C652&lt;=165000,3,4)),IF('1 Data'!G652&lt;=0.0652,5,IF('1 Data'!G652&lt;=0.716,6,7)))</f>
        <v/>
      </c>
      <c r="D663" s="23">
        <f>INDEX($F$12:$F$18,C663)</f>
        <v/>
      </c>
      <c r="E663" s="27">
        <f>'1 Data'!I652</f>
        <v/>
      </c>
      <c r="F663" s="30">
        <f>COUNTIF($D$23:$D$1022,"&lt;"&amp;D663)+(COUNTIF($D$23:$D$1022,"="&amp;D663)+1)/2</f>
        <v/>
      </c>
    </row>
    <row r="664">
      <c r="B664" s="27">
        <f>'1 Data'!B653</f>
        <v/>
      </c>
      <c r="C664" s="29">
        <f>IF('1 Data'!E653&lt;=1.5,IF('1 Data'!F653&lt;=1.5,IF('1 Data'!G653&lt;=0.0003,1,2),IF('1 Data'!C653&lt;=165000,3,4)),IF('1 Data'!G653&lt;=0.0652,5,IF('1 Data'!G653&lt;=0.716,6,7)))</f>
        <v/>
      </c>
      <c r="D664" s="23">
        <f>INDEX($F$12:$F$18,C664)</f>
        <v/>
      </c>
      <c r="E664" s="27">
        <f>'1 Data'!I653</f>
        <v/>
      </c>
      <c r="F664" s="30">
        <f>COUNTIF($D$23:$D$1022,"&lt;"&amp;D664)+(COUNTIF($D$23:$D$1022,"="&amp;D664)+1)/2</f>
        <v/>
      </c>
    </row>
    <row r="665">
      <c r="B665" s="27">
        <f>'1 Data'!B654</f>
        <v/>
      </c>
      <c r="C665" s="29">
        <f>IF('1 Data'!E654&lt;=1.5,IF('1 Data'!F654&lt;=1.5,IF('1 Data'!G654&lt;=0.0003,1,2),IF('1 Data'!C654&lt;=165000,3,4)),IF('1 Data'!G654&lt;=0.0652,5,IF('1 Data'!G654&lt;=0.716,6,7)))</f>
        <v/>
      </c>
      <c r="D665" s="23">
        <f>INDEX($F$12:$F$18,C665)</f>
        <v/>
      </c>
      <c r="E665" s="27">
        <f>'1 Data'!I654</f>
        <v/>
      </c>
      <c r="F665" s="30">
        <f>COUNTIF($D$23:$D$1022,"&lt;"&amp;D665)+(COUNTIF($D$23:$D$1022,"="&amp;D665)+1)/2</f>
        <v/>
      </c>
    </row>
    <row r="666">
      <c r="B666" s="27">
        <f>'1 Data'!B655</f>
        <v/>
      </c>
      <c r="C666" s="29">
        <f>IF('1 Data'!E655&lt;=1.5,IF('1 Data'!F655&lt;=1.5,IF('1 Data'!G655&lt;=0.0003,1,2),IF('1 Data'!C655&lt;=165000,3,4)),IF('1 Data'!G655&lt;=0.0652,5,IF('1 Data'!G655&lt;=0.716,6,7)))</f>
        <v/>
      </c>
      <c r="D666" s="23">
        <f>INDEX($F$12:$F$18,C666)</f>
        <v/>
      </c>
      <c r="E666" s="27">
        <f>'1 Data'!I655</f>
        <v/>
      </c>
      <c r="F666" s="30">
        <f>COUNTIF($D$23:$D$1022,"&lt;"&amp;D666)+(COUNTIF($D$23:$D$1022,"="&amp;D666)+1)/2</f>
        <v/>
      </c>
    </row>
    <row r="667">
      <c r="B667" s="27">
        <f>'1 Data'!B656</f>
        <v/>
      </c>
      <c r="C667" s="29">
        <f>IF('1 Data'!E656&lt;=1.5,IF('1 Data'!F656&lt;=1.5,IF('1 Data'!G656&lt;=0.0003,1,2),IF('1 Data'!C656&lt;=165000,3,4)),IF('1 Data'!G656&lt;=0.0652,5,IF('1 Data'!G656&lt;=0.716,6,7)))</f>
        <v/>
      </c>
      <c r="D667" s="23">
        <f>INDEX($F$12:$F$18,C667)</f>
        <v/>
      </c>
      <c r="E667" s="27">
        <f>'1 Data'!I656</f>
        <v/>
      </c>
      <c r="F667" s="30">
        <f>COUNTIF($D$23:$D$1022,"&lt;"&amp;D667)+(COUNTIF($D$23:$D$1022,"="&amp;D667)+1)/2</f>
        <v/>
      </c>
    </row>
    <row r="668">
      <c r="B668" s="27">
        <f>'1 Data'!B657</f>
        <v/>
      </c>
      <c r="C668" s="29">
        <f>IF('1 Data'!E657&lt;=1.5,IF('1 Data'!F657&lt;=1.5,IF('1 Data'!G657&lt;=0.0003,1,2),IF('1 Data'!C657&lt;=165000,3,4)),IF('1 Data'!G657&lt;=0.0652,5,IF('1 Data'!G657&lt;=0.716,6,7)))</f>
        <v/>
      </c>
      <c r="D668" s="23">
        <f>INDEX($F$12:$F$18,C668)</f>
        <v/>
      </c>
      <c r="E668" s="27">
        <f>'1 Data'!I657</f>
        <v/>
      </c>
      <c r="F668" s="30">
        <f>COUNTIF($D$23:$D$1022,"&lt;"&amp;D668)+(COUNTIF($D$23:$D$1022,"="&amp;D668)+1)/2</f>
        <v/>
      </c>
    </row>
    <row r="669">
      <c r="B669" s="27">
        <f>'1 Data'!B658</f>
        <v/>
      </c>
      <c r="C669" s="29">
        <f>IF('1 Data'!E658&lt;=1.5,IF('1 Data'!F658&lt;=1.5,IF('1 Data'!G658&lt;=0.0003,1,2),IF('1 Data'!C658&lt;=165000,3,4)),IF('1 Data'!G658&lt;=0.0652,5,IF('1 Data'!G658&lt;=0.716,6,7)))</f>
        <v/>
      </c>
      <c r="D669" s="23">
        <f>INDEX($F$12:$F$18,C669)</f>
        <v/>
      </c>
      <c r="E669" s="27">
        <f>'1 Data'!I658</f>
        <v/>
      </c>
      <c r="F669" s="30">
        <f>COUNTIF($D$23:$D$1022,"&lt;"&amp;D669)+(COUNTIF($D$23:$D$1022,"="&amp;D669)+1)/2</f>
        <v/>
      </c>
    </row>
    <row r="670">
      <c r="B670" s="27">
        <f>'1 Data'!B659</f>
        <v/>
      </c>
      <c r="C670" s="29">
        <f>IF('1 Data'!E659&lt;=1.5,IF('1 Data'!F659&lt;=1.5,IF('1 Data'!G659&lt;=0.0003,1,2),IF('1 Data'!C659&lt;=165000,3,4)),IF('1 Data'!G659&lt;=0.0652,5,IF('1 Data'!G659&lt;=0.716,6,7)))</f>
        <v/>
      </c>
      <c r="D670" s="23">
        <f>INDEX($F$12:$F$18,C670)</f>
        <v/>
      </c>
      <c r="E670" s="27">
        <f>'1 Data'!I659</f>
        <v/>
      </c>
      <c r="F670" s="30">
        <f>COUNTIF($D$23:$D$1022,"&lt;"&amp;D670)+(COUNTIF($D$23:$D$1022,"="&amp;D670)+1)/2</f>
        <v/>
      </c>
    </row>
    <row r="671">
      <c r="B671" s="27">
        <f>'1 Data'!B660</f>
        <v/>
      </c>
      <c r="C671" s="29">
        <f>IF('1 Data'!E660&lt;=1.5,IF('1 Data'!F660&lt;=1.5,IF('1 Data'!G660&lt;=0.0003,1,2),IF('1 Data'!C660&lt;=165000,3,4)),IF('1 Data'!G660&lt;=0.0652,5,IF('1 Data'!G660&lt;=0.716,6,7)))</f>
        <v/>
      </c>
      <c r="D671" s="23">
        <f>INDEX($F$12:$F$18,C671)</f>
        <v/>
      </c>
      <c r="E671" s="27">
        <f>'1 Data'!I660</f>
        <v/>
      </c>
      <c r="F671" s="30">
        <f>COUNTIF($D$23:$D$1022,"&lt;"&amp;D671)+(COUNTIF($D$23:$D$1022,"="&amp;D671)+1)/2</f>
        <v/>
      </c>
    </row>
    <row r="672">
      <c r="B672" s="27">
        <f>'1 Data'!B661</f>
        <v/>
      </c>
      <c r="C672" s="29">
        <f>IF('1 Data'!E661&lt;=1.5,IF('1 Data'!F661&lt;=1.5,IF('1 Data'!G661&lt;=0.0003,1,2),IF('1 Data'!C661&lt;=165000,3,4)),IF('1 Data'!G661&lt;=0.0652,5,IF('1 Data'!G661&lt;=0.716,6,7)))</f>
        <v/>
      </c>
      <c r="D672" s="23">
        <f>INDEX($F$12:$F$18,C672)</f>
        <v/>
      </c>
      <c r="E672" s="27">
        <f>'1 Data'!I661</f>
        <v/>
      </c>
      <c r="F672" s="30">
        <f>COUNTIF($D$23:$D$1022,"&lt;"&amp;D672)+(COUNTIF($D$23:$D$1022,"="&amp;D672)+1)/2</f>
        <v/>
      </c>
    </row>
    <row r="673">
      <c r="B673" s="27">
        <f>'1 Data'!B662</f>
        <v/>
      </c>
      <c r="C673" s="29">
        <f>IF('1 Data'!E662&lt;=1.5,IF('1 Data'!F662&lt;=1.5,IF('1 Data'!G662&lt;=0.0003,1,2),IF('1 Data'!C662&lt;=165000,3,4)),IF('1 Data'!G662&lt;=0.0652,5,IF('1 Data'!G662&lt;=0.716,6,7)))</f>
        <v/>
      </c>
      <c r="D673" s="23">
        <f>INDEX($F$12:$F$18,C673)</f>
        <v/>
      </c>
      <c r="E673" s="27">
        <f>'1 Data'!I662</f>
        <v/>
      </c>
      <c r="F673" s="30">
        <f>COUNTIF($D$23:$D$1022,"&lt;"&amp;D673)+(COUNTIF($D$23:$D$1022,"="&amp;D673)+1)/2</f>
        <v/>
      </c>
    </row>
    <row r="674">
      <c r="B674" s="27">
        <f>'1 Data'!B663</f>
        <v/>
      </c>
      <c r="C674" s="29">
        <f>IF('1 Data'!E663&lt;=1.5,IF('1 Data'!F663&lt;=1.5,IF('1 Data'!G663&lt;=0.0003,1,2),IF('1 Data'!C663&lt;=165000,3,4)),IF('1 Data'!G663&lt;=0.0652,5,IF('1 Data'!G663&lt;=0.716,6,7)))</f>
        <v/>
      </c>
      <c r="D674" s="23">
        <f>INDEX($F$12:$F$18,C674)</f>
        <v/>
      </c>
      <c r="E674" s="27">
        <f>'1 Data'!I663</f>
        <v/>
      </c>
      <c r="F674" s="30">
        <f>COUNTIF($D$23:$D$1022,"&lt;"&amp;D674)+(COUNTIF($D$23:$D$1022,"="&amp;D674)+1)/2</f>
        <v/>
      </c>
    </row>
    <row r="675">
      <c r="B675" s="27">
        <f>'1 Data'!B664</f>
        <v/>
      </c>
      <c r="C675" s="29">
        <f>IF('1 Data'!E664&lt;=1.5,IF('1 Data'!F664&lt;=1.5,IF('1 Data'!G664&lt;=0.0003,1,2),IF('1 Data'!C664&lt;=165000,3,4)),IF('1 Data'!G664&lt;=0.0652,5,IF('1 Data'!G664&lt;=0.716,6,7)))</f>
        <v/>
      </c>
      <c r="D675" s="23">
        <f>INDEX($F$12:$F$18,C675)</f>
        <v/>
      </c>
      <c r="E675" s="27">
        <f>'1 Data'!I664</f>
        <v/>
      </c>
      <c r="F675" s="30">
        <f>COUNTIF($D$23:$D$1022,"&lt;"&amp;D675)+(COUNTIF($D$23:$D$1022,"="&amp;D675)+1)/2</f>
        <v/>
      </c>
    </row>
    <row r="676">
      <c r="B676" s="27">
        <f>'1 Data'!B665</f>
        <v/>
      </c>
      <c r="C676" s="29">
        <f>IF('1 Data'!E665&lt;=1.5,IF('1 Data'!F665&lt;=1.5,IF('1 Data'!G665&lt;=0.0003,1,2),IF('1 Data'!C665&lt;=165000,3,4)),IF('1 Data'!G665&lt;=0.0652,5,IF('1 Data'!G665&lt;=0.716,6,7)))</f>
        <v/>
      </c>
      <c r="D676" s="23">
        <f>INDEX($F$12:$F$18,C676)</f>
        <v/>
      </c>
      <c r="E676" s="27">
        <f>'1 Data'!I665</f>
        <v/>
      </c>
      <c r="F676" s="30">
        <f>COUNTIF($D$23:$D$1022,"&lt;"&amp;D676)+(COUNTIF($D$23:$D$1022,"="&amp;D676)+1)/2</f>
        <v/>
      </c>
    </row>
    <row r="677">
      <c r="B677" s="27">
        <f>'1 Data'!B666</f>
        <v/>
      </c>
      <c r="C677" s="29">
        <f>IF('1 Data'!E666&lt;=1.5,IF('1 Data'!F666&lt;=1.5,IF('1 Data'!G666&lt;=0.0003,1,2),IF('1 Data'!C666&lt;=165000,3,4)),IF('1 Data'!G666&lt;=0.0652,5,IF('1 Data'!G666&lt;=0.716,6,7)))</f>
        <v/>
      </c>
      <c r="D677" s="23">
        <f>INDEX($F$12:$F$18,C677)</f>
        <v/>
      </c>
      <c r="E677" s="27">
        <f>'1 Data'!I666</f>
        <v/>
      </c>
      <c r="F677" s="30">
        <f>COUNTIF($D$23:$D$1022,"&lt;"&amp;D677)+(COUNTIF($D$23:$D$1022,"="&amp;D677)+1)/2</f>
        <v/>
      </c>
    </row>
    <row r="678">
      <c r="B678" s="27">
        <f>'1 Data'!B667</f>
        <v/>
      </c>
      <c r="C678" s="29">
        <f>IF('1 Data'!E667&lt;=1.5,IF('1 Data'!F667&lt;=1.5,IF('1 Data'!G667&lt;=0.0003,1,2),IF('1 Data'!C667&lt;=165000,3,4)),IF('1 Data'!G667&lt;=0.0652,5,IF('1 Data'!G667&lt;=0.716,6,7)))</f>
        <v/>
      </c>
      <c r="D678" s="23">
        <f>INDEX($F$12:$F$18,C678)</f>
        <v/>
      </c>
      <c r="E678" s="27">
        <f>'1 Data'!I667</f>
        <v/>
      </c>
      <c r="F678" s="30">
        <f>COUNTIF($D$23:$D$1022,"&lt;"&amp;D678)+(COUNTIF($D$23:$D$1022,"="&amp;D678)+1)/2</f>
        <v/>
      </c>
    </row>
    <row r="679">
      <c r="B679" s="27">
        <f>'1 Data'!B668</f>
        <v/>
      </c>
      <c r="C679" s="29">
        <f>IF('1 Data'!E668&lt;=1.5,IF('1 Data'!F668&lt;=1.5,IF('1 Data'!G668&lt;=0.0003,1,2),IF('1 Data'!C668&lt;=165000,3,4)),IF('1 Data'!G668&lt;=0.0652,5,IF('1 Data'!G668&lt;=0.716,6,7)))</f>
        <v/>
      </c>
      <c r="D679" s="23">
        <f>INDEX($F$12:$F$18,C679)</f>
        <v/>
      </c>
      <c r="E679" s="27">
        <f>'1 Data'!I668</f>
        <v/>
      </c>
      <c r="F679" s="30">
        <f>COUNTIF($D$23:$D$1022,"&lt;"&amp;D679)+(COUNTIF($D$23:$D$1022,"="&amp;D679)+1)/2</f>
        <v/>
      </c>
    </row>
    <row r="680">
      <c r="B680" s="27">
        <f>'1 Data'!B669</f>
        <v/>
      </c>
      <c r="C680" s="29">
        <f>IF('1 Data'!E669&lt;=1.5,IF('1 Data'!F669&lt;=1.5,IF('1 Data'!G669&lt;=0.0003,1,2),IF('1 Data'!C669&lt;=165000,3,4)),IF('1 Data'!G669&lt;=0.0652,5,IF('1 Data'!G669&lt;=0.716,6,7)))</f>
        <v/>
      </c>
      <c r="D680" s="23">
        <f>INDEX($F$12:$F$18,C680)</f>
        <v/>
      </c>
      <c r="E680" s="27">
        <f>'1 Data'!I669</f>
        <v/>
      </c>
      <c r="F680" s="30">
        <f>COUNTIF($D$23:$D$1022,"&lt;"&amp;D680)+(COUNTIF($D$23:$D$1022,"="&amp;D680)+1)/2</f>
        <v/>
      </c>
    </row>
    <row r="681">
      <c r="B681" s="27">
        <f>'1 Data'!B670</f>
        <v/>
      </c>
      <c r="C681" s="29">
        <f>IF('1 Data'!E670&lt;=1.5,IF('1 Data'!F670&lt;=1.5,IF('1 Data'!G670&lt;=0.0003,1,2),IF('1 Data'!C670&lt;=165000,3,4)),IF('1 Data'!G670&lt;=0.0652,5,IF('1 Data'!G670&lt;=0.716,6,7)))</f>
        <v/>
      </c>
      <c r="D681" s="23">
        <f>INDEX($F$12:$F$18,C681)</f>
        <v/>
      </c>
      <c r="E681" s="27">
        <f>'1 Data'!I670</f>
        <v/>
      </c>
      <c r="F681" s="30">
        <f>COUNTIF($D$23:$D$1022,"&lt;"&amp;D681)+(COUNTIF($D$23:$D$1022,"="&amp;D681)+1)/2</f>
        <v/>
      </c>
    </row>
    <row r="682">
      <c r="B682" s="27">
        <f>'1 Data'!B671</f>
        <v/>
      </c>
      <c r="C682" s="29">
        <f>IF('1 Data'!E671&lt;=1.5,IF('1 Data'!F671&lt;=1.5,IF('1 Data'!G671&lt;=0.0003,1,2),IF('1 Data'!C671&lt;=165000,3,4)),IF('1 Data'!G671&lt;=0.0652,5,IF('1 Data'!G671&lt;=0.716,6,7)))</f>
        <v/>
      </c>
      <c r="D682" s="23">
        <f>INDEX($F$12:$F$18,C682)</f>
        <v/>
      </c>
      <c r="E682" s="27">
        <f>'1 Data'!I671</f>
        <v/>
      </c>
      <c r="F682" s="30">
        <f>COUNTIF($D$23:$D$1022,"&lt;"&amp;D682)+(COUNTIF($D$23:$D$1022,"="&amp;D682)+1)/2</f>
        <v/>
      </c>
    </row>
    <row r="683">
      <c r="B683" s="27">
        <f>'1 Data'!B672</f>
        <v/>
      </c>
      <c r="C683" s="29">
        <f>IF('1 Data'!E672&lt;=1.5,IF('1 Data'!F672&lt;=1.5,IF('1 Data'!G672&lt;=0.0003,1,2),IF('1 Data'!C672&lt;=165000,3,4)),IF('1 Data'!G672&lt;=0.0652,5,IF('1 Data'!G672&lt;=0.716,6,7)))</f>
        <v/>
      </c>
      <c r="D683" s="23">
        <f>INDEX($F$12:$F$18,C683)</f>
        <v/>
      </c>
      <c r="E683" s="27">
        <f>'1 Data'!I672</f>
        <v/>
      </c>
      <c r="F683" s="30">
        <f>COUNTIF($D$23:$D$1022,"&lt;"&amp;D683)+(COUNTIF($D$23:$D$1022,"="&amp;D683)+1)/2</f>
        <v/>
      </c>
    </row>
    <row r="684">
      <c r="B684" s="27">
        <f>'1 Data'!B673</f>
        <v/>
      </c>
      <c r="C684" s="29">
        <f>IF('1 Data'!E673&lt;=1.5,IF('1 Data'!F673&lt;=1.5,IF('1 Data'!G673&lt;=0.0003,1,2),IF('1 Data'!C673&lt;=165000,3,4)),IF('1 Data'!G673&lt;=0.0652,5,IF('1 Data'!G673&lt;=0.716,6,7)))</f>
        <v/>
      </c>
      <c r="D684" s="23">
        <f>INDEX($F$12:$F$18,C684)</f>
        <v/>
      </c>
      <c r="E684" s="27">
        <f>'1 Data'!I673</f>
        <v/>
      </c>
      <c r="F684" s="30">
        <f>COUNTIF($D$23:$D$1022,"&lt;"&amp;D684)+(COUNTIF($D$23:$D$1022,"="&amp;D684)+1)/2</f>
        <v/>
      </c>
    </row>
    <row r="685">
      <c r="B685" s="27">
        <f>'1 Data'!B674</f>
        <v/>
      </c>
      <c r="C685" s="29">
        <f>IF('1 Data'!E674&lt;=1.5,IF('1 Data'!F674&lt;=1.5,IF('1 Data'!G674&lt;=0.0003,1,2),IF('1 Data'!C674&lt;=165000,3,4)),IF('1 Data'!G674&lt;=0.0652,5,IF('1 Data'!G674&lt;=0.716,6,7)))</f>
        <v/>
      </c>
      <c r="D685" s="23">
        <f>INDEX($F$12:$F$18,C685)</f>
        <v/>
      </c>
      <c r="E685" s="27">
        <f>'1 Data'!I674</f>
        <v/>
      </c>
      <c r="F685" s="30">
        <f>COUNTIF($D$23:$D$1022,"&lt;"&amp;D685)+(COUNTIF($D$23:$D$1022,"="&amp;D685)+1)/2</f>
        <v/>
      </c>
    </row>
    <row r="686">
      <c r="B686" s="27">
        <f>'1 Data'!B675</f>
        <v/>
      </c>
      <c r="C686" s="29">
        <f>IF('1 Data'!E675&lt;=1.5,IF('1 Data'!F675&lt;=1.5,IF('1 Data'!G675&lt;=0.0003,1,2),IF('1 Data'!C675&lt;=165000,3,4)),IF('1 Data'!G675&lt;=0.0652,5,IF('1 Data'!G675&lt;=0.716,6,7)))</f>
        <v/>
      </c>
      <c r="D686" s="23">
        <f>INDEX($F$12:$F$18,C686)</f>
        <v/>
      </c>
      <c r="E686" s="27">
        <f>'1 Data'!I675</f>
        <v/>
      </c>
      <c r="F686" s="30">
        <f>COUNTIF($D$23:$D$1022,"&lt;"&amp;D686)+(COUNTIF($D$23:$D$1022,"="&amp;D686)+1)/2</f>
        <v/>
      </c>
    </row>
    <row r="687">
      <c r="B687" s="27">
        <f>'1 Data'!B676</f>
        <v/>
      </c>
      <c r="C687" s="29">
        <f>IF('1 Data'!E676&lt;=1.5,IF('1 Data'!F676&lt;=1.5,IF('1 Data'!G676&lt;=0.0003,1,2),IF('1 Data'!C676&lt;=165000,3,4)),IF('1 Data'!G676&lt;=0.0652,5,IF('1 Data'!G676&lt;=0.716,6,7)))</f>
        <v/>
      </c>
      <c r="D687" s="23">
        <f>INDEX($F$12:$F$18,C687)</f>
        <v/>
      </c>
      <c r="E687" s="27">
        <f>'1 Data'!I676</f>
        <v/>
      </c>
      <c r="F687" s="30">
        <f>COUNTIF($D$23:$D$1022,"&lt;"&amp;D687)+(COUNTIF($D$23:$D$1022,"="&amp;D687)+1)/2</f>
        <v/>
      </c>
    </row>
    <row r="688">
      <c r="B688" s="27">
        <f>'1 Data'!B677</f>
        <v/>
      </c>
      <c r="C688" s="29">
        <f>IF('1 Data'!E677&lt;=1.5,IF('1 Data'!F677&lt;=1.5,IF('1 Data'!G677&lt;=0.0003,1,2),IF('1 Data'!C677&lt;=165000,3,4)),IF('1 Data'!G677&lt;=0.0652,5,IF('1 Data'!G677&lt;=0.716,6,7)))</f>
        <v/>
      </c>
      <c r="D688" s="23">
        <f>INDEX($F$12:$F$18,C688)</f>
        <v/>
      </c>
      <c r="E688" s="27">
        <f>'1 Data'!I677</f>
        <v/>
      </c>
      <c r="F688" s="30">
        <f>COUNTIF($D$23:$D$1022,"&lt;"&amp;D688)+(COUNTIF($D$23:$D$1022,"="&amp;D688)+1)/2</f>
        <v/>
      </c>
    </row>
    <row r="689">
      <c r="B689" s="27">
        <f>'1 Data'!B678</f>
        <v/>
      </c>
      <c r="C689" s="29">
        <f>IF('1 Data'!E678&lt;=1.5,IF('1 Data'!F678&lt;=1.5,IF('1 Data'!G678&lt;=0.0003,1,2),IF('1 Data'!C678&lt;=165000,3,4)),IF('1 Data'!G678&lt;=0.0652,5,IF('1 Data'!G678&lt;=0.716,6,7)))</f>
        <v/>
      </c>
      <c r="D689" s="23">
        <f>INDEX($F$12:$F$18,C689)</f>
        <v/>
      </c>
      <c r="E689" s="27">
        <f>'1 Data'!I678</f>
        <v/>
      </c>
      <c r="F689" s="30">
        <f>COUNTIF($D$23:$D$1022,"&lt;"&amp;D689)+(COUNTIF($D$23:$D$1022,"="&amp;D689)+1)/2</f>
        <v/>
      </c>
    </row>
    <row r="690">
      <c r="B690" s="27">
        <f>'1 Data'!B679</f>
        <v/>
      </c>
      <c r="C690" s="29">
        <f>IF('1 Data'!E679&lt;=1.5,IF('1 Data'!F679&lt;=1.5,IF('1 Data'!G679&lt;=0.0003,1,2),IF('1 Data'!C679&lt;=165000,3,4)),IF('1 Data'!G679&lt;=0.0652,5,IF('1 Data'!G679&lt;=0.716,6,7)))</f>
        <v/>
      </c>
      <c r="D690" s="23">
        <f>INDEX($F$12:$F$18,C690)</f>
        <v/>
      </c>
      <c r="E690" s="27">
        <f>'1 Data'!I679</f>
        <v/>
      </c>
      <c r="F690" s="30">
        <f>COUNTIF($D$23:$D$1022,"&lt;"&amp;D690)+(COUNTIF($D$23:$D$1022,"="&amp;D690)+1)/2</f>
        <v/>
      </c>
    </row>
    <row r="691">
      <c r="B691" s="27">
        <f>'1 Data'!B680</f>
        <v/>
      </c>
      <c r="C691" s="29">
        <f>IF('1 Data'!E680&lt;=1.5,IF('1 Data'!F680&lt;=1.5,IF('1 Data'!G680&lt;=0.0003,1,2),IF('1 Data'!C680&lt;=165000,3,4)),IF('1 Data'!G680&lt;=0.0652,5,IF('1 Data'!G680&lt;=0.716,6,7)))</f>
        <v/>
      </c>
      <c r="D691" s="23">
        <f>INDEX($F$12:$F$18,C691)</f>
        <v/>
      </c>
      <c r="E691" s="27">
        <f>'1 Data'!I680</f>
        <v/>
      </c>
      <c r="F691" s="30">
        <f>COUNTIF($D$23:$D$1022,"&lt;"&amp;D691)+(COUNTIF($D$23:$D$1022,"="&amp;D691)+1)/2</f>
        <v/>
      </c>
    </row>
    <row r="692">
      <c r="B692" s="27">
        <f>'1 Data'!B681</f>
        <v/>
      </c>
      <c r="C692" s="29">
        <f>IF('1 Data'!E681&lt;=1.5,IF('1 Data'!F681&lt;=1.5,IF('1 Data'!G681&lt;=0.0003,1,2),IF('1 Data'!C681&lt;=165000,3,4)),IF('1 Data'!G681&lt;=0.0652,5,IF('1 Data'!G681&lt;=0.716,6,7)))</f>
        <v/>
      </c>
      <c r="D692" s="23">
        <f>INDEX($F$12:$F$18,C692)</f>
        <v/>
      </c>
      <c r="E692" s="27">
        <f>'1 Data'!I681</f>
        <v/>
      </c>
      <c r="F692" s="30">
        <f>COUNTIF($D$23:$D$1022,"&lt;"&amp;D692)+(COUNTIF($D$23:$D$1022,"="&amp;D692)+1)/2</f>
        <v/>
      </c>
    </row>
    <row r="693">
      <c r="B693" s="27">
        <f>'1 Data'!B682</f>
        <v/>
      </c>
      <c r="C693" s="29">
        <f>IF('1 Data'!E682&lt;=1.5,IF('1 Data'!F682&lt;=1.5,IF('1 Data'!G682&lt;=0.0003,1,2),IF('1 Data'!C682&lt;=165000,3,4)),IF('1 Data'!G682&lt;=0.0652,5,IF('1 Data'!G682&lt;=0.716,6,7)))</f>
        <v/>
      </c>
      <c r="D693" s="23">
        <f>INDEX($F$12:$F$18,C693)</f>
        <v/>
      </c>
      <c r="E693" s="27">
        <f>'1 Data'!I682</f>
        <v/>
      </c>
      <c r="F693" s="30">
        <f>COUNTIF($D$23:$D$1022,"&lt;"&amp;D693)+(COUNTIF($D$23:$D$1022,"="&amp;D693)+1)/2</f>
        <v/>
      </c>
    </row>
    <row r="694">
      <c r="B694" s="27">
        <f>'1 Data'!B683</f>
        <v/>
      </c>
      <c r="C694" s="29">
        <f>IF('1 Data'!E683&lt;=1.5,IF('1 Data'!F683&lt;=1.5,IF('1 Data'!G683&lt;=0.0003,1,2),IF('1 Data'!C683&lt;=165000,3,4)),IF('1 Data'!G683&lt;=0.0652,5,IF('1 Data'!G683&lt;=0.716,6,7)))</f>
        <v/>
      </c>
      <c r="D694" s="23">
        <f>INDEX($F$12:$F$18,C694)</f>
        <v/>
      </c>
      <c r="E694" s="27">
        <f>'1 Data'!I683</f>
        <v/>
      </c>
      <c r="F694" s="30">
        <f>COUNTIF($D$23:$D$1022,"&lt;"&amp;D694)+(COUNTIF($D$23:$D$1022,"="&amp;D694)+1)/2</f>
        <v/>
      </c>
    </row>
    <row r="695">
      <c r="B695" s="27">
        <f>'1 Data'!B684</f>
        <v/>
      </c>
      <c r="C695" s="29">
        <f>IF('1 Data'!E684&lt;=1.5,IF('1 Data'!F684&lt;=1.5,IF('1 Data'!G684&lt;=0.0003,1,2),IF('1 Data'!C684&lt;=165000,3,4)),IF('1 Data'!G684&lt;=0.0652,5,IF('1 Data'!G684&lt;=0.716,6,7)))</f>
        <v/>
      </c>
      <c r="D695" s="23">
        <f>INDEX($F$12:$F$18,C695)</f>
        <v/>
      </c>
      <c r="E695" s="27">
        <f>'1 Data'!I684</f>
        <v/>
      </c>
      <c r="F695" s="30">
        <f>COUNTIF($D$23:$D$1022,"&lt;"&amp;D695)+(COUNTIF($D$23:$D$1022,"="&amp;D695)+1)/2</f>
        <v/>
      </c>
    </row>
    <row r="696">
      <c r="B696" s="27">
        <f>'1 Data'!B685</f>
        <v/>
      </c>
      <c r="C696" s="29">
        <f>IF('1 Data'!E685&lt;=1.5,IF('1 Data'!F685&lt;=1.5,IF('1 Data'!G685&lt;=0.0003,1,2),IF('1 Data'!C685&lt;=165000,3,4)),IF('1 Data'!G685&lt;=0.0652,5,IF('1 Data'!G685&lt;=0.716,6,7)))</f>
        <v/>
      </c>
      <c r="D696" s="23">
        <f>INDEX($F$12:$F$18,C696)</f>
        <v/>
      </c>
      <c r="E696" s="27">
        <f>'1 Data'!I685</f>
        <v/>
      </c>
      <c r="F696" s="30">
        <f>COUNTIF($D$23:$D$1022,"&lt;"&amp;D696)+(COUNTIF($D$23:$D$1022,"="&amp;D696)+1)/2</f>
        <v/>
      </c>
    </row>
    <row r="697">
      <c r="B697" s="27">
        <f>'1 Data'!B686</f>
        <v/>
      </c>
      <c r="C697" s="29">
        <f>IF('1 Data'!E686&lt;=1.5,IF('1 Data'!F686&lt;=1.5,IF('1 Data'!G686&lt;=0.0003,1,2),IF('1 Data'!C686&lt;=165000,3,4)),IF('1 Data'!G686&lt;=0.0652,5,IF('1 Data'!G686&lt;=0.716,6,7)))</f>
        <v/>
      </c>
      <c r="D697" s="23">
        <f>INDEX($F$12:$F$18,C697)</f>
        <v/>
      </c>
      <c r="E697" s="27">
        <f>'1 Data'!I686</f>
        <v/>
      </c>
      <c r="F697" s="30">
        <f>COUNTIF($D$23:$D$1022,"&lt;"&amp;D697)+(COUNTIF($D$23:$D$1022,"="&amp;D697)+1)/2</f>
        <v/>
      </c>
    </row>
    <row r="698">
      <c r="B698" s="27">
        <f>'1 Data'!B687</f>
        <v/>
      </c>
      <c r="C698" s="29">
        <f>IF('1 Data'!E687&lt;=1.5,IF('1 Data'!F687&lt;=1.5,IF('1 Data'!G687&lt;=0.0003,1,2),IF('1 Data'!C687&lt;=165000,3,4)),IF('1 Data'!G687&lt;=0.0652,5,IF('1 Data'!G687&lt;=0.716,6,7)))</f>
        <v/>
      </c>
      <c r="D698" s="23">
        <f>INDEX($F$12:$F$18,C698)</f>
        <v/>
      </c>
      <c r="E698" s="27">
        <f>'1 Data'!I687</f>
        <v/>
      </c>
      <c r="F698" s="30">
        <f>COUNTIF($D$23:$D$1022,"&lt;"&amp;D698)+(COUNTIF($D$23:$D$1022,"="&amp;D698)+1)/2</f>
        <v/>
      </c>
    </row>
    <row r="699">
      <c r="B699" s="27">
        <f>'1 Data'!B688</f>
        <v/>
      </c>
      <c r="C699" s="29">
        <f>IF('1 Data'!E688&lt;=1.5,IF('1 Data'!F688&lt;=1.5,IF('1 Data'!G688&lt;=0.0003,1,2),IF('1 Data'!C688&lt;=165000,3,4)),IF('1 Data'!G688&lt;=0.0652,5,IF('1 Data'!G688&lt;=0.716,6,7)))</f>
        <v/>
      </c>
      <c r="D699" s="23">
        <f>INDEX($F$12:$F$18,C699)</f>
        <v/>
      </c>
      <c r="E699" s="27">
        <f>'1 Data'!I688</f>
        <v/>
      </c>
      <c r="F699" s="30">
        <f>COUNTIF($D$23:$D$1022,"&lt;"&amp;D699)+(COUNTIF($D$23:$D$1022,"="&amp;D699)+1)/2</f>
        <v/>
      </c>
    </row>
    <row r="700">
      <c r="B700" s="27">
        <f>'1 Data'!B689</f>
        <v/>
      </c>
      <c r="C700" s="29">
        <f>IF('1 Data'!E689&lt;=1.5,IF('1 Data'!F689&lt;=1.5,IF('1 Data'!G689&lt;=0.0003,1,2),IF('1 Data'!C689&lt;=165000,3,4)),IF('1 Data'!G689&lt;=0.0652,5,IF('1 Data'!G689&lt;=0.716,6,7)))</f>
        <v/>
      </c>
      <c r="D700" s="23">
        <f>INDEX($F$12:$F$18,C700)</f>
        <v/>
      </c>
      <c r="E700" s="27">
        <f>'1 Data'!I689</f>
        <v/>
      </c>
      <c r="F700" s="30">
        <f>COUNTIF($D$23:$D$1022,"&lt;"&amp;D700)+(COUNTIF($D$23:$D$1022,"="&amp;D700)+1)/2</f>
        <v/>
      </c>
    </row>
    <row r="701">
      <c r="B701" s="27">
        <f>'1 Data'!B690</f>
        <v/>
      </c>
      <c r="C701" s="29">
        <f>IF('1 Data'!E690&lt;=1.5,IF('1 Data'!F690&lt;=1.5,IF('1 Data'!G690&lt;=0.0003,1,2),IF('1 Data'!C690&lt;=165000,3,4)),IF('1 Data'!G690&lt;=0.0652,5,IF('1 Data'!G690&lt;=0.716,6,7)))</f>
        <v/>
      </c>
      <c r="D701" s="23">
        <f>INDEX($F$12:$F$18,C701)</f>
        <v/>
      </c>
      <c r="E701" s="27">
        <f>'1 Data'!I690</f>
        <v/>
      </c>
      <c r="F701" s="30">
        <f>COUNTIF($D$23:$D$1022,"&lt;"&amp;D701)+(COUNTIF($D$23:$D$1022,"="&amp;D701)+1)/2</f>
        <v/>
      </c>
    </row>
    <row r="702">
      <c r="B702" s="27">
        <f>'1 Data'!B691</f>
        <v/>
      </c>
      <c r="C702" s="29">
        <f>IF('1 Data'!E691&lt;=1.5,IF('1 Data'!F691&lt;=1.5,IF('1 Data'!G691&lt;=0.0003,1,2),IF('1 Data'!C691&lt;=165000,3,4)),IF('1 Data'!G691&lt;=0.0652,5,IF('1 Data'!G691&lt;=0.716,6,7)))</f>
        <v/>
      </c>
      <c r="D702" s="23">
        <f>INDEX($F$12:$F$18,C702)</f>
        <v/>
      </c>
      <c r="E702" s="27">
        <f>'1 Data'!I691</f>
        <v/>
      </c>
      <c r="F702" s="30">
        <f>COUNTIF($D$23:$D$1022,"&lt;"&amp;D702)+(COUNTIF($D$23:$D$1022,"="&amp;D702)+1)/2</f>
        <v/>
      </c>
    </row>
    <row r="703">
      <c r="B703" s="27">
        <f>'1 Data'!B692</f>
        <v/>
      </c>
      <c r="C703" s="29">
        <f>IF('1 Data'!E692&lt;=1.5,IF('1 Data'!F692&lt;=1.5,IF('1 Data'!G692&lt;=0.0003,1,2),IF('1 Data'!C692&lt;=165000,3,4)),IF('1 Data'!G692&lt;=0.0652,5,IF('1 Data'!G692&lt;=0.716,6,7)))</f>
        <v/>
      </c>
      <c r="D703" s="23">
        <f>INDEX($F$12:$F$18,C703)</f>
        <v/>
      </c>
      <c r="E703" s="27">
        <f>'1 Data'!I692</f>
        <v/>
      </c>
      <c r="F703" s="30">
        <f>COUNTIF($D$23:$D$1022,"&lt;"&amp;D703)+(COUNTIF($D$23:$D$1022,"="&amp;D703)+1)/2</f>
        <v/>
      </c>
    </row>
    <row r="704">
      <c r="B704" s="27">
        <f>'1 Data'!B693</f>
        <v/>
      </c>
      <c r="C704" s="29">
        <f>IF('1 Data'!E693&lt;=1.5,IF('1 Data'!F693&lt;=1.5,IF('1 Data'!G693&lt;=0.0003,1,2),IF('1 Data'!C693&lt;=165000,3,4)),IF('1 Data'!G693&lt;=0.0652,5,IF('1 Data'!G693&lt;=0.716,6,7)))</f>
        <v/>
      </c>
      <c r="D704" s="23">
        <f>INDEX($F$12:$F$18,C704)</f>
        <v/>
      </c>
      <c r="E704" s="27">
        <f>'1 Data'!I693</f>
        <v/>
      </c>
      <c r="F704" s="30">
        <f>COUNTIF($D$23:$D$1022,"&lt;"&amp;D704)+(COUNTIF($D$23:$D$1022,"="&amp;D704)+1)/2</f>
        <v/>
      </c>
    </row>
    <row r="705">
      <c r="B705" s="27">
        <f>'1 Data'!B694</f>
        <v/>
      </c>
      <c r="C705" s="29">
        <f>IF('1 Data'!E694&lt;=1.5,IF('1 Data'!F694&lt;=1.5,IF('1 Data'!G694&lt;=0.0003,1,2),IF('1 Data'!C694&lt;=165000,3,4)),IF('1 Data'!G694&lt;=0.0652,5,IF('1 Data'!G694&lt;=0.716,6,7)))</f>
        <v/>
      </c>
      <c r="D705" s="23">
        <f>INDEX($F$12:$F$18,C705)</f>
        <v/>
      </c>
      <c r="E705" s="27">
        <f>'1 Data'!I694</f>
        <v/>
      </c>
      <c r="F705" s="30">
        <f>COUNTIF($D$23:$D$1022,"&lt;"&amp;D705)+(COUNTIF($D$23:$D$1022,"="&amp;D705)+1)/2</f>
        <v/>
      </c>
    </row>
    <row r="706">
      <c r="B706" s="27">
        <f>'1 Data'!B695</f>
        <v/>
      </c>
      <c r="C706" s="29">
        <f>IF('1 Data'!E695&lt;=1.5,IF('1 Data'!F695&lt;=1.5,IF('1 Data'!G695&lt;=0.0003,1,2),IF('1 Data'!C695&lt;=165000,3,4)),IF('1 Data'!G695&lt;=0.0652,5,IF('1 Data'!G695&lt;=0.716,6,7)))</f>
        <v/>
      </c>
      <c r="D706" s="23">
        <f>INDEX($F$12:$F$18,C706)</f>
        <v/>
      </c>
      <c r="E706" s="27">
        <f>'1 Data'!I695</f>
        <v/>
      </c>
      <c r="F706" s="30">
        <f>COUNTIF($D$23:$D$1022,"&lt;"&amp;D706)+(COUNTIF($D$23:$D$1022,"="&amp;D706)+1)/2</f>
        <v/>
      </c>
    </row>
    <row r="707">
      <c r="B707" s="27">
        <f>'1 Data'!B696</f>
        <v/>
      </c>
      <c r="C707" s="29">
        <f>IF('1 Data'!E696&lt;=1.5,IF('1 Data'!F696&lt;=1.5,IF('1 Data'!G696&lt;=0.0003,1,2),IF('1 Data'!C696&lt;=165000,3,4)),IF('1 Data'!G696&lt;=0.0652,5,IF('1 Data'!G696&lt;=0.716,6,7)))</f>
        <v/>
      </c>
      <c r="D707" s="23">
        <f>INDEX($F$12:$F$18,C707)</f>
        <v/>
      </c>
      <c r="E707" s="27">
        <f>'1 Data'!I696</f>
        <v/>
      </c>
      <c r="F707" s="30">
        <f>COUNTIF($D$23:$D$1022,"&lt;"&amp;D707)+(COUNTIF($D$23:$D$1022,"="&amp;D707)+1)/2</f>
        <v/>
      </c>
    </row>
    <row r="708">
      <c r="B708" s="27">
        <f>'1 Data'!B697</f>
        <v/>
      </c>
      <c r="C708" s="29">
        <f>IF('1 Data'!E697&lt;=1.5,IF('1 Data'!F697&lt;=1.5,IF('1 Data'!G697&lt;=0.0003,1,2),IF('1 Data'!C697&lt;=165000,3,4)),IF('1 Data'!G697&lt;=0.0652,5,IF('1 Data'!G697&lt;=0.716,6,7)))</f>
        <v/>
      </c>
      <c r="D708" s="23">
        <f>INDEX($F$12:$F$18,C708)</f>
        <v/>
      </c>
      <c r="E708" s="27">
        <f>'1 Data'!I697</f>
        <v/>
      </c>
      <c r="F708" s="30">
        <f>COUNTIF($D$23:$D$1022,"&lt;"&amp;D708)+(COUNTIF($D$23:$D$1022,"="&amp;D708)+1)/2</f>
        <v/>
      </c>
    </row>
    <row r="709">
      <c r="B709" s="27">
        <f>'1 Data'!B698</f>
        <v/>
      </c>
      <c r="C709" s="29">
        <f>IF('1 Data'!E698&lt;=1.5,IF('1 Data'!F698&lt;=1.5,IF('1 Data'!G698&lt;=0.0003,1,2),IF('1 Data'!C698&lt;=165000,3,4)),IF('1 Data'!G698&lt;=0.0652,5,IF('1 Data'!G698&lt;=0.716,6,7)))</f>
        <v/>
      </c>
      <c r="D709" s="23">
        <f>INDEX($F$12:$F$18,C709)</f>
        <v/>
      </c>
      <c r="E709" s="27">
        <f>'1 Data'!I698</f>
        <v/>
      </c>
      <c r="F709" s="30">
        <f>COUNTIF($D$23:$D$1022,"&lt;"&amp;D709)+(COUNTIF($D$23:$D$1022,"="&amp;D709)+1)/2</f>
        <v/>
      </c>
    </row>
    <row r="710">
      <c r="B710" s="27">
        <f>'1 Data'!B699</f>
        <v/>
      </c>
      <c r="C710" s="29">
        <f>IF('1 Data'!E699&lt;=1.5,IF('1 Data'!F699&lt;=1.5,IF('1 Data'!G699&lt;=0.0003,1,2),IF('1 Data'!C699&lt;=165000,3,4)),IF('1 Data'!G699&lt;=0.0652,5,IF('1 Data'!G699&lt;=0.716,6,7)))</f>
        <v/>
      </c>
      <c r="D710" s="23">
        <f>INDEX($F$12:$F$18,C710)</f>
        <v/>
      </c>
      <c r="E710" s="27">
        <f>'1 Data'!I699</f>
        <v/>
      </c>
      <c r="F710" s="30">
        <f>COUNTIF($D$23:$D$1022,"&lt;"&amp;D710)+(COUNTIF($D$23:$D$1022,"="&amp;D710)+1)/2</f>
        <v/>
      </c>
    </row>
    <row r="711">
      <c r="B711" s="27">
        <f>'1 Data'!B700</f>
        <v/>
      </c>
      <c r="C711" s="29">
        <f>IF('1 Data'!E700&lt;=1.5,IF('1 Data'!F700&lt;=1.5,IF('1 Data'!G700&lt;=0.0003,1,2),IF('1 Data'!C700&lt;=165000,3,4)),IF('1 Data'!G700&lt;=0.0652,5,IF('1 Data'!G700&lt;=0.716,6,7)))</f>
        <v/>
      </c>
      <c r="D711" s="23">
        <f>INDEX($F$12:$F$18,C711)</f>
        <v/>
      </c>
      <c r="E711" s="27">
        <f>'1 Data'!I700</f>
        <v/>
      </c>
      <c r="F711" s="30">
        <f>COUNTIF($D$23:$D$1022,"&lt;"&amp;D711)+(COUNTIF($D$23:$D$1022,"="&amp;D711)+1)/2</f>
        <v/>
      </c>
    </row>
    <row r="712">
      <c r="B712" s="27">
        <f>'1 Data'!B701</f>
        <v/>
      </c>
      <c r="C712" s="29">
        <f>IF('1 Data'!E701&lt;=1.5,IF('1 Data'!F701&lt;=1.5,IF('1 Data'!G701&lt;=0.0003,1,2),IF('1 Data'!C701&lt;=165000,3,4)),IF('1 Data'!G701&lt;=0.0652,5,IF('1 Data'!G701&lt;=0.716,6,7)))</f>
        <v/>
      </c>
      <c r="D712" s="23">
        <f>INDEX($F$12:$F$18,C712)</f>
        <v/>
      </c>
      <c r="E712" s="27">
        <f>'1 Data'!I701</f>
        <v/>
      </c>
      <c r="F712" s="30">
        <f>COUNTIF($D$23:$D$1022,"&lt;"&amp;D712)+(COUNTIF($D$23:$D$1022,"="&amp;D712)+1)/2</f>
        <v/>
      </c>
    </row>
    <row r="713">
      <c r="B713" s="27">
        <f>'1 Data'!B702</f>
        <v/>
      </c>
      <c r="C713" s="29">
        <f>IF('1 Data'!E702&lt;=1.5,IF('1 Data'!F702&lt;=1.5,IF('1 Data'!G702&lt;=0.0003,1,2),IF('1 Data'!C702&lt;=165000,3,4)),IF('1 Data'!G702&lt;=0.0652,5,IF('1 Data'!G702&lt;=0.716,6,7)))</f>
        <v/>
      </c>
      <c r="D713" s="23">
        <f>INDEX($F$12:$F$18,C713)</f>
        <v/>
      </c>
      <c r="E713" s="27">
        <f>'1 Data'!I702</f>
        <v/>
      </c>
      <c r="F713" s="30">
        <f>COUNTIF($D$23:$D$1022,"&lt;"&amp;D713)+(COUNTIF($D$23:$D$1022,"="&amp;D713)+1)/2</f>
        <v/>
      </c>
    </row>
    <row r="714">
      <c r="B714" s="27">
        <f>'1 Data'!B703</f>
        <v/>
      </c>
      <c r="C714" s="29">
        <f>IF('1 Data'!E703&lt;=1.5,IF('1 Data'!F703&lt;=1.5,IF('1 Data'!G703&lt;=0.0003,1,2),IF('1 Data'!C703&lt;=165000,3,4)),IF('1 Data'!G703&lt;=0.0652,5,IF('1 Data'!G703&lt;=0.716,6,7)))</f>
        <v/>
      </c>
      <c r="D714" s="23">
        <f>INDEX($F$12:$F$18,C714)</f>
        <v/>
      </c>
      <c r="E714" s="27">
        <f>'1 Data'!I703</f>
        <v/>
      </c>
      <c r="F714" s="30">
        <f>COUNTIF($D$23:$D$1022,"&lt;"&amp;D714)+(COUNTIF($D$23:$D$1022,"="&amp;D714)+1)/2</f>
        <v/>
      </c>
    </row>
    <row r="715">
      <c r="B715" s="27">
        <f>'1 Data'!B704</f>
        <v/>
      </c>
      <c r="C715" s="29">
        <f>IF('1 Data'!E704&lt;=1.5,IF('1 Data'!F704&lt;=1.5,IF('1 Data'!G704&lt;=0.0003,1,2),IF('1 Data'!C704&lt;=165000,3,4)),IF('1 Data'!G704&lt;=0.0652,5,IF('1 Data'!G704&lt;=0.716,6,7)))</f>
        <v/>
      </c>
      <c r="D715" s="23">
        <f>INDEX($F$12:$F$18,C715)</f>
        <v/>
      </c>
      <c r="E715" s="27">
        <f>'1 Data'!I704</f>
        <v/>
      </c>
      <c r="F715" s="30">
        <f>COUNTIF($D$23:$D$1022,"&lt;"&amp;D715)+(COUNTIF($D$23:$D$1022,"="&amp;D715)+1)/2</f>
        <v/>
      </c>
    </row>
    <row r="716">
      <c r="B716" s="27">
        <f>'1 Data'!B705</f>
        <v/>
      </c>
      <c r="C716" s="29">
        <f>IF('1 Data'!E705&lt;=1.5,IF('1 Data'!F705&lt;=1.5,IF('1 Data'!G705&lt;=0.0003,1,2),IF('1 Data'!C705&lt;=165000,3,4)),IF('1 Data'!G705&lt;=0.0652,5,IF('1 Data'!G705&lt;=0.716,6,7)))</f>
        <v/>
      </c>
      <c r="D716" s="23">
        <f>INDEX($F$12:$F$18,C716)</f>
        <v/>
      </c>
      <c r="E716" s="27">
        <f>'1 Data'!I705</f>
        <v/>
      </c>
      <c r="F716" s="30">
        <f>COUNTIF($D$23:$D$1022,"&lt;"&amp;D716)+(COUNTIF($D$23:$D$1022,"="&amp;D716)+1)/2</f>
        <v/>
      </c>
    </row>
    <row r="717">
      <c r="B717" s="27">
        <f>'1 Data'!B706</f>
        <v/>
      </c>
      <c r="C717" s="29">
        <f>IF('1 Data'!E706&lt;=1.5,IF('1 Data'!F706&lt;=1.5,IF('1 Data'!G706&lt;=0.0003,1,2),IF('1 Data'!C706&lt;=165000,3,4)),IF('1 Data'!G706&lt;=0.0652,5,IF('1 Data'!G706&lt;=0.716,6,7)))</f>
        <v/>
      </c>
      <c r="D717" s="23">
        <f>INDEX($F$12:$F$18,C717)</f>
        <v/>
      </c>
      <c r="E717" s="27">
        <f>'1 Data'!I706</f>
        <v/>
      </c>
      <c r="F717" s="30">
        <f>COUNTIF($D$23:$D$1022,"&lt;"&amp;D717)+(COUNTIF($D$23:$D$1022,"="&amp;D717)+1)/2</f>
        <v/>
      </c>
    </row>
    <row r="718">
      <c r="B718" s="27">
        <f>'1 Data'!B707</f>
        <v/>
      </c>
      <c r="C718" s="29">
        <f>IF('1 Data'!E707&lt;=1.5,IF('1 Data'!F707&lt;=1.5,IF('1 Data'!G707&lt;=0.0003,1,2),IF('1 Data'!C707&lt;=165000,3,4)),IF('1 Data'!G707&lt;=0.0652,5,IF('1 Data'!G707&lt;=0.716,6,7)))</f>
        <v/>
      </c>
      <c r="D718" s="23">
        <f>INDEX($F$12:$F$18,C718)</f>
        <v/>
      </c>
      <c r="E718" s="27">
        <f>'1 Data'!I707</f>
        <v/>
      </c>
      <c r="F718" s="30">
        <f>COUNTIF($D$23:$D$1022,"&lt;"&amp;D718)+(COUNTIF($D$23:$D$1022,"="&amp;D718)+1)/2</f>
        <v/>
      </c>
    </row>
    <row r="719">
      <c r="B719" s="27">
        <f>'1 Data'!B708</f>
        <v/>
      </c>
      <c r="C719" s="29">
        <f>IF('1 Data'!E708&lt;=1.5,IF('1 Data'!F708&lt;=1.5,IF('1 Data'!G708&lt;=0.0003,1,2),IF('1 Data'!C708&lt;=165000,3,4)),IF('1 Data'!G708&lt;=0.0652,5,IF('1 Data'!G708&lt;=0.716,6,7)))</f>
        <v/>
      </c>
      <c r="D719" s="23">
        <f>INDEX($F$12:$F$18,C719)</f>
        <v/>
      </c>
      <c r="E719" s="27">
        <f>'1 Data'!I708</f>
        <v/>
      </c>
      <c r="F719" s="30">
        <f>COUNTIF($D$23:$D$1022,"&lt;"&amp;D719)+(COUNTIF($D$23:$D$1022,"="&amp;D719)+1)/2</f>
        <v/>
      </c>
    </row>
    <row r="720">
      <c r="B720" s="27">
        <f>'1 Data'!B709</f>
        <v/>
      </c>
      <c r="C720" s="29">
        <f>IF('1 Data'!E709&lt;=1.5,IF('1 Data'!F709&lt;=1.5,IF('1 Data'!G709&lt;=0.0003,1,2),IF('1 Data'!C709&lt;=165000,3,4)),IF('1 Data'!G709&lt;=0.0652,5,IF('1 Data'!G709&lt;=0.716,6,7)))</f>
        <v/>
      </c>
      <c r="D720" s="23">
        <f>INDEX($F$12:$F$18,C720)</f>
        <v/>
      </c>
      <c r="E720" s="27">
        <f>'1 Data'!I709</f>
        <v/>
      </c>
      <c r="F720" s="30">
        <f>COUNTIF($D$23:$D$1022,"&lt;"&amp;D720)+(COUNTIF($D$23:$D$1022,"="&amp;D720)+1)/2</f>
        <v/>
      </c>
    </row>
    <row r="721">
      <c r="B721" s="27">
        <f>'1 Data'!B710</f>
        <v/>
      </c>
      <c r="C721" s="29">
        <f>IF('1 Data'!E710&lt;=1.5,IF('1 Data'!F710&lt;=1.5,IF('1 Data'!G710&lt;=0.0003,1,2),IF('1 Data'!C710&lt;=165000,3,4)),IF('1 Data'!G710&lt;=0.0652,5,IF('1 Data'!G710&lt;=0.716,6,7)))</f>
        <v/>
      </c>
      <c r="D721" s="23">
        <f>INDEX($F$12:$F$18,C721)</f>
        <v/>
      </c>
      <c r="E721" s="27">
        <f>'1 Data'!I710</f>
        <v/>
      </c>
      <c r="F721" s="30">
        <f>COUNTIF($D$23:$D$1022,"&lt;"&amp;D721)+(COUNTIF($D$23:$D$1022,"="&amp;D721)+1)/2</f>
        <v/>
      </c>
    </row>
    <row r="722">
      <c r="B722" s="27">
        <f>'1 Data'!B711</f>
        <v/>
      </c>
      <c r="C722" s="29">
        <f>IF('1 Data'!E711&lt;=1.5,IF('1 Data'!F711&lt;=1.5,IF('1 Data'!G711&lt;=0.0003,1,2),IF('1 Data'!C711&lt;=165000,3,4)),IF('1 Data'!G711&lt;=0.0652,5,IF('1 Data'!G711&lt;=0.716,6,7)))</f>
        <v/>
      </c>
      <c r="D722" s="23">
        <f>INDEX($F$12:$F$18,C722)</f>
        <v/>
      </c>
      <c r="E722" s="27">
        <f>'1 Data'!I711</f>
        <v/>
      </c>
      <c r="F722" s="30">
        <f>COUNTIF($D$23:$D$1022,"&lt;"&amp;D722)+(COUNTIF($D$23:$D$1022,"="&amp;D722)+1)/2</f>
        <v/>
      </c>
    </row>
    <row r="723">
      <c r="B723" s="27">
        <f>'1 Data'!B712</f>
        <v/>
      </c>
      <c r="C723" s="29">
        <f>IF('1 Data'!E712&lt;=1.5,IF('1 Data'!F712&lt;=1.5,IF('1 Data'!G712&lt;=0.0003,1,2),IF('1 Data'!C712&lt;=165000,3,4)),IF('1 Data'!G712&lt;=0.0652,5,IF('1 Data'!G712&lt;=0.716,6,7)))</f>
        <v/>
      </c>
      <c r="D723" s="23">
        <f>INDEX($F$12:$F$18,C723)</f>
        <v/>
      </c>
      <c r="E723" s="27">
        <f>'1 Data'!I712</f>
        <v/>
      </c>
      <c r="F723" s="30">
        <f>COUNTIF($D$23:$D$1022,"&lt;"&amp;D723)+(COUNTIF($D$23:$D$1022,"="&amp;D723)+1)/2</f>
        <v/>
      </c>
    </row>
    <row r="724">
      <c r="B724" s="27">
        <f>'1 Data'!B713</f>
        <v/>
      </c>
      <c r="C724" s="29">
        <f>IF('1 Data'!E713&lt;=1.5,IF('1 Data'!F713&lt;=1.5,IF('1 Data'!G713&lt;=0.0003,1,2),IF('1 Data'!C713&lt;=165000,3,4)),IF('1 Data'!G713&lt;=0.0652,5,IF('1 Data'!G713&lt;=0.716,6,7)))</f>
        <v/>
      </c>
      <c r="D724" s="23">
        <f>INDEX($F$12:$F$18,C724)</f>
        <v/>
      </c>
      <c r="E724" s="27">
        <f>'1 Data'!I713</f>
        <v/>
      </c>
      <c r="F724" s="30">
        <f>COUNTIF($D$23:$D$1022,"&lt;"&amp;D724)+(COUNTIF($D$23:$D$1022,"="&amp;D724)+1)/2</f>
        <v/>
      </c>
    </row>
    <row r="725">
      <c r="B725" s="27">
        <f>'1 Data'!B714</f>
        <v/>
      </c>
      <c r="C725" s="29">
        <f>IF('1 Data'!E714&lt;=1.5,IF('1 Data'!F714&lt;=1.5,IF('1 Data'!G714&lt;=0.0003,1,2),IF('1 Data'!C714&lt;=165000,3,4)),IF('1 Data'!G714&lt;=0.0652,5,IF('1 Data'!G714&lt;=0.716,6,7)))</f>
        <v/>
      </c>
      <c r="D725" s="23">
        <f>INDEX($F$12:$F$18,C725)</f>
        <v/>
      </c>
      <c r="E725" s="27">
        <f>'1 Data'!I714</f>
        <v/>
      </c>
      <c r="F725" s="30">
        <f>COUNTIF($D$23:$D$1022,"&lt;"&amp;D725)+(COUNTIF($D$23:$D$1022,"="&amp;D725)+1)/2</f>
        <v/>
      </c>
    </row>
    <row r="726">
      <c r="B726" s="27">
        <f>'1 Data'!B715</f>
        <v/>
      </c>
      <c r="C726" s="29">
        <f>IF('1 Data'!E715&lt;=1.5,IF('1 Data'!F715&lt;=1.5,IF('1 Data'!G715&lt;=0.0003,1,2),IF('1 Data'!C715&lt;=165000,3,4)),IF('1 Data'!G715&lt;=0.0652,5,IF('1 Data'!G715&lt;=0.716,6,7)))</f>
        <v/>
      </c>
      <c r="D726" s="23">
        <f>INDEX($F$12:$F$18,C726)</f>
        <v/>
      </c>
      <c r="E726" s="27">
        <f>'1 Data'!I715</f>
        <v/>
      </c>
      <c r="F726" s="30">
        <f>COUNTIF($D$23:$D$1022,"&lt;"&amp;D726)+(COUNTIF($D$23:$D$1022,"="&amp;D726)+1)/2</f>
        <v/>
      </c>
    </row>
    <row r="727">
      <c r="B727" s="27">
        <f>'1 Data'!B716</f>
        <v/>
      </c>
      <c r="C727" s="29">
        <f>IF('1 Data'!E716&lt;=1.5,IF('1 Data'!F716&lt;=1.5,IF('1 Data'!G716&lt;=0.0003,1,2),IF('1 Data'!C716&lt;=165000,3,4)),IF('1 Data'!G716&lt;=0.0652,5,IF('1 Data'!G716&lt;=0.716,6,7)))</f>
        <v/>
      </c>
      <c r="D727" s="23">
        <f>INDEX($F$12:$F$18,C727)</f>
        <v/>
      </c>
      <c r="E727" s="27">
        <f>'1 Data'!I716</f>
        <v/>
      </c>
      <c r="F727" s="30">
        <f>COUNTIF($D$23:$D$1022,"&lt;"&amp;D727)+(COUNTIF($D$23:$D$1022,"="&amp;D727)+1)/2</f>
        <v/>
      </c>
    </row>
    <row r="728">
      <c r="B728" s="27">
        <f>'1 Data'!B717</f>
        <v/>
      </c>
      <c r="C728" s="29">
        <f>IF('1 Data'!E717&lt;=1.5,IF('1 Data'!F717&lt;=1.5,IF('1 Data'!G717&lt;=0.0003,1,2),IF('1 Data'!C717&lt;=165000,3,4)),IF('1 Data'!G717&lt;=0.0652,5,IF('1 Data'!G717&lt;=0.716,6,7)))</f>
        <v/>
      </c>
      <c r="D728" s="23">
        <f>INDEX($F$12:$F$18,C728)</f>
        <v/>
      </c>
      <c r="E728" s="27">
        <f>'1 Data'!I717</f>
        <v/>
      </c>
      <c r="F728" s="30">
        <f>COUNTIF($D$23:$D$1022,"&lt;"&amp;D728)+(COUNTIF($D$23:$D$1022,"="&amp;D728)+1)/2</f>
        <v/>
      </c>
    </row>
    <row r="729">
      <c r="B729" s="27">
        <f>'1 Data'!B718</f>
        <v/>
      </c>
      <c r="C729" s="29">
        <f>IF('1 Data'!E718&lt;=1.5,IF('1 Data'!F718&lt;=1.5,IF('1 Data'!G718&lt;=0.0003,1,2),IF('1 Data'!C718&lt;=165000,3,4)),IF('1 Data'!G718&lt;=0.0652,5,IF('1 Data'!G718&lt;=0.716,6,7)))</f>
        <v/>
      </c>
      <c r="D729" s="23">
        <f>INDEX($F$12:$F$18,C729)</f>
        <v/>
      </c>
      <c r="E729" s="27">
        <f>'1 Data'!I718</f>
        <v/>
      </c>
      <c r="F729" s="30">
        <f>COUNTIF($D$23:$D$1022,"&lt;"&amp;D729)+(COUNTIF($D$23:$D$1022,"="&amp;D729)+1)/2</f>
        <v/>
      </c>
    </row>
    <row r="730">
      <c r="B730" s="27">
        <f>'1 Data'!B719</f>
        <v/>
      </c>
      <c r="C730" s="29">
        <f>IF('1 Data'!E719&lt;=1.5,IF('1 Data'!F719&lt;=1.5,IF('1 Data'!G719&lt;=0.0003,1,2),IF('1 Data'!C719&lt;=165000,3,4)),IF('1 Data'!G719&lt;=0.0652,5,IF('1 Data'!G719&lt;=0.716,6,7)))</f>
        <v/>
      </c>
      <c r="D730" s="23">
        <f>INDEX($F$12:$F$18,C730)</f>
        <v/>
      </c>
      <c r="E730" s="27">
        <f>'1 Data'!I719</f>
        <v/>
      </c>
      <c r="F730" s="30">
        <f>COUNTIF($D$23:$D$1022,"&lt;"&amp;D730)+(COUNTIF($D$23:$D$1022,"="&amp;D730)+1)/2</f>
        <v/>
      </c>
    </row>
    <row r="731">
      <c r="B731" s="27">
        <f>'1 Data'!B720</f>
        <v/>
      </c>
      <c r="C731" s="29">
        <f>IF('1 Data'!E720&lt;=1.5,IF('1 Data'!F720&lt;=1.5,IF('1 Data'!G720&lt;=0.0003,1,2),IF('1 Data'!C720&lt;=165000,3,4)),IF('1 Data'!G720&lt;=0.0652,5,IF('1 Data'!G720&lt;=0.716,6,7)))</f>
        <v/>
      </c>
      <c r="D731" s="23">
        <f>INDEX($F$12:$F$18,C731)</f>
        <v/>
      </c>
      <c r="E731" s="27">
        <f>'1 Data'!I720</f>
        <v/>
      </c>
      <c r="F731" s="30">
        <f>COUNTIF($D$23:$D$1022,"&lt;"&amp;D731)+(COUNTIF($D$23:$D$1022,"="&amp;D731)+1)/2</f>
        <v/>
      </c>
    </row>
    <row r="732">
      <c r="B732" s="27">
        <f>'1 Data'!B721</f>
        <v/>
      </c>
      <c r="C732" s="29">
        <f>IF('1 Data'!E721&lt;=1.5,IF('1 Data'!F721&lt;=1.5,IF('1 Data'!G721&lt;=0.0003,1,2),IF('1 Data'!C721&lt;=165000,3,4)),IF('1 Data'!G721&lt;=0.0652,5,IF('1 Data'!G721&lt;=0.716,6,7)))</f>
        <v/>
      </c>
      <c r="D732" s="23">
        <f>INDEX($F$12:$F$18,C732)</f>
        <v/>
      </c>
      <c r="E732" s="27">
        <f>'1 Data'!I721</f>
        <v/>
      </c>
      <c r="F732" s="30">
        <f>COUNTIF($D$23:$D$1022,"&lt;"&amp;D732)+(COUNTIF($D$23:$D$1022,"="&amp;D732)+1)/2</f>
        <v/>
      </c>
    </row>
    <row r="733">
      <c r="B733" s="27">
        <f>'1 Data'!B722</f>
        <v/>
      </c>
      <c r="C733" s="29">
        <f>IF('1 Data'!E722&lt;=1.5,IF('1 Data'!F722&lt;=1.5,IF('1 Data'!G722&lt;=0.0003,1,2),IF('1 Data'!C722&lt;=165000,3,4)),IF('1 Data'!G722&lt;=0.0652,5,IF('1 Data'!G722&lt;=0.716,6,7)))</f>
        <v/>
      </c>
      <c r="D733" s="23">
        <f>INDEX($F$12:$F$18,C733)</f>
        <v/>
      </c>
      <c r="E733" s="27">
        <f>'1 Data'!I722</f>
        <v/>
      </c>
      <c r="F733" s="30">
        <f>COUNTIF($D$23:$D$1022,"&lt;"&amp;D733)+(COUNTIF($D$23:$D$1022,"="&amp;D733)+1)/2</f>
        <v/>
      </c>
    </row>
    <row r="734">
      <c r="B734" s="27">
        <f>'1 Data'!B723</f>
        <v/>
      </c>
      <c r="C734" s="29">
        <f>IF('1 Data'!E723&lt;=1.5,IF('1 Data'!F723&lt;=1.5,IF('1 Data'!G723&lt;=0.0003,1,2),IF('1 Data'!C723&lt;=165000,3,4)),IF('1 Data'!G723&lt;=0.0652,5,IF('1 Data'!G723&lt;=0.716,6,7)))</f>
        <v/>
      </c>
      <c r="D734" s="23">
        <f>INDEX($F$12:$F$18,C734)</f>
        <v/>
      </c>
      <c r="E734" s="27">
        <f>'1 Data'!I723</f>
        <v/>
      </c>
      <c r="F734" s="30">
        <f>COUNTIF($D$23:$D$1022,"&lt;"&amp;D734)+(COUNTIF($D$23:$D$1022,"="&amp;D734)+1)/2</f>
        <v/>
      </c>
    </row>
    <row r="735">
      <c r="B735" s="27">
        <f>'1 Data'!B724</f>
        <v/>
      </c>
      <c r="C735" s="29">
        <f>IF('1 Data'!E724&lt;=1.5,IF('1 Data'!F724&lt;=1.5,IF('1 Data'!G724&lt;=0.0003,1,2),IF('1 Data'!C724&lt;=165000,3,4)),IF('1 Data'!G724&lt;=0.0652,5,IF('1 Data'!G724&lt;=0.716,6,7)))</f>
        <v/>
      </c>
      <c r="D735" s="23">
        <f>INDEX($F$12:$F$18,C735)</f>
        <v/>
      </c>
      <c r="E735" s="27">
        <f>'1 Data'!I724</f>
        <v/>
      </c>
      <c r="F735" s="30">
        <f>COUNTIF($D$23:$D$1022,"&lt;"&amp;D735)+(COUNTIF($D$23:$D$1022,"="&amp;D735)+1)/2</f>
        <v/>
      </c>
    </row>
    <row r="736">
      <c r="B736" s="27">
        <f>'1 Data'!B725</f>
        <v/>
      </c>
      <c r="C736" s="29">
        <f>IF('1 Data'!E725&lt;=1.5,IF('1 Data'!F725&lt;=1.5,IF('1 Data'!G725&lt;=0.0003,1,2),IF('1 Data'!C725&lt;=165000,3,4)),IF('1 Data'!G725&lt;=0.0652,5,IF('1 Data'!G725&lt;=0.716,6,7)))</f>
        <v/>
      </c>
      <c r="D736" s="23">
        <f>INDEX($F$12:$F$18,C736)</f>
        <v/>
      </c>
      <c r="E736" s="27">
        <f>'1 Data'!I725</f>
        <v/>
      </c>
      <c r="F736" s="30">
        <f>COUNTIF($D$23:$D$1022,"&lt;"&amp;D736)+(COUNTIF($D$23:$D$1022,"="&amp;D736)+1)/2</f>
        <v/>
      </c>
    </row>
    <row r="737">
      <c r="B737" s="27">
        <f>'1 Data'!B726</f>
        <v/>
      </c>
      <c r="C737" s="29">
        <f>IF('1 Data'!E726&lt;=1.5,IF('1 Data'!F726&lt;=1.5,IF('1 Data'!G726&lt;=0.0003,1,2),IF('1 Data'!C726&lt;=165000,3,4)),IF('1 Data'!G726&lt;=0.0652,5,IF('1 Data'!G726&lt;=0.716,6,7)))</f>
        <v/>
      </c>
      <c r="D737" s="23">
        <f>INDEX($F$12:$F$18,C737)</f>
        <v/>
      </c>
      <c r="E737" s="27">
        <f>'1 Data'!I726</f>
        <v/>
      </c>
      <c r="F737" s="30">
        <f>COUNTIF($D$23:$D$1022,"&lt;"&amp;D737)+(COUNTIF($D$23:$D$1022,"="&amp;D737)+1)/2</f>
        <v/>
      </c>
    </row>
    <row r="738">
      <c r="B738" s="27">
        <f>'1 Data'!B727</f>
        <v/>
      </c>
      <c r="C738" s="29">
        <f>IF('1 Data'!E727&lt;=1.5,IF('1 Data'!F727&lt;=1.5,IF('1 Data'!G727&lt;=0.0003,1,2),IF('1 Data'!C727&lt;=165000,3,4)),IF('1 Data'!G727&lt;=0.0652,5,IF('1 Data'!G727&lt;=0.716,6,7)))</f>
        <v/>
      </c>
      <c r="D738" s="23">
        <f>INDEX($F$12:$F$18,C738)</f>
        <v/>
      </c>
      <c r="E738" s="27">
        <f>'1 Data'!I727</f>
        <v/>
      </c>
      <c r="F738" s="30">
        <f>COUNTIF($D$23:$D$1022,"&lt;"&amp;D738)+(COUNTIF($D$23:$D$1022,"="&amp;D738)+1)/2</f>
        <v/>
      </c>
    </row>
    <row r="739">
      <c r="B739" s="27">
        <f>'1 Data'!B728</f>
        <v/>
      </c>
      <c r="C739" s="29">
        <f>IF('1 Data'!E728&lt;=1.5,IF('1 Data'!F728&lt;=1.5,IF('1 Data'!G728&lt;=0.0003,1,2),IF('1 Data'!C728&lt;=165000,3,4)),IF('1 Data'!G728&lt;=0.0652,5,IF('1 Data'!G728&lt;=0.716,6,7)))</f>
        <v/>
      </c>
      <c r="D739" s="23">
        <f>INDEX($F$12:$F$18,C739)</f>
        <v/>
      </c>
      <c r="E739" s="27">
        <f>'1 Data'!I728</f>
        <v/>
      </c>
      <c r="F739" s="30">
        <f>COUNTIF($D$23:$D$1022,"&lt;"&amp;D739)+(COUNTIF($D$23:$D$1022,"="&amp;D739)+1)/2</f>
        <v/>
      </c>
    </row>
    <row r="740">
      <c r="B740" s="27">
        <f>'1 Data'!B729</f>
        <v/>
      </c>
      <c r="C740" s="29">
        <f>IF('1 Data'!E729&lt;=1.5,IF('1 Data'!F729&lt;=1.5,IF('1 Data'!G729&lt;=0.0003,1,2),IF('1 Data'!C729&lt;=165000,3,4)),IF('1 Data'!G729&lt;=0.0652,5,IF('1 Data'!G729&lt;=0.716,6,7)))</f>
        <v/>
      </c>
      <c r="D740" s="23">
        <f>INDEX($F$12:$F$18,C740)</f>
        <v/>
      </c>
      <c r="E740" s="27">
        <f>'1 Data'!I729</f>
        <v/>
      </c>
      <c r="F740" s="30">
        <f>COUNTIF($D$23:$D$1022,"&lt;"&amp;D740)+(COUNTIF($D$23:$D$1022,"="&amp;D740)+1)/2</f>
        <v/>
      </c>
    </row>
    <row r="741">
      <c r="B741" s="27">
        <f>'1 Data'!B730</f>
        <v/>
      </c>
      <c r="C741" s="29">
        <f>IF('1 Data'!E730&lt;=1.5,IF('1 Data'!F730&lt;=1.5,IF('1 Data'!G730&lt;=0.0003,1,2),IF('1 Data'!C730&lt;=165000,3,4)),IF('1 Data'!G730&lt;=0.0652,5,IF('1 Data'!G730&lt;=0.716,6,7)))</f>
        <v/>
      </c>
      <c r="D741" s="23">
        <f>INDEX($F$12:$F$18,C741)</f>
        <v/>
      </c>
      <c r="E741" s="27">
        <f>'1 Data'!I730</f>
        <v/>
      </c>
      <c r="F741" s="30">
        <f>COUNTIF($D$23:$D$1022,"&lt;"&amp;D741)+(COUNTIF($D$23:$D$1022,"="&amp;D741)+1)/2</f>
        <v/>
      </c>
    </row>
    <row r="742">
      <c r="B742" s="27">
        <f>'1 Data'!B731</f>
        <v/>
      </c>
      <c r="C742" s="29">
        <f>IF('1 Data'!E731&lt;=1.5,IF('1 Data'!F731&lt;=1.5,IF('1 Data'!G731&lt;=0.0003,1,2),IF('1 Data'!C731&lt;=165000,3,4)),IF('1 Data'!G731&lt;=0.0652,5,IF('1 Data'!G731&lt;=0.716,6,7)))</f>
        <v/>
      </c>
      <c r="D742" s="23">
        <f>INDEX($F$12:$F$18,C742)</f>
        <v/>
      </c>
      <c r="E742" s="27">
        <f>'1 Data'!I731</f>
        <v/>
      </c>
      <c r="F742" s="30">
        <f>COUNTIF($D$23:$D$1022,"&lt;"&amp;D742)+(COUNTIF($D$23:$D$1022,"="&amp;D742)+1)/2</f>
        <v/>
      </c>
    </row>
    <row r="743">
      <c r="B743" s="27">
        <f>'1 Data'!B732</f>
        <v/>
      </c>
      <c r="C743" s="29">
        <f>IF('1 Data'!E732&lt;=1.5,IF('1 Data'!F732&lt;=1.5,IF('1 Data'!G732&lt;=0.0003,1,2),IF('1 Data'!C732&lt;=165000,3,4)),IF('1 Data'!G732&lt;=0.0652,5,IF('1 Data'!G732&lt;=0.716,6,7)))</f>
        <v/>
      </c>
      <c r="D743" s="23">
        <f>INDEX($F$12:$F$18,C743)</f>
        <v/>
      </c>
      <c r="E743" s="27">
        <f>'1 Data'!I732</f>
        <v/>
      </c>
      <c r="F743" s="30">
        <f>COUNTIF($D$23:$D$1022,"&lt;"&amp;D743)+(COUNTIF($D$23:$D$1022,"="&amp;D743)+1)/2</f>
        <v/>
      </c>
    </row>
    <row r="744">
      <c r="B744" s="27">
        <f>'1 Data'!B733</f>
        <v/>
      </c>
      <c r="C744" s="29">
        <f>IF('1 Data'!E733&lt;=1.5,IF('1 Data'!F733&lt;=1.5,IF('1 Data'!G733&lt;=0.0003,1,2),IF('1 Data'!C733&lt;=165000,3,4)),IF('1 Data'!G733&lt;=0.0652,5,IF('1 Data'!G733&lt;=0.716,6,7)))</f>
        <v/>
      </c>
      <c r="D744" s="23">
        <f>INDEX($F$12:$F$18,C744)</f>
        <v/>
      </c>
      <c r="E744" s="27">
        <f>'1 Data'!I733</f>
        <v/>
      </c>
      <c r="F744" s="30">
        <f>COUNTIF($D$23:$D$1022,"&lt;"&amp;D744)+(COUNTIF($D$23:$D$1022,"="&amp;D744)+1)/2</f>
        <v/>
      </c>
    </row>
    <row r="745">
      <c r="B745" s="27">
        <f>'1 Data'!B734</f>
        <v/>
      </c>
      <c r="C745" s="29">
        <f>IF('1 Data'!E734&lt;=1.5,IF('1 Data'!F734&lt;=1.5,IF('1 Data'!G734&lt;=0.0003,1,2),IF('1 Data'!C734&lt;=165000,3,4)),IF('1 Data'!G734&lt;=0.0652,5,IF('1 Data'!G734&lt;=0.716,6,7)))</f>
        <v/>
      </c>
      <c r="D745" s="23">
        <f>INDEX($F$12:$F$18,C745)</f>
        <v/>
      </c>
      <c r="E745" s="27">
        <f>'1 Data'!I734</f>
        <v/>
      </c>
      <c r="F745" s="30">
        <f>COUNTIF($D$23:$D$1022,"&lt;"&amp;D745)+(COUNTIF($D$23:$D$1022,"="&amp;D745)+1)/2</f>
        <v/>
      </c>
    </row>
    <row r="746">
      <c r="B746" s="27">
        <f>'1 Data'!B735</f>
        <v/>
      </c>
      <c r="C746" s="29">
        <f>IF('1 Data'!E735&lt;=1.5,IF('1 Data'!F735&lt;=1.5,IF('1 Data'!G735&lt;=0.0003,1,2),IF('1 Data'!C735&lt;=165000,3,4)),IF('1 Data'!G735&lt;=0.0652,5,IF('1 Data'!G735&lt;=0.716,6,7)))</f>
        <v/>
      </c>
      <c r="D746" s="23">
        <f>INDEX($F$12:$F$18,C746)</f>
        <v/>
      </c>
      <c r="E746" s="27">
        <f>'1 Data'!I735</f>
        <v/>
      </c>
      <c r="F746" s="30">
        <f>COUNTIF($D$23:$D$1022,"&lt;"&amp;D746)+(COUNTIF($D$23:$D$1022,"="&amp;D746)+1)/2</f>
        <v/>
      </c>
    </row>
    <row r="747">
      <c r="B747" s="27">
        <f>'1 Data'!B736</f>
        <v/>
      </c>
      <c r="C747" s="29">
        <f>IF('1 Data'!E736&lt;=1.5,IF('1 Data'!F736&lt;=1.5,IF('1 Data'!G736&lt;=0.0003,1,2),IF('1 Data'!C736&lt;=165000,3,4)),IF('1 Data'!G736&lt;=0.0652,5,IF('1 Data'!G736&lt;=0.716,6,7)))</f>
        <v/>
      </c>
      <c r="D747" s="23">
        <f>INDEX($F$12:$F$18,C747)</f>
        <v/>
      </c>
      <c r="E747" s="27">
        <f>'1 Data'!I736</f>
        <v/>
      </c>
      <c r="F747" s="30">
        <f>COUNTIF($D$23:$D$1022,"&lt;"&amp;D747)+(COUNTIF($D$23:$D$1022,"="&amp;D747)+1)/2</f>
        <v/>
      </c>
    </row>
    <row r="748">
      <c r="B748" s="27">
        <f>'1 Data'!B737</f>
        <v/>
      </c>
      <c r="C748" s="29">
        <f>IF('1 Data'!E737&lt;=1.5,IF('1 Data'!F737&lt;=1.5,IF('1 Data'!G737&lt;=0.0003,1,2),IF('1 Data'!C737&lt;=165000,3,4)),IF('1 Data'!G737&lt;=0.0652,5,IF('1 Data'!G737&lt;=0.716,6,7)))</f>
        <v/>
      </c>
      <c r="D748" s="23">
        <f>INDEX($F$12:$F$18,C748)</f>
        <v/>
      </c>
      <c r="E748" s="27">
        <f>'1 Data'!I737</f>
        <v/>
      </c>
      <c r="F748" s="30">
        <f>COUNTIF($D$23:$D$1022,"&lt;"&amp;D748)+(COUNTIF($D$23:$D$1022,"="&amp;D748)+1)/2</f>
        <v/>
      </c>
    </row>
    <row r="749">
      <c r="B749" s="27">
        <f>'1 Data'!B738</f>
        <v/>
      </c>
      <c r="C749" s="29">
        <f>IF('1 Data'!E738&lt;=1.5,IF('1 Data'!F738&lt;=1.5,IF('1 Data'!G738&lt;=0.0003,1,2),IF('1 Data'!C738&lt;=165000,3,4)),IF('1 Data'!G738&lt;=0.0652,5,IF('1 Data'!G738&lt;=0.716,6,7)))</f>
        <v/>
      </c>
      <c r="D749" s="23">
        <f>INDEX($F$12:$F$18,C749)</f>
        <v/>
      </c>
      <c r="E749" s="27">
        <f>'1 Data'!I738</f>
        <v/>
      </c>
      <c r="F749" s="30">
        <f>COUNTIF($D$23:$D$1022,"&lt;"&amp;D749)+(COUNTIF($D$23:$D$1022,"="&amp;D749)+1)/2</f>
        <v/>
      </c>
    </row>
    <row r="750">
      <c r="B750" s="27">
        <f>'1 Data'!B739</f>
        <v/>
      </c>
      <c r="C750" s="29">
        <f>IF('1 Data'!E739&lt;=1.5,IF('1 Data'!F739&lt;=1.5,IF('1 Data'!G739&lt;=0.0003,1,2),IF('1 Data'!C739&lt;=165000,3,4)),IF('1 Data'!G739&lt;=0.0652,5,IF('1 Data'!G739&lt;=0.716,6,7)))</f>
        <v/>
      </c>
      <c r="D750" s="23">
        <f>INDEX($F$12:$F$18,C750)</f>
        <v/>
      </c>
      <c r="E750" s="27">
        <f>'1 Data'!I739</f>
        <v/>
      </c>
      <c r="F750" s="30">
        <f>COUNTIF($D$23:$D$1022,"&lt;"&amp;D750)+(COUNTIF($D$23:$D$1022,"="&amp;D750)+1)/2</f>
        <v/>
      </c>
    </row>
    <row r="751">
      <c r="B751" s="27">
        <f>'1 Data'!B740</f>
        <v/>
      </c>
      <c r="C751" s="29">
        <f>IF('1 Data'!E740&lt;=1.5,IF('1 Data'!F740&lt;=1.5,IF('1 Data'!G740&lt;=0.0003,1,2),IF('1 Data'!C740&lt;=165000,3,4)),IF('1 Data'!G740&lt;=0.0652,5,IF('1 Data'!G740&lt;=0.716,6,7)))</f>
        <v/>
      </c>
      <c r="D751" s="23">
        <f>INDEX($F$12:$F$18,C751)</f>
        <v/>
      </c>
      <c r="E751" s="27">
        <f>'1 Data'!I740</f>
        <v/>
      </c>
      <c r="F751" s="30">
        <f>COUNTIF($D$23:$D$1022,"&lt;"&amp;D751)+(COUNTIF($D$23:$D$1022,"="&amp;D751)+1)/2</f>
        <v/>
      </c>
    </row>
    <row r="752">
      <c r="B752" s="27">
        <f>'1 Data'!B741</f>
        <v/>
      </c>
      <c r="C752" s="29">
        <f>IF('1 Data'!E741&lt;=1.5,IF('1 Data'!F741&lt;=1.5,IF('1 Data'!G741&lt;=0.0003,1,2),IF('1 Data'!C741&lt;=165000,3,4)),IF('1 Data'!G741&lt;=0.0652,5,IF('1 Data'!G741&lt;=0.716,6,7)))</f>
        <v/>
      </c>
      <c r="D752" s="23">
        <f>INDEX($F$12:$F$18,C752)</f>
        <v/>
      </c>
      <c r="E752" s="27">
        <f>'1 Data'!I741</f>
        <v/>
      </c>
      <c r="F752" s="30">
        <f>COUNTIF($D$23:$D$1022,"&lt;"&amp;D752)+(COUNTIF($D$23:$D$1022,"="&amp;D752)+1)/2</f>
        <v/>
      </c>
    </row>
    <row r="753">
      <c r="B753" s="27">
        <f>'1 Data'!B742</f>
        <v/>
      </c>
      <c r="C753" s="29">
        <f>IF('1 Data'!E742&lt;=1.5,IF('1 Data'!F742&lt;=1.5,IF('1 Data'!G742&lt;=0.0003,1,2),IF('1 Data'!C742&lt;=165000,3,4)),IF('1 Data'!G742&lt;=0.0652,5,IF('1 Data'!G742&lt;=0.716,6,7)))</f>
        <v/>
      </c>
      <c r="D753" s="23">
        <f>INDEX($F$12:$F$18,C753)</f>
        <v/>
      </c>
      <c r="E753" s="27">
        <f>'1 Data'!I742</f>
        <v/>
      </c>
      <c r="F753" s="30">
        <f>COUNTIF($D$23:$D$1022,"&lt;"&amp;D753)+(COUNTIF($D$23:$D$1022,"="&amp;D753)+1)/2</f>
        <v/>
      </c>
    </row>
    <row r="754">
      <c r="B754" s="27">
        <f>'1 Data'!B743</f>
        <v/>
      </c>
      <c r="C754" s="29">
        <f>IF('1 Data'!E743&lt;=1.5,IF('1 Data'!F743&lt;=1.5,IF('1 Data'!G743&lt;=0.0003,1,2),IF('1 Data'!C743&lt;=165000,3,4)),IF('1 Data'!G743&lt;=0.0652,5,IF('1 Data'!G743&lt;=0.716,6,7)))</f>
        <v/>
      </c>
      <c r="D754" s="23">
        <f>INDEX($F$12:$F$18,C754)</f>
        <v/>
      </c>
      <c r="E754" s="27">
        <f>'1 Data'!I743</f>
        <v/>
      </c>
      <c r="F754" s="30">
        <f>COUNTIF($D$23:$D$1022,"&lt;"&amp;D754)+(COUNTIF($D$23:$D$1022,"="&amp;D754)+1)/2</f>
        <v/>
      </c>
    </row>
    <row r="755">
      <c r="B755" s="27">
        <f>'1 Data'!B744</f>
        <v/>
      </c>
      <c r="C755" s="29">
        <f>IF('1 Data'!E744&lt;=1.5,IF('1 Data'!F744&lt;=1.5,IF('1 Data'!G744&lt;=0.0003,1,2),IF('1 Data'!C744&lt;=165000,3,4)),IF('1 Data'!G744&lt;=0.0652,5,IF('1 Data'!G744&lt;=0.716,6,7)))</f>
        <v/>
      </c>
      <c r="D755" s="23">
        <f>INDEX($F$12:$F$18,C755)</f>
        <v/>
      </c>
      <c r="E755" s="27">
        <f>'1 Data'!I744</f>
        <v/>
      </c>
      <c r="F755" s="30">
        <f>COUNTIF($D$23:$D$1022,"&lt;"&amp;D755)+(COUNTIF($D$23:$D$1022,"="&amp;D755)+1)/2</f>
        <v/>
      </c>
    </row>
    <row r="756">
      <c r="B756" s="27">
        <f>'1 Data'!B745</f>
        <v/>
      </c>
      <c r="C756" s="29">
        <f>IF('1 Data'!E745&lt;=1.5,IF('1 Data'!F745&lt;=1.5,IF('1 Data'!G745&lt;=0.0003,1,2),IF('1 Data'!C745&lt;=165000,3,4)),IF('1 Data'!G745&lt;=0.0652,5,IF('1 Data'!G745&lt;=0.716,6,7)))</f>
        <v/>
      </c>
      <c r="D756" s="23">
        <f>INDEX($F$12:$F$18,C756)</f>
        <v/>
      </c>
      <c r="E756" s="27">
        <f>'1 Data'!I745</f>
        <v/>
      </c>
      <c r="F756" s="30">
        <f>COUNTIF($D$23:$D$1022,"&lt;"&amp;D756)+(COUNTIF($D$23:$D$1022,"="&amp;D756)+1)/2</f>
        <v/>
      </c>
    </row>
    <row r="757">
      <c r="B757" s="27">
        <f>'1 Data'!B746</f>
        <v/>
      </c>
      <c r="C757" s="29">
        <f>IF('1 Data'!E746&lt;=1.5,IF('1 Data'!F746&lt;=1.5,IF('1 Data'!G746&lt;=0.0003,1,2),IF('1 Data'!C746&lt;=165000,3,4)),IF('1 Data'!G746&lt;=0.0652,5,IF('1 Data'!G746&lt;=0.716,6,7)))</f>
        <v/>
      </c>
      <c r="D757" s="23">
        <f>INDEX($F$12:$F$18,C757)</f>
        <v/>
      </c>
      <c r="E757" s="27">
        <f>'1 Data'!I746</f>
        <v/>
      </c>
      <c r="F757" s="30">
        <f>COUNTIF($D$23:$D$1022,"&lt;"&amp;D757)+(COUNTIF($D$23:$D$1022,"="&amp;D757)+1)/2</f>
        <v/>
      </c>
    </row>
    <row r="758">
      <c r="B758" s="27">
        <f>'1 Data'!B747</f>
        <v/>
      </c>
      <c r="C758" s="29">
        <f>IF('1 Data'!E747&lt;=1.5,IF('1 Data'!F747&lt;=1.5,IF('1 Data'!G747&lt;=0.0003,1,2),IF('1 Data'!C747&lt;=165000,3,4)),IF('1 Data'!G747&lt;=0.0652,5,IF('1 Data'!G747&lt;=0.716,6,7)))</f>
        <v/>
      </c>
      <c r="D758" s="23">
        <f>INDEX($F$12:$F$18,C758)</f>
        <v/>
      </c>
      <c r="E758" s="27">
        <f>'1 Data'!I747</f>
        <v/>
      </c>
      <c r="F758" s="30">
        <f>COUNTIF($D$23:$D$1022,"&lt;"&amp;D758)+(COUNTIF($D$23:$D$1022,"="&amp;D758)+1)/2</f>
        <v/>
      </c>
    </row>
    <row r="759">
      <c r="B759" s="27">
        <f>'1 Data'!B748</f>
        <v/>
      </c>
      <c r="C759" s="29">
        <f>IF('1 Data'!E748&lt;=1.5,IF('1 Data'!F748&lt;=1.5,IF('1 Data'!G748&lt;=0.0003,1,2),IF('1 Data'!C748&lt;=165000,3,4)),IF('1 Data'!G748&lt;=0.0652,5,IF('1 Data'!G748&lt;=0.716,6,7)))</f>
        <v/>
      </c>
      <c r="D759" s="23">
        <f>INDEX($F$12:$F$18,C759)</f>
        <v/>
      </c>
      <c r="E759" s="27">
        <f>'1 Data'!I748</f>
        <v/>
      </c>
      <c r="F759" s="30">
        <f>COUNTIF($D$23:$D$1022,"&lt;"&amp;D759)+(COUNTIF($D$23:$D$1022,"="&amp;D759)+1)/2</f>
        <v/>
      </c>
    </row>
    <row r="760">
      <c r="B760" s="27">
        <f>'1 Data'!B749</f>
        <v/>
      </c>
      <c r="C760" s="29">
        <f>IF('1 Data'!E749&lt;=1.5,IF('1 Data'!F749&lt;=1.5,IF('1 Data'!G749&lt;=0.0003,1,2),IF('1 Data'!C749&lt;=165000,3,4)),IF('1 Data'!G749&lt;=0.0652,5,IF('1 Data'!G749&lt;=0.716,6,7)))</f>
        <v/>
      </c>
      <c r="D760" s="23">
        <f>INDEX($F$12:$F$18,C760)</f>
        <v/>
      </c>
      <c r="E760" s="27">
        <f>'1 Data'!I749</f>
        <v/>
      </c>
      <c r="F760" s="30">
        <f>COUNTIF($D$23:$D$1022,"&lt;"&amp;D760)+(COUNTIF($D$23:$D$1022,"="&amp;D760)+1)/2</f>
        <v/>
      </c>
    </row>
    <row r="761">
      <c r="B761" s="27">
        <f>'1 Data'!B750</f>
        <v/>
      </c>
      <c r="C761" s="29">
        <f>IF('1 Data'!E750&lt;=1.5,IF('1 Data'!F750&lt;=1.5,IF('1 Data'!G750&lt;=0.0003,1,2),IF('1 Data'!C750&lt;=165000,3,4)),IF('1 Data'!G750&lt;=0.0652,5,IF('1 Data'!G750&lt;=0.716,6,7)))</f>
        <v/>
      </c>
      <c r="D761" s="23">
        <f>INDEX($F$12:$F$18,C761)</f>
        <v/>
      </c>
      <c r="E761" s="27">
        <f>'1 Data'!I750</f>
        <v/>
      </c>
      <c r="F761" s="30">
        <f>COUNTIF($D$23:$D$1022,"&lt;"&amp;D761)+(COUNTIF($D$23:$D$1022,"="&amp;D761)+1)/2</f>
        <v/>
      </c>
    </row>
    <row r="762">
      <c r="B762" s="27">
        <f>'1 Data'!B751</f>
        <v/>
      </c>
      <c r="C762" s="29">
        <f>IF('1 Data'!E751&lt;=1.5,IF('1 Data'!F751&lt;=1.5,IF('1 Data'!G751&lt;=0.0003,1,2),IF('1 Data'!C751&lt;=165000,3,4)),IF('1 Data'!G751&lt;=0.0652,5,IF('1 Data'!G751&lt;=0.716,6,7)))</f>
        <v/>
      </c>
      <c r="D762" s="23">
        <f>INDEX($F$12:$F$18,C762)</f>
        <v/>
      </c>
      <c r="E762" s="27">
        <f>'1 Data'!I751</f>
        <v/>
      </c>
      <c r="F762" s="30">
        <f>COUNTIF($D$23:$D$1022,"&lt;"&amp;D762)+(COUNTIF($D$23:$D$1022,"="&amp;D762)+1)/2</f>
        <v/>
      </c>
    </row>
    <row r="763">
      <c r="B763" s="27">
        <f>'1 Data'!B752</f>
        <v/>
      </c>
      <c r="C763" s="29">
        <f>IF('1 Data'!E752&lt;=1.5,IF('1 Data'!F752&lt;=1.5,IF('1 Data'!G752&lt;=0.0003,1,2),IF('1 Data'!C752&lt;=165000,3,4)),IF('1 Data'!G752&lt;=0.0652,5,IF('1 Data'!G752&lt;=0.716,6,7)))</f>
        <v/>
      </c>
      <c r="D763" s="23">
        <f>INDEX($F$12:$F$18,C763)</f>
        <v/>
      </c>
      <c r="E763" s="27">
        <f>'1 Data'!I752</f>
        <v/>
      </c>
      <c r="F763" s="30">
        <f>COUNTIF($D$23:$D$1022,"&lt;"&amp;D763)+(COUNTIF($D$23:$D$1022,"="&amp;D763)+1)/2</f>
        <v/>
      </c>
    </row>
    <row r="764">
      <c r="B764" s="27">
        <f>'1 Data'!B753</f>
        <v/>
      </c>
      <c r="C764" s="29">
        <f>IF('1 Data'!E753&lt;=1.5,IF('1 Data'!F753&lt;=1.5,IF('1 Data'!G753&lt;=0.0003,1,2),IF('1 Data'!C753&lt;=165000,3,4)),IF('1 Data'!G753&lt;=0.0652,5,IF('1 Data'!G753&lt;=0.716,6,7)))</f>
        <v/>
      </c>
      <c r="D764" s="23">
        <f>INDEX($F$12:$F$18,C764)</f>
        <v/>
      </c>
      <c r="E764" s="27">
        <f>'1 Data'!I753</f>
        <v/>
      </c>
      <c r="F764" s="30">
        <f>COUNTIF($D$23:$D$1022,"&lt;"&amp;D764)+(COUNTIF($D$23:$D$1022,"="&amp;D764)+1)/2</f>
        <v/>
      </c>
    </row>
    <row r="765">
      <c r="B765" s="27">
        <f>'1 Data'!B754</f>
        <v/>
      </c>
      <c r="C765" s="29">
        <f>IF('1 Data'!E754&lt;=1.5,IF('1 Data'!F754&lt;=1.5,IF('1 Data'!G754&lt;=0.0003,1,2),IF('1 Data'!C754&lt;=165000,3,4)),IF('1 Data'!G754&lt;=0.0652,5,IF('1 Data'!G754&lt;=0.716,6,7)))</f>
        <v/>
      </c>
      <c r="D765" s="23">
        <f>INDEX($F$12:$F$18,C765)</f>
        <v/>
      </c>
      <c r="E765" s="27">
        <f>'1 Data'!I754</f>
        <v/>
      </c>
      <c r="F765" s="30">
        <f>COUNTIF($D$23:$D$1022,"&lt;"&amp;D765)+(COUNTIF($D$23:$D$1022,"="&amp;D765)+1)/2</f>
        <v/>
      </c>
    </row>
    <row r="766">
      <c r="B766" s="27">
        <f>'1 Data'!B755</f>
        <v/>
      </c>
      <c r="C766" s="29">
        <f>IF('1 Data'!E755&lt;=1.5,IF('1 Data'!F755&lt;=1.5,IF('1 Data'!G755&lt;=0.0003,1,2),IF('1 Data'!C755&lt;=165000,3,4)),IF('1 Data'!G755&lt;=0.0652,5,IF('1 Data'!G755&lt;=0.716,6,7)))</f>
        <v/>
      </c>
      <c r="D766" s="23">
        <f>INDEX($F$12:$F$18,C766)</f>
        <v/>
      </c>
      <c r="E766" s="27">
        <f>'1 Data'!I755</f>
        <v/>
      </c>
      <c r="F766" s="30">
        <f>COUNTIF($D$23:$D$1022,"&lt;"&amp;D766)+(COUNTIF($D$23:$D$1022,"="&amp;D766)+1)/2</f>
        <v/>
      </c>
    </row>
    <row r="767">
      <c r="B767" s="27">
        <f>'1 Data'!B756</f>
        <v/>
      </c>
      <c r="C767" s="29">
        <f>IF('1 Data'!E756&lt;=1.5,IF('1 Data'!F756&lt;=1.5,IF('1 Data'!G756&lt;=0.0003,1,2),IF('1 Data'!C756&lt;=165000,3,4)),IF('1 Data'!G756&lt;=0.0652,5,IF('1 Data'!G756&lt;=0.716,6,7)))</f>
        <v/>
      </c>
      <c r="D767" s="23">
        <f>INDEX($F$12:$F$18,C767)</f>
        <v/>
      </c>
      <c r="E767" s="27">
        <f>'1 Data'!I756</f>
        <v/>
      </c>
      <c r="F767" s="30">
        <f>COUNTIF($D$23:$D$1022,"&lt;"&amp;D767)+(COUNTIF($D$23:$D$1022,"="&amp;D767)+1)/2</f>
        <v/>
      </c>
    </row>
    <row r="768">
      <c r="B768" s="27">
        <f>'1 Data'!B757</f>
        <v/>
      </c>
      <c r="C768" s="29">
        <f>IF('1 Data'!E757&lt;=1.5,IF('1 Data'!F757&lt;=1.5,IF('1 Data'!G757&lt;=0.0003,1,2),IF('1 Data'!C757&lt;=165000,3,4)),IF('1 Data'!G757&lt;=0.0652,5,IF('1 Data'!G757&lt;=0.716,6,7)))</f>
        <v/>
      </c>
      <c r="D768" s="23">
        <f>INDEX($F$12:$F$18,C768)</f>
        <v/>
      </c>
      <c r="E768" s="27">
        <f>'1 Data'!I757</f>
        <v/>
      </c>
      <c r="F768" s="30">
        <f>COUNTIF($D$23:$D$1022,"&lt;"&amp;D768)+(COUNTIF($D$23:$D$1022,"="&amp;D768)+1)/2</f>
        <v/>
      </c>
    </row>
    <row r="769">
      <c r="B769" s="27">
        <f>'1 Data'!B758</f>
        <v/>
      </c>
      <c r="C769" s="29">
        <f>IF('1 Data'!E758&lt;=1.5,IF('1 Data'!F758&lt;=1.5,IF('1 Data'!G758&lt;=0.0003,1,2),IF('1 Data'!C758&lt;=165000,3,4)),IF('1 Data'!G758&lt;=0.0652,5,IF('1 Data'!G758&lt;=0.716,6,7)))</f>
        <v/>
      </c>
      <c r="D769" s="23">
        <f>INDEX($F$12:$F$18,C769)</f>
        <v/>
      </c>
      <c r="E769" s="27">
        <f>'1 Data'!I758</f>
        <v/>
      </c>
      <c r="F769" s="30">
        <f>COUNTIF($D$23:$D$1022,"&lt;"&amp;D769)+(COUNTIF($D$23:$D$1022,"="&amp;D769)+1)/2</f>
        <v/>
      </c>
    </row>
    <row r="770">
      <c r="B770" s="27">
        <f>'1 Data'!B759</f>
        <v/>
      </c>
      <c r="C770" s="29">
        <f>IF('1 Data'!E759&lt;=1.5,IF('1 Data'!F759&lt;=1.5,IF('1 Data'!G759&lt;=0.0003,1,2),IF('1 Data'!C759&lt;=165000,3,4)),IF('1 Data'!G759&lt;=0.0652,5,IF('1 Data'!G759&lt;=0.716,6,7)))</f>
        <v/>
      </c>
      <c r="D770" s="23">
        <f>INDEX($F$12:$F$18,C770)</f>
        <v/>
      </c>
      <c r="E770" s="27">
        <f>'1 Data'!I759</f>
        <v/>
      </c>
      <c r="F770" s="30">
        <f>COUNTIF($D$23:$D$1022,"&lt;"&amp;D770)+(COUNTIF($D$23:$D$1022,"="&amp;D770)+1)/2</f>
        <v/>
      </c>
    </row>
    <row r="771">
      <c r="B771" s="27">
        <f>'1 Data'!B760</f>
        <v/>
      </c>
      <c r="C771" s="29">
        <f>IF('1 Data'!E760&lt;=1.5,IF('1 Data'!F760&lt;=1.5,IF('1 Data'!G760&lt;=0.0003,1,2),IF('1 Data'!C760&lt;=165000,3,4)),IF('1 Data'!G760&lt;=0.0652,5,IF('1 Data'!G760&lt;=0.716,6,7)))</f>
        <v/>
      </c>
      <c r="D771" s="23">
        <f>INDEX($F$12:$F$18,C771)</f>
        <v/>
      </c>
      <c r="E771" s="27">
        <f>'1 Data'!I760</f>
        <v/>
      </c>
      <c r="F771" s="30">
        <f>COUNTIF($D$23:$D$1022,"&lt;"&amp;D771)+(COUNTIF($D$23:$D$1022,"="&amp;D771)+1)/2</f>
        <v/>
      </c>
    </row>
    <row r="772">
      <c r="B772" s="27">
        <f>'1 Data'!B761</f>
        <v/>
      </c>
      <c r="C772" s="29">
        <f>IF('1 Data'!E761&lt;=1.5,IF('1 Data'!F761&lt;=1.5,IF('1 Data'!G761&lt;=0.0003,1,2),IF('1 Data'!C761&lt;=165000,3,4)),IF('1 Data'!G761&lt;=0.0652,5,IF('1 Data'!G761&lt;=0.716,6,7)))</f>
        <v/>
      </c>
      <c r="D772" s="23">
        <f>INDEX($F$12:$F$18,C772)</f>
        <v/>
      </c>
      <c r="E772" s="27">
        <f>'1 Data'!I761</f>
        <v/>
      </c>
      <c r="F772" s="30">
        <f>COUNTIF($D$23:$D$1022,"&lt;"&amp;D772)+(COUNTIF($D$23:$D$1022,"="&amp;D772)+1)/2</f>
        <v/>
      </c>
    </row>
    <row r="773">
      <c r="B773" s="27">
        <f>'1 Data'!B762</f>
        <v/>
      </c>
      <c r="C773" s="29">
        <f>IF('1 Data'!E762&lt;=1.5,IF('1 Data'!F762&lt;=1.5,IF('1 Data'!G762&lt;=0.0003,1,2),IF('1 Data'!C762&lt;=165000,3,4)),IF('1 Data'!G762&lt;=0.0652,5,IF('1 Data'!G762&lt;=0.716,6,7)))</f>
        <v/>
      </c>
      <c r="D773" s="23">
        <f>INDEX($F$12:$F$18,C773)</f>
        <v/>
      </c>
      <c r="E773" s="27">
        <f>'1 Data'!I762</f>
        <v/>
      </c>
      <c r="F773" s="30">
        <f>COUNTIF($D$23:$D$1022,"&lt;"&amp;D773)+(COUNTIF($D$23:$D$1022,"="&amp;D773)+1)/2</f>
        <v/>
      </c>
    </row>
    <row r="774">
      <c r="B774" s="27">
        <f>'1 Data'!B763</f>
        <v/>
      </c>
      <c r="C774" s="29">
        <f>IF('1 Data'!E763&lt;=1.5,IF('1 Data'!F763&lt;=1.5,IF('1 Data'!G763&lt;=0.0003,1,2),IF('1 Data'!C763&lt;=165000,3,4)),IF('1 Data'!G763&lt;=0.0652,5,IF('1 Data'!G763&lt;=0.716,6,7)))</f>
        <v/>
      </c>
      <c r="D774" s="23">
        <f>INDEX($F$12:$F$18,C774)</f>
        <v/>
      </c>
      <c r="E774" s="27">
        <f>'1 Data'!I763</f>
        <v/>
      </c>
      <c r="F774" s="30">
        <f>COUNTIF($D$23:$D$1022,"&lt;"&amp;D774)+(COUNTIF($D$23:$D$1022,"="&amp;D774)+1)/2</f>
        <v/>
      </c>
    </row>
    <row r="775">
      <c r="B775" s="27">
        <f>'1 Data'!B764</f>
        <v/>
      </c>
      <c r="C775" s="29">
        <f>IF('1 Data'!E764&lt;=1.5,IF('1 Data'!F764&lt;=1.5,IF('1 Data'!G764&lt;=0.0003,1,2),IF('1 Data'!C764&lt;=165000,3,4)),IF('1 Data'!G764&lt;=0.0652,5,IF('1 Data'!G764&lt;=0.716,6,7)))</f>
        <v/>
      </c>
      <c r="D775" s="23">
        <f>INDEX($F$12:$F$18,C775)</f>
        <v/>
      </c>
      <c r="E775" s="27">
        <f>'1 Data'!I764</f>
        <v/>
      </c>
      <c r="F775" s="30">
        <f>COUNTIF($D$23:$D$1022,"&lt;"&amp;D775)+(COUNTIF($D$23:$D$1022,"="&amp;D775)+1)/2</f>
        <v/>
      </c>
    </row>
    <row r="776">
      <c r="B776" s="27">
        <f>'1 Data'!B765</f>
        <v/>
      </c>
      <c r="C776" s="29">
        <f>IF('1 Data'!E765&lt;=1.5,IF('1 Data'!F765&lt;=1.5,IF('1 Data'!G765&lt;=0.0003,1,2),IF('1 Data'!C765&lt;=165000,3,4)),IF('1 Data'!G765&lt;=0.0652,5,IF('1 Data'!G765&lt;=0.716,6,7)))</f>
        <v/>
      </c>
      <c r="D776" s="23">
        <f>INDEX($F$12:$F$18,C776)</f>
        <v/>
      </c>
      <c r="E776" s="27">
        <f>'1 Data'!I765</f>
        <v/>
      </c>
      <c r="F776" s="30">
        <f>COUNTIF($D$23:$D$1022,"&lt;"&amp;D776)+(COUNTIF($D$23:$D$1022,"="&amp;D776)+1)/2</f>
        <v/>
      </c>
    </row>
    <row r="777">
      <c r="B777" s="27">
        <f>'1 Data'!B766</f>
        <v/>
      </c>
      <c r="C777" s="29">
        <f>IF('1 Data'!E766&lt;=1.5,IF('1 Data'!F766&lt;=1.5,IF('1 Data'!G766&lt;=0.0003,1,2),IF('1 Data'!C766&lt;=165000,3,4)),IF('1 Data'!G766&lt;=0.0652,5,IF('1 Data'!G766&lt;=0.716,6,7)))</f>
        <v/>
      </c>
      <c r="D777" s="23">
        <f>INDEX($F$12:$F$18,C777)</f>
        <v/>
      </c>
      <c r="E777" s="27">
        <f>'1 Data'!I766</f>
        <v/>
      </c>
      <c r="F777" s="30">
        <f>COUNTIF($D$23:$D$1022,"&lt;"&amp;D777)+(COUNTIF($D$23:$D$1022,"="&amp;D777)+1)/2</f>
        <v/>
      </c>
    </row>
    <row r="778">
      <c r="B778" s="27">
        <f>'1 Data'!B767</f>
        <v/>
      </c>
      <c r="C778" s="29">
        <f>IF('1 Data'!E767&lt;=1.5,IF('1 Data'!F767&lt;=1.5,IF('1 Data'!G767&lt;=0.0003,1,2),IF('1 Data'!C767&lt;=165000,3,4)),IF('1 Data'!G767&lt;=0.0652,5,IF('1 Data'!G767&lt;=0.716,6,7)))</f>
        <v/>
      </c>
      <c r="D778" s="23">
        <f>INDEX($F$12:$F$18,C778)</f>
        <v/>
      </c>
      <c r="E778" s="27">
        <f>'1 Data'!I767</f>
        <v/>
      </c>
      <c r="F778" s="30">
        <f>COUNTIF($D$23:$D$1022,"&lt;"&amp;D778)+(COUNTIF($D$23:$D$1022,"="&amp;D778)+1)/2</f>
        <v/>
      </c>
    </row>
    <row r="779">
      <c r="B779" s="27">
        <f>'1 Data'!B768</f>
        <v/>
      </c>
      <c r="C779" s="29">
        <f>IF('1 Data'!E768&lt;=1.5,IF('1 Data'!F768&lt;=1.5,IF('1 Data'!G768&lt;=0.0003,1,2),IF('1 Data'!C768&lt;=165000,3,4)),IF('1 Data'!G768&lt;=0.0652,5,IF('1 Data'!G768&lt;=0.716,6,7)))</f>
        <v/>
      </c>
      <c r="D779" s="23">
        <f>INDEX($F$12:$F$18,C779)</f>
        <v/>
      </c>
      <c r="E779" s="27">
        <f>'1 Data'!I768</f>
        <v/>
      </c>
      <c r="F779" s="30">
        <f>COUNTIF($D$23:$D$1022,"&lt;"&amp;D779)+(COUNTIF($D$23:$D$1022,"="&amp;D779)+1)/2</f>
        <v/>
      </c>
    </row>
    <row r="780">
      <c r="B780" s="27">
        <f>'1 Data'!B769</f>
        <v/>
      </c>
      <c r="C780" s="29">
        <f>IF('1 Data'!E769&lt;=1.5,IF('1 Data'!F769&lt;=1.5,IF('1 Data'!G769&lt;=0.0003,1,2),IF('1 Data'!C769&lt;=165000,3,4)),IF('1 Data'!G769&lt;=0.0652,5,IF('1 Data'!G769&lt;=0.716,6,7)))</f>
        <v/>
      </c>
      <c r="D780" s="23">
        <f>INDEX($F$12:$F$18,C780)</f>
        <v/>
      </c>
      <c r="E780" s="27">
        <f>'1 Data'!I769</f>
        <v/>
      </c>
      <c r="F780" s="30">
        <f>COUNTIF($D$23:$D$1022,"&lt;"&amp;D780)+(COUNTIF($D$23:$D$1022,"="&amp;D780)+1)/2</f>
        <v/>
      </c>
    </row>
    <row r="781">
      <c r="B781" s="27">
        <f>'1 Data'!B770</f>
        <v/>
      </c>
      <c r="C781" s="29">
        <f>IF('1 Data'!E770&lt;=1.5,IF('1 Data'!F770&lt;=1.5,IF('1 Data'!G770&lt;=0.0003,1,2),IF('1 Data'!C770&lt;=165000,3,4)),IF('1 Data'!G770&lt;=0.0652,5,IF('1 Data'!G770&lt;=0.716,6,7)))</f>
        <v/>
      </c>
      <c r="D781" s="23">
        <f>INDEX($F$12:$F$18,C781)</f>
        <v/>
      </c>
      <c r="E781" s="27">
        <f>'1 Data'!I770</f>
        <v/>
      </c>
      <c r="F781" s="30">
        <f>COUNTIF($D$23:$D$1022,"&lt;"&amp;D781)+(COUNTIF($D$23:$D$1022,"="&amp;D781)+1)/2</f>
        <v/>
      </c>
    </row>
    <row r="782">
      <c r="B782" s="27">
        <f>'1 Data'!B771</f>
        <v/>
      </c>
      <c r="C782" s="29">
        <f>IF('1 Data'!E771&lt;=1.5,IF('1 Data'!F771&lt;=1.5,IF('1 Data'!G771&lt;=0.0003,1,2),IF('1 Data'!C771&lt;=165000,3,4)),IF('1 Data'!G771&lt;=0.0652,5,IF('1 Data'!G771&lt;=0.716,6,7)))</f>
        <v/>
      </c>
      <c r="D782" s="23">
        <f>INDEX($F$12:$F$18,C782)</f>
        <v/>
      </c>
      <c r="E782" s="27">
        <f>'1 Data'!I771</f>
        <v/>
      </c>
      <c r="F782" s="30">
        <f>COUNTIF($D$23:$D$1022,"&lt;"&amp;D782)+(COUNTIF($D$23:$D$1022,"="&amp;D782)+1)/2</f>
        <v/>
      </c>
    </row>
    <row r="783">
      <c r="B783" s="27">
        <f>'1 Data'!B772</f>
        <v/>
      </c>
      <c r="C783" s="29">
        <f>IF('1 Data'!E772&lt;=1.5,IF('1 Data'!F772&lt;=1.5,IF('1 Data'!G772&lt;=0.0003,1,2),IF('1 Data'!C772&lt;=165000,3,4)),IF('1 Data'!G772&lt;=0.0652,5,IF('1 Data'!G772&lt;=0.716,6,7)))</f>
        <v/>
      </c>
      <c r="D783" s="23">
        <f>INDEX($F$12:$F$18,C783)</f>
        <v/>
      </c>
      <c r="E783" s="27">
        <f>'1 Data'!I772</f>
        <v/>
      </c>
      <c r="F783" s="30">
        <f>COUNTIF($D$23:$D$1022,"&lt;"&amp;D783)+(COUNTIF($D$23:$D$1022,"="&amp;D783)+1)/2</f>
        <v/>
      </c>
    </row>
    <row r="784">
      <c r="B784" s="27">
        <f>'1 Data'!B773</f>
        <v/>
      </c>
      <c r="C784" s="29">
        <f>IF('1 Data'!E773&lt;=1.5,IF('1 Data'!F773&lt;=1.5,IF('1 Data'!G773&lt;=0.0003,1,2),IF('1 Data'!C773&lt;=165000,3,4)),IF('1 Data'!G773&lt;=0.0652,5,IF('1 Data'!G773&lt;=0.716,6,7)))</f>
        <v/>
      </c>
      <c r="D784" s="23">
        <f>INDEX($F$12:$F$18,C784)</f>
        <v/>
      </c>
      <c r="E784" s="27">
        <f>'1 Data'!I773</f>
        <v/>
      </c>
      <c r="F784" s="30">
        <f>COUNTIF($D$23:$D$1022,"&lt;"&amp;D784)+(COUNTIF($D$23:$D$1022,"="&amp;D784)+1)/2</f>
        <v/>
      </c>
    </row>
    <row r="785">
      <c r="B785" s="27">
        <f>'1 Data'!B774</f>
        <v/>
      </c>
      <c r="C785" s="29">
        <f>IF('1 Data'!E774&lt;=1.5,IF('1 Data'!F774&lt;=1.5,IF('1 Data'!G774&lt;=0.0003,1,2),IF('1 Data'!C774&lt;=165000,3,4)),IF('1 Data'!G774&lt;=0.0652,5,IF('1 Data'!G774&lt;=0.716,6,7)))</f>
        <v/>
      </c>
      <c r="D785" s="23">
        <f>INDEX($F$12:$F$18,C785)</f>
        <v/>
      </c>
      <c r="E785" s="27">
        <f>'1 Data'!I774</f>
        <v/>
      </c>
      <c r="F785" s="30">
        <f>COUNTIF($D$23:$D$1022,"&lt;"&amp;D785)+(COUNTIF($D$23:$D$1022,"="&amp;D785)+1)/2</f>
        <v/>
      </c>
    </row>
    <row r="786">
      <c r="B786" s="27">
        <f>'1 Data'!B775</f>
        <v/>
      </c>
      <c r="C786" s="29">
        <f>IF('1 Data'!E775&lt;=1.5,IF('1 Data'!F775&lt;=1.5,IF('1 Data'!G775&lt;=0.0003,1,2),IF('1 Data'!C775&lt;=165000,3,4)),IF('1 Data'!G775&lt;=0.0652,5,IF('1 Data'!G775&lt;=0.716,6,7)))</f>
        <v/>
      </c>
      <c r="D786" s="23">
        <f>INDEX($F$12:$F$18,C786)</f>
        <v/>
      </c>
      <c r="E786" s="27">
        <f>'1 Data'!I775</f>
        <v/>
      </c>
      <c r="F786" s="30">
        <f>COUNTIF($D$23:$D$1022,"&lt;"&amp;D786)+(COUNTIF($D$23:$D$1022,"="&amp;D786)+1)/2</f>
        <v/>
      </c>
    </row>
    <row r="787">
      <c r="B787" s="27">
        <f>'1 Data'!B776</f>
        <v/>
      </c>
      <c r="C787" s="29">
        <f>IF('1 Data'!E776&lt;=1.5,IF('1 Data'!F776&lt;=1.5,IF('1 Data'!G776&lt;=0.0003,1,2),IF('1 Data'!C776&lt;=165000,3,4)),IF('1 Data'!G776&lt;=0.0652,5,IF('1 Data'!G776&lt;=0.716,6,7)))</f>
        <v/>
      </c>
      <c r="D787" s="23">
        <f>INDEX($F$12:$F$18,C787)</f>
        <v/>
      </c>
      <c r="E787" s="27">
        <f>'1 Data'!I776</f>
        <v/>
      </c>
      <c r="F787" s="30">
        <f>COUNTIF($D$23:$D$1022,"&lt;"&amp;D787)+(COUNTIF($D$23:$D$1022,"="&amp;D787)+1)/2</f>
        <v/>
      </c>
    </row>
    <row r="788">
      <c r="B788" s="27">
        <f>'1 Data'!B777</f>
        <v/>
      </c>
      <c r="C788" s="29">
        <f>IF('1 Data'!E777&lt;=1.5,IF('1 Data'!F777&lt;=1.5,IF('1 Data'!G777&lt;=0.0003,1,2),IF('1 Data'!C777&lt;=165000,3,4)),IF('1 Data'!G777&lt;=0.0652,5,IF('1 Data'!G777&lt;=0.716,6,7)))</f>
        <v/>
      </c>
      <c r="D788" s="23">
        <f>INDEX($F$12:$F$18,C788)</f>
        <v/>
      </c>
      <c r="E788" s="27">
        <f>'1 Data'!I777</f>
        <v/>
      </c>
      <c r="F788" s="30">
        <f>COUNTIF($D$23:$D$1022,"&lt;"&amp;D788)+(COUNTIF($D$23:$D$1022,"="&amp;D788)+1)/2</f>
        <v/>
      </c>
    </row>
    <row r="789">
      <c r="B789" s="27">
        <f>'1 Data'!B778</f>
        <v/>
      </c>
      <c r="C789" s="29">
        <f>IF('1 Data'!E778&lt;=1.5,IF('1 Data'!F778&lt;=1.5,IF('1 Data'!G778&lt;=0.0003,1,2),IF('1 Data'!C778&lt;=165000,3,4)),IF('1 Data'!G778&lt;=0.0652,5,IF('1 Data'!G778&lt;=0.716,6,7)))</f>
        <v/>
      </c>
      <c r="D789" s="23">
        <f>INDEX($F$12:$F$18,C789)</f>
        <v/>
      </c>
      <c r="E789" s="27">
        <f>'1 Data'!I778</f>
        <v/>
      </c>
      <c r="F789" s="30">
        <f>COUNTIF($D$23:$D$1022,"&lt;"&amp;D789)+(COUNTIF($D$23:$D$1022,"="&amp;D789)+1)/2</f>
        <v/>
      </c>
    </row>
    <row r="790">
      <c r="B790" s="27">
        <f>'1 Data'!B779</f>
        <v/>
      </c>
      <c r="C790" s="29">
        <f>IF('1 Data'!E779&lt;=1.5,IF('1 Data'!F779&lt;=1.5,IF('1 Data'!G779&lt;=0.0003,1,2),IF('1 Data'!C779&lt;=165000,3,4)),IF('1 Data'!G779&lt;=0.0652,5,IF('1 Data'!G779&lt;=0.716,6,7)))</f>
        <v/>
      </c>
      <c r="D790" s="23">
        <f>INDEX($F$12:$F$18,C790)</f>
        <v/>
      </c>
      <c r="E790" s="27">
        <f>'1 Data'!I779</f>
        <v/>
      </c>
      <c r="F790" s="30">
        <f>COUNTIF($D$23:$D$1022,"&lt;"&amp;D790)+(COUNTIF($D$23:$D$1022,"="&amp;D790)+1)/2</f>
        <v/>
      </c>
    </row>
    <row r="791">
      <c r="B791" s="27">
        <f>'1 Data'!B780</f>
        <v/>
      </c>
      <c r="C791" s="29">
        <f>IF('1 Data'!E780&lt;=1.5,IF('1 Data'!F780&lt;=1.5,IF('1 Data'!G780&lt;=0.0003,1,2),IF('1 Data'!C780&lt;=165000,3,4)),IF('1 Data'!G780&lt;=0.0652,5,IF('1 Data'!G780&lt;=0.716,6,7)))</f>
        <v/>
      </c>
      <c r="D791" s="23">
        <f>INDEX($F$12:$F$18,C791)</f>
        <v/>
      </c>
      <c r="E791" s="27">
        <f>'1 Data'!I780</f>
        <v/>
      </c>
      <c r="F791" s="30">
        <f>COUNTIF($D$23:$D$1022,"&lt;"&amp;D791)+(COUNTIF($D$23:$D$1022,"="&amp;D791)+1)/2</f>
        <v/>
      </c>
    </row>
    <row r="792">
      <c r="B792" s="27">
        <f>'1 Data'!B781</f>
        <v/>
      </c>
      <c r="C792" s="29">
        <f>IF('1 Data'!E781&lt;=1.5,IF('1 Data'!F781&lt;=1.5,IF('1 Data'!G781&lt;=0.0003,1,2),IF('1 Data'!C781&lt;=165000,3,4)),IF('1 Data'!G781&lt;=0.0652,5,IF('1 Data'!G781&lt;=0.716,6,7)))</f>
        <v/>
      </c>
      <c r="D792" s="23">
        <f>INDEX($F$12:$F$18,C792)</f>
        <v/>
      </c>
      <c r="E792" s="27">
        <f>'1 Data'!I781</f>
        <v/>
      </c>
      <c r="F792" s="30">
        <f>COUNTIF($D$23:$D$1022,"&lt;"&amp;D792)+(COUNTIF($D$23:$D$1022,"="&amp;D792)+1)/2</f>
        <v/>
      </c>
    </row>
    <row r="793">
      <c r="B793" s="27">
        <f>'1 Data'!B782</f>
        <v/>
      </c>
      <c r="C793" s="29">
        <f>IF('1 Data'!E782&lt;=1.5,IF('1 Data'!F782&lt;=1.5,IF('1 Data'!G782&lt;=0.0003,1,2),IF('1 Data'!C782&lt;=165000,3,4)),IF('1 Data'!G782&lt;=0.0652,5,IF('1 Data'!G782&lt;=0.716,6,7)))</f>
        <v/>
      </c>
      <c r="D793" s="23">
        <f>INDEX($F$12:$F$18,C793)</f>
        <v/>
      </c>
      <c r="E793" s="27">
        <f>'1 Data'!I782</f>
        <v/>
      </c>
      <c r="F793" s="30">
        <f>COUNTIF($D$23:$D$1022,"&lt;"&amp;D793)+(COUNTIF($D$23:$D$1022,"="&amp;D793)+1)/2</f>
        <v/>
      </c>
    </row>
    <row r="794">
      <c r="B794" s="27">
        <f>'1 Data'!B783</f>
        <v/>
      </c>
      <c r="C794" s="29">
        <f>IF('1 Data'!E783&lt;=1.5,IF('1 Data'!F783&lt;=1.5,IF('1 Data'!G783&lt;=0.0003,1,2),IF('1 Data'!C783&lt;=165000,3,4)),IF('1 Data'!G783&lt;=0.0652,5,IF('1 Data'!G783&lt;=0.716,6,7)))</f>
        <v/>
      </c>
      <c r="D794" s="23">
        <f>INDEX($F$12:$F$18,C794)</f>
        <v/>
      </c>
      <c r="E794" s="27">
        <f>'1 Data'!I783</f>
        <v/>
      </c>
      <c r="F794" s="30">
        <f>COUNTIF($D$23:$D$1022,"&lt;"&amp;D794)+(COUNTIF($D$23:$D$1022,"="&amp;D794)+1)/2</f>
        <v/>
      </c>
    </row>
    <row r="795">
      <c r="B795" s="27">
        <f>'1 Data'!B784</f>
        <v/>
      </c>
      <c r="C795" s="29">
        <f>IF('1 Data'!E784&lt;=1.5,IF('1 Data'!F784&lt;=1.5,IF('1 Data'!G784&lt;=0.0003,1,2),IF('1 Data'!C784&lt;=165000,3,4)),IF('1 Data'!G784&lt;=0.0652,5,IF('1 Data'!G784&lt;=0.716,6,7)))</f>
        <v/>
      </c>
      <c r="D795" s="23">
        <f>INDEX($F$12:$F$18,C795)</f>
        <v/>
      </c>
      <c r="E795" s="27">
        <f>'1 Data'!I784</f>
        <v/>
      </c>
      <c r="F795" s="30">
        <f>COUNTIF($D$23:$D$1022,"&lt;"&amp;D795)+(COUNTIF($D$23:$D$1022,"="&amp;D795)+1)/2</f>
        <v/>
      </c>
    </row>
    <row r="796">
      <c r="B796" s="27">
        <f>'1 Data'!B785</f>
        <v/>
      </c>
      <c r="C796" s="29">
        <f>IF('1 Data'!E785&lt;=1.5,IF('1 Data'!F785&lt;=1.5,IF('1 Data'!G785&lt;=0.0003,1,2),IF('1 Data'!C785&lt;=165000,3,4)),IF('1 Data'!G785&lt;=0.0652,5,IF('1 Data'!G785&lt;=0.716,6,7)))</f>
        <v/>
      </c>
      <c r="D796" s="23">
        <f>INDEX($F$12:$F$18,C796)</f>
        <v/>
      </c>
      <c r="E796" s="27">
        <f>'1 Data'!I785</f>
        <v/>
      </c>
      <c r="F796" s="30">
        <f>COUNTIF($D$23:$D$1022,"&lt;"&amp;D796)+(COUNTIF($D$23:$D$1022,"="&amp;D796)+1)/2</f>
        <v/>
      </c>
    </row>
    <row r="797">
      <c r="B797" s="27">
        <f>'1 Data'!B786</f>
        <v/>
      </c>
      <c r="C797" s="29">
        <f>IF('1 Data'!E786&lt;=1.5,IF('1 Data'!F786&lt;=1.5,IF('1 Data'!G786&lt;=0.0003,1,2),IF('1 Data'!C786&lt;=165000,3,4)),IF('1 Data'!G786&lt;=0.0652,5,IF('1 Data'!G786&lt;=0.716,6,7)))</f>
        <v/>
      </c>
      <c r="D797" s="23">
        <f>INDEX($F$12:$F$18,C797)</f>
        <v/>
      </c>
      <c r="E797" s="27">
        <f>'1 Data'!I786</f>
        <v/>
      </c>
      <c r="F797" s="30">
        <f>COUNTIF($D$23:$D$1022,"&lt;"&amp;D797)+(COUNTIF($D$23:$D$1022,"="&amp;D797)+1)/2</f>
        <v/>
      </c>
    </row>
    <row r="798">
      <c r="B798" s="27">
        <f>'1 Data'!B787</f>
        <v/>
      </c>
      <c r="C798" s="29">
        <f>IF('1 Data'!E787&lt;=1.5,IF('1 Data'!F787&lt;=1.5,IF('1 Data'!G787&lt;=0.0003,1,2),IF('1 Data'!C787&lt;=165000,3,4)),IF('1 Data'!G787&lt;=0.0652,5,IF('1 Data'!G787&lt;=0.716,6,7)))</f>
        <v/>
      </c>
      <c r="D798" s="23">
        <f>INDEX($F$12:$F$18,C798)</f>
        <v/>
      </c>
      <c r="E798" s="27">
        <f>'1 Data'!I787</f>
        <v/>
      </c>
      <c r="F798" s="30">
        <f>COUNTIF($D$23:$D$1022,"&lt;"&amp;D798)+(COUNTIF($D$23:$D$1022,"="&amp;D798)+1)/2</f>
        <v/>
      </c>
    </row>
    <row r="799">
      <c r="B799" s="27">
        <f>'1 Data'!B788</f>
        <v/>
      </c>
      <c r="C799" s="29">
        <f>IF('1 Data'!E788&lt;=1.5,IF('1 Data'!F788&lt;=1.5,IF('1 Data'!G788&lt;=0.0003,1,2),IF('1 Data'!C788&lt;=165000,3,4)),IF('1 Data'!G788&lt;=0.0652,5,IF('1 Data'!G788&lt;=0.716,6,7)))</f>
        <v/>
      </c>
      <c r="D799" s="23">
        <f>INDEX($F$12:$F$18,C799)</f>
        <v/>
      </c>
      <c r="E799" s="27">
        <f>'1 Data'!I788</f>
        <v/>
      </c>
      <c r="F799" s="30">
        <f>COUNTIF($D$23:$D$1022,"&lt;"&amp;D799)+(COUNTIF($D$23:$D$1022,"="&amp;D799)+1)/2</f>
        <v/>
      </c>
    </row>
    <row r="800">
      <c r="B800" s="27">
        <f>'1 Data'!B789</f>
        <v/>
      </c>
      <c r="C800" s="29">
        <f>IF('1 Data'!E789&lt;=1.5,IF('1 Data'!F789&lt;=1.5,IF('1 Data'!G789&lt;=0.0003,1,2),IF('1 Data'!C789&lt;=165000,3,4)),IF('1 Data'!G789&lt;=0.0652,5,IF('1 Data'!G789&lt;=0.716,6,7)))</f>
        <v/>
      </c>
      <c r="D800" s="23">
        <f>INDEX($F$12:$F$18,C800)</f>
        <v/>
      </c>
      <c r="E800" s="27">
        <f>'1 Data'!I789</f>
        <v/>
      </c>
      <c r="F800" s="30">
        <f>COUNTIF($D$23:$D$1022,"&lt;"&amp;D800)+(COUNTIF($D$23:$D$1022,"="&amp;D800)+1)/2</f>
        <v/>
      </c>
    </row>
    <row r="801">
      <c r="B801" s="27">
        <f>'1 Data'!B790</f>
        <v/>
      </c>
      <c r="C801" s="29">
        <f>IF('1 Data'!E790&lt;=1.5,IF('1 Data'!F790&lt;=1.5,IF('1 Data'!G790&lt;=0.0003,1,2),IF('1 Data'!C790&lt;=165000,3,4)),IF('1 Data'!G790&lt;=0.0652,5,IF('1 Data'!G790&lt;=0.716,6,7)))</f>
        <v/>
      </c>
      <c r="D801" s="23">
        <f>INDEX($F$12:$F$18,C801)</f>
        <v/>
      </c>
      <c r="E801" s="27">
        <f>'1 Data'!I790</f>
        <v/>
      </c>
      <c r="F801" s="30">
        <f>COUNTIF($D$23:$D$1022,"&lt;"&amp;D801)+(COUNTIF($D$23:$D$1022,"="&amp;D801)+1)/2</f>
        <v/>
      </c>
    </row>
    <row r="802">
      <c r="B802" s="27">
        <f>'1 Data'!B791</f>
        <v/>
      </c>
      <c r="C802" s="29">
        <f>IF('1 Data'!E791&lt;=1.5,IF('1 Data'!F791&lt;=1.5,IF('1 Data'!G791&lt;=0.0003,1,2),IF('1 Data'!C791&lt;=165000,3,4)),IF('1 Data'!G791&lt;=0.0652,5,IF('1 Data'!G791&lt;=0.716,6,7)))</f>
        <v/>
      </c>
      <c r="D802" s="23">
        <f>INDEX($F$12:$F$18,C802)</f>
        <v/>
      </c>
      <c r="E802" s="27">
        <f>'1 Data'!I791</f>
        <v/>
      </c>
      <c r="F802" s="30">
        <f>COUNTIF($D$23:$D$1022,"&lt;"&amp;D802)+(COUNTIF($D$23:$D$1022,"="&amp;D802)+1)/2</f>
        <v/>
      </c>
    </row>
    <row r="803">
      <c r="B803" s="27">
        <f>'1 Data'!B792</f>
        <v/>
      </c>
      <c r="C803" s="29">
        <f>IF('1 Data'!E792&lt;=1.5,IF('1 Data'!F792&lt;=1.5,IF('1 Data'!G792&lt;=0.0003,1,2),IF('1 Data'!C792&lt;=165000,3,4)),IF('1 Data'!G792&lt;=0.0652,5,IF('1 Data'!G792&lt;=0.716,6,7)))</f>
        <v/>
      </c>
      <c r="D803" s="23">
        <f>INDEX($F$12:$F$18,C803)</f>
        <v/>
      </c>
      <c r="E803" s="27">
        <f>'1 Data'!I792</f>
        <v/>
      </c>
      <c r="F803" s="30">
        <f>COUNTIF($D$23:$D$1022,"&lt;"&amp;D803)+(COUNTIF($D$23:$D$1022,"="&amp;D803)+1)/2</f>
        <v/>
      </c>
    </row>
    <row r="804">
      <c r="B804" s="27">
        <f>'1 Data'!B793</f>
        <v/>
      </c>
      <c r="C804" s="29">
        <f>IF('1 Data'!E793&lt;=1.5,IF('1 Data'!F793&lt;=1.5,IF('1 Data'!G793&lt;=0.0003,1,2),IF('1 Data'!C793&lt;=165000,3,4)),IF('1 Data'!G793&lt;=0.0652,5,IF('1 Data'!G793&lt;=0.716,6,7)))</f>
        <v/>
      </c>
      <c r="D804" s="23">
        <f>INDEX($F$12:$F$18,C804)</f>
        <v/>
      </c>
      <c r="E804" s="27">
        <f>'1 Data'!I793</f>
        <v/>
      </c>
      <c r="F804" s="30">
        <f>COUNTIF($D$23:$D$1022,"&lt;"&amp;D804)+(COUNTIF($D$23:$D$1022,"="&amp;D804)+1)/2</f>
        <v/>
      </c>
    </row>
    <row r="805">
      <c r="B805" s="27">
        <f>'1 Data'!B794</f>
        <v/>
      </c>
      <c r="C805" s="29">
        <f>IF('1 Data'!E794&lt;=1.5,IF('1 Data'!F794&lt;=1.5,IF('1 Data'!G794&lt;=0.0003,1,2),IF('1 Data'!C794&lt;=165000,3,4)),IF('1 Data'!G794&lt;=0.0652,5,IF('1 Data'!G794&lt;=0.716,6,7)))</f>
        <v/>
      </c>
      <c r="D805" s="23">
        <f>INDEX($F$12:$F$18,C805)</f>
        <v/>
      </c>
      <c r="E805" s="27">
        <f>'1 Data'!I794</f>
        <v/>
      </c>
      <c r="F805" s="30">
        <f>COUNTIF($D$23:$D$1022,"&lt;"&amp;D805)+(COUNTIF($D$23:$D$1022,"="&amp;D805)+1)/2</f>
        <v/>
      </c>
    </row>
    <row r="806">
      <c r="B806" s="27">
        <f>'1 Data'!B795</f>
        <v/>
      </c>
      <c r="C806" s="29">
        <f>IF('1 Data'!E795&lt;=1.5,IF('1 Data'!F795&lt;=1.5,IF('1 Data'!G795&lt;=0.0003,1,2),IF('1 Data'!C795&lt;=165000,3,4)),IF('1 Data'!G795&lt;=0.0652,5,IF('1 Data'!G795&lt;=0.716,6,7)))</f>
        <v/>
      </c>
      <c r="D806" s="23">
        <f>INDEX($F$12:$F$18,C806)</f>
        <v/>
      </c>
      <c r="E806" s="27">
        <f>'1 Data'!I795</f>
        <v/>
      </c>
      <c r="F806" s="30">
        <f>COUNTIF($D$23:$D$1022,"&lt;"&amp;D806)+(COUNTIF($D$23:$D$1022,"="&amp;D806)+1)/2</f>
        <v/>
      </c>
    </row>
    <row r="807">
      <c r="B807" s="27">
        <f>'1 Data'!B796</f>
        <v/>
      </c>
      <c r="C807" s="29">
        <f>IF('1 Data'!E796&lt;=1.5,IF('1 Data'!F796&lt;=1.5,IF('1 Data'!G796&lt;=0.0003,1,2),IF('1 Data'!C796&lt;=165000,3,4)),IF('1 Data'!G796&lt;=0.0652,5,IF('1 Data'!G796&lt;=0.716,6,7)))</f>
        <v/>
      </c>
      <c r="D807" s="23">
        <f>INDEX($F$12:$F$18,C807)</f>
        <v/>
      </c>
      <c r="E807" s="27">
        <f>'1 Data'!I796</f>
        <v/>
      </c>
      <c r="F807" s="30">
        <f>COUNTIF($D$23:$D$1022,"&lt;"&amp;D807)+(COUNTIF($D$23:$D$1022,"="&amp;D807)+1)/2</f>
        <v/>
      </c>
    </row>
    <row r="808">
      <c r="B808" s="27">
        <f>'1 Data'!B797</f>
        <v/>
      </c>
      <c r="C808" s="29">
        <f>IF('1 Data'!E797&lt;=1.5,IF('1 Data'!F797&lt;=1.5,IF('1 Data'!G797&lt;=0.0003,1,2),IF('1 Data'!C797&lt;=165000,3,4)),IF('1 Data'!G797&lt;=0.0652,5,IF('1 Data'!G797&lt;=0.716,6,7)))</f>
        <v/>
      </c>
      <c r="D808" s="23">
        <f>INDEX($F$12:$F$18,C808)</f>
        <v/>
      </c>
      <c r="E808" s="27">
        <f>'1 Data'!I797</f>
        <v/>
      </c>
      <c r="F808" s="30">
        <f>COUNTIF($D$23:$D$1022,"&lt;"&amp;D808)+(COUNTIF($D$23:$D$1022,"="&amp;D808)+1)/2</f>
        <v/>
      </c>
    </row>
    <row r="809">
      <c r="B809" s="27">
        <f>'1 Data'!B798</f>
        <v/>
      </c>
      <c r="C809" s="29">
        <f>IF('1 Data'!E798&lt;=1.5,IF('1 Data'!F798&lt;=1.5,IF('1 Data'!G798&lt;=0.0003,1,2),IF('1 Data'!C798&lt;=165000,3,4)),IF('1 Data'!G798&lt;=0.0652,5,IF('1 Data'!G798&lt;=0.716,6,7)))</f>
        <v/>
      </c>
      <c r="D809" s="23">
        <f>INDEX($F$12:$F$18,C809)</f>
        <v/>
      </c>
      <c r="E809" s="27">
        <f>'1 Data'!I798</f>
        <v/>
      </c>
      <c r="F809" s="30">
        <f>COUNTIF($D$23:$D$1022,"&lt;"&amp;D809)+(COUNTIF($D$23:$D$1022,"="&amp;D809)+1)/2</f>
        <v/>
      </c>
    </row>
    <row r="810">
      <c r="B810" s="27">
        <f>'1 Data'!B799</f>
        <v/>
      </c>
      <c r="C810" s="29">
        <f>IF('1 Data'!E799&lt;=1.5,IF('1 Data'!F799&lt;=1.5,IF('1 Data'!G799&lt;=0.0003,1,2),IF('1 Data'!C799&lt;=165000,3,4)),IF('1 Data'!G799&lt;=0.0652,5,IF('1 Data'!G799&lt;=0.716,6,7)))</f>
        <v/>
      </c>
      <c r="D810" s="23">
        <f>INDEX($F$12:$F$18,C810)</f>
        <v/>
      </c>
      <c r="E810" s="27">
        <f>'1 Data'!I799</f>
        <v/>
      </c>
      <c r="F810" s="30">
        <f>COUNTIF($D$23:$D$1022,"&lt;"&amp;D810)+(COUNTIF($D$23:$D$1022,"="&amp;D810)+1)/2</f>
        <v/>
      </c>
    </row>
    <row r="811">
      <c r="B811" s="27">
        <f>'1 Data'!B800</f>
        <v/>
      </c>
      <c r="C811" s="29">
        <f>IF('1 Data'!E800&lt;=1.5,IF('1 Data'!F800&lt;=1.5,IF('1 Data'!G800&lt;=0.0003,1,2),IF('1 Data'!C800&lt;=165000,3,4)),IF('1 Data'!G800&lt;=0.0652,5,IF('1 Data'!G800&lt;=0.716,6,7)))</f>
        <v/>
      </c>
      <c r="D811" s="23">
        <f>INDEX($F$12:$F$18,C811)</f>
        <v/>
      </c>
      <c r="E811" s="27">
        <f>'1 Data'!I800</f>
        <v/>
      </c>
      <c r="F811" s="30">
        <f>COUNTIF($D$23:$D$1022,"&lt;"&amp;D811)+(COUNTIF($D$23:$D$1022,"="&amp;D811)+1)/2</f>
        <v/>
      </c>
    </row>
    <row r="812">
      <c r="B812" s="27">
        <f>'1 Data'!B801</f>
        <v/>
      </c>
      <c r="C812" s="29">
        <f>IF('1 Data'!E801&lt;=1.5,IF('1 Data'!F801&lt;=1.5,IF('1 Data'!G801&lt;=0.0003,1,2),IF('1 Data'!C801&lt;=165000,3,4)),IF('1 Data'!G801&lt;=0.0652,5,IF('1 Data'!G801&lt;=0.716,6,7)))</f>
        <v/>
      </c>
      <c r="D812" s="23">
        <f>INDEX($F$12:$F$18,C812)</f>
        <v/>
      </c>
      <c r="E812" s="27">
        <f>'1 Data'!I801</f>
        <v/>
      </c>
      <c r="F812" s="30">
        <f>COUNTIF($D$23:$D$1022,"&lt;"&amp;D812)+(COUNTIF($D$23:$D$1022,"="&amp;D812)+1)/2</f>
        <v/>
      </c>
    </row>
    <row r="813">
      <c r="B813" s="27">
        <f>'1 Data'!B802</f>
        <v/>
      </c>
      <c r="C813" s="29">
        <f>IF('1 Data'!E802&lt;=1.5,IF('1 Data'!F802&lt;=1.5,IF('1 Data'!G802&lt;=0.0003,1,2),IF('1 Data'!C802&lt;=165000,3,4)),IF('1 Data'!G802&lt;=0.0652,5,IF('1 Data'!G802&lt;=0.716,6,7)))</f>
        <v/>
      </c>
      <c r="D813" s="23">
        <f>INDEX($F$12:$F$18,C813)</f>
        <v/>
      </c>
      <c r="E813" s="27">
        <f>'1 Data'!I802</f>
        <v/>
      </c>
      <c r="F813" s="30">
        <f>COUNTIF($D$23:$D$1022,"&lt;"&amp;D813)+(COUNTIF($D$23:$D$1022,"="&amp;D813)+1)/2</f>
        <v/>
      </c>
    </row>
    <row r="814">
      <c r="B814" s="27">
        <f>'1 Data'!B803</f>
        <v/>
      </c>
      <c r="C814" s="29">
        <f>IF('1 Data'!E803&lt;=1.5,IF('1 Data'!F803&lt;=1.5,IF('1 Data'!G803&lt;=0.0003,1,2),IF('1 Data'!C803&lt;=165000,3,4)),IF('1 Data'!G803&lt;=0.0652,5,IF('1 Data'!G803&lt;=0.716,6,7)))</f>
        <v/>
      </c>
      <c r="D814" s="23">
        <f>INDEX($F$12:$F$18,C814)</f>
        <v/>
      </c>
      <c r="E814" s="27">
        <f>'1 Data'!I803</f>
        <v/>
      </c>
      <c r="F814" s="30">
        <f>COUNTIF($D$23:$D$1022,"&lt;"&amp;D814)+(COUNTIF($D$23:$D$1022,"="&amp;D814)+1)/2</f>
        <v/>
      </c>
    </row>
    <row r="815">
      <c r="B815" s="27">
        <f>'1 Data'!B804</f>
        <v/>
      </c>
      <c r="C815" s="29">
        <f>IF('1 Data'!E804&lt;=1.5,IF('1 Data'!F804&lt;=1.5,IF('1 Data'!G804&lt;=0.0003,1,2),IF('1 Data'!C804&lt;=165000,3,4)),IF('1 Data'!G804&lt;=0.0652,5,IF('1 Data'!G804&lt;=0.716,6,7)))</f>
        <v/>
      </c>
      <c r="D815" s="23">
        <f>INDEX($F$12:$F$18,C815)</f>
        <v/>
      </c>
      <c r="E815" s="27">
        <f>'1 Data'!I804</f>
        <v/>
      </c>
      <c r="F815" s="30">
        <f>COUNTIF($D$23:$D$1022,"&lt;"&amp;D815)+(COUNTIF($D$23:$D$1022,"="&amp;D815)+1)/2</f>
        <v/>
      </c>
    </row>
    <row r="816">
      <c r="B816" s="27">
        <f>'1 Data'!B805</f>
        <v/>
      </c>
      <c r="C816" s="29">
        <f>IF('1 Data'!E805&lt;=1.5,IF('1 Data'!F805&lt;=1.5,IF('1 Data'!G805&lt;=0.0003,1,2),IF('1 Data'!C805&lt;=165000,3,4)),IF('1 Data'!G805&lt;=0.0652,5,IF('1 Data'!G805&lt;=0.716,6,7)))</f>
        <v/>
      </c>
      <c r="D816" s="23">
        <f>INDEX($F$12:$F$18,C816)</f>
        <v/>
      </c>
      <c r="E816" s="27">
        <f>'1 Data'!I805</f>
        <v/>
      </c>
      <c r="F816" s="30">
        <f>COUNTIF($D$23:$D$1022,"&lt;"&amp;D816)+(COUNTIF($D$23:$D$1022,"="&amp;D816)+1)/2</f>
        <v/>
      </c>
    </row>
    <row r="817">
      <c r="B817" s="27">
        <f>'1 Data'!B806</f>
        <v/>
      </c>
      <c r="C817" s="29">
        <f>IF('1 Data'!E806&lt;=1.5,IF('1 Data'!F806&lt;=1.5,IF('1 Data'!G806&lt;=0.0003,1,2),IF('1 Data'!C806&lt;=165000,3,4)),IF('1 Data'!G806&lt;=0.0652,5,IF('1 Data'!G806&lt;=0.716,6,7)))</f>
        <v/>
      </c>
      <c r="D817" s="23">
        <f>INDEX($F$12:$F$18,C817)</f>
        <v/>
      </c>
      <c r="E817" s="27">
        <f>'1 Data'!I806</f>
        <v/>
      </c>
      <c r="F817" s="30">
        <f>COUNTIF($D$23:$D$1022,"&lt;"&amp;D817)+(COUNTIF($D$23:$D$1022,"="&amp;D817)+1)/2</f>
        <v/>
      </c>
    </row>
    <row r="818">
      <c r="B818" s="27">
        <f>'1 Data'!B807</f>
        <v/>
      </c>
      <c r="C818" s="29">
        <f>IF('1 Data'!E807&lt;=1.5,IF('1 Data'!F807&lt;=1.5,IF('1 Data'!G807&lt;=0.0003,1,2),IF('1 Data'!C807&lt;=165000,3,4)),IF('1 Data'!G807&lt;=0.0652,5,IF('1 Data'!G807&lt;=0.716,6,7)))</f>
        <v/>
      </c>
      <c r="D818" s="23">
        <f>INDEX($F$12:$F$18,C818)</f>
        <v/>
      </c>
      <c r="E818" s="27">
        <f>'1 Data'!I807</f>
        <v/>
      </c>
      <c r="F818" s="30">
        <f>COUNTIF($D$23:$D$1022,"&lt;"&amp;D818)+(COUNTIF($D$23:$D$1022,"="&amp;D818)+1)/2</f>
        <v/>
      </c>
    </row>
    <row r="819">
      <c r="B819" s="27">
        <f>'1 Data'!B808</f>
        <v/>
      </c>
      <c r="C819" s="29">
        <f>IF('1 Data'!E808&lt;=1.5,IF('1 Data'!F808&lt;=1.5,IF('1 Data'!G808&lt;=0.0003,1,2),IF('1 Data'!C808&lt;=165000,3,4)),IF('1 Data'!G808&lt;=0.0652,5,IF('1 Data'!G808&lt;=0.716,6,7)))</f>
        <v/>
      </c>
      <c r="D819" s="23">
        <f>INDEX($F$12:$F$18,C819)</f>
        <v/>
      </c>
      <c r="E819" s="27">
        <f>'1 Data'!I808</f>
        <v/>
      </c>
      <c r="F819" s="30">
        <f>COUNTIF($D$23:$D$1022,"&lt;"&amp;D819)+(COUNTIF($D$23:$D$1022,"="&amp;D819)+1)/2</f>
        <v/>
      </c>
    </row>
    <row r="820">
      <c r="B820" s="27">
        <f>'1 Data'!B809</f>
        <v/>
      </c>
      <c r="C820" s="29">
        <f>IF('1 Data'!E809&lt;=1.5,IF('1 Data'!F809&lt;=1.5,IF('1 Data'!G809&lt;=0.0003,1,2),IF('1 Data'!C809&lt;=165000,3,4)),IF('1 Data'!G809&lt;=0.0652,5,IF('1 Data'!G809&lt;=0.716,6,7)))</f>
        <v/>
      </c>
      <c r="D820" s="23">
        <f>INDEX($F$12:$F$18,C820)</f>
        <v/>
      </c>
      <c r="E820" s="27">
        <f>'1 Data'!I809</f>
        <v/>
      </c>
      <c r="F820" s="30">
        <f>COUNTIF($D$23:$D$1022,"&lt;"&amp;D820)+(COUNTIF($D$23:$D$1022,"="&amp;D820)+1)/2</f>
        <v/>
      </c>
    </row>
    <row r="821">
      <c r="B821" s="27">
        <f>'1 Data'!B810</f>
        <v/>
      </c>
      <c r="C821" s="29">
        <f>IF('1 Data'!E810&lt;=1.5,IF('1 Data'!F810&lt;=1.5,IF('1 Data'!G810&lt;=0.0003,1,2),IF('1 Data'!C810&lt;=165000,3,4)),IF('1 Data'!G810&lt;=0.0652,5,IF('1 Data'!G810&lt;=0.716,6,7)))</f>
        <v/>
      </c>
      <c r="D821" s="23">
        <f>INDEX($F$12:$F$18,C821)</f>
        <v/>
      </c>
      <c r="E821" s="27">
        <f>'1 Data'!I810</f>
        <v/>
      </c>
      <c r="F821" s="30">
        <f>COUNTIF($D$23:$D$1022,"&lt;"&amp;D821)+(COUNTIF($D$23:$D$1022,"="&amp;D821)+1)/2</f>
        <v/>
      </c>
    </row>
    <row r="822">
      <c r="B822" s="27">
        <f>'1 Data'!B811</f>
        <v/>
      </c>
      <c r="C822" s="29">
        <f>IF('1 Data'!E811&lt;=1.5,IF('1 Data'!F811&lt;=1.5,IF('1 Data'!G811&lt;=0.0003,1,2),IF('1 Data'!C811&lt;=165000,3,4)),IF('1 Data'!G811&lt;=0.0652,5,IF('1 Data'!G811&lt;=0.716,6,7)))</f>
        <v/>
      </c>
      <c r="D822" s="23">
        <f>INDEX($F$12:$F$18,C822)</f>
        <v/>
      </c>
      <c r="E822" s="27">
        <f>'1 Data'!I811</f>
        <v/>
      </c>
      <c r="F822" s="30">
        <f>COUNTIF($D$23:$D$1022,"&lt;"&amp;D822)+(COUNTIF($D$23:$D$1022,"="&amp;D822)+1)/2</f>
        <v/>
      </c>
    </row>
    <row r="823">
      <c r="B823" s="27">
        <f>'1 Data'!B812</f>
        <v/>
      </c>
      <c r="C823" s="29">
        <f>IF('1 Data'!E812&lt;=1.5,IF('1 Data'!F812&lt;=1.5,IF('1 Data'!G812&lt;=0.0003,1,2),IF('1 Data'!C812&lt;=165000,3,4)),IF('1 Data'!G812&lt;=0.0652,5,IF('1 Data'!G812&lt;=0.716,6,7)))</f>
        <v/>
      </c>
      <c r="D823" s="23">
        <f>INDEX($F$12:$F$18,C823)</f>
        <v/>
      </c>
      <c r="E823" s="27">
        <f>'1 Data'!I812</f>
        <v/>
      </c>
      <c r="F823" s="30">
        <f>COUNTIF($D$23:$D$1022,"&lt;"&amp;D823)+(COUNTIF($D$23:$D$1022,"="&amp;D823)+1)/2</f>
        <v/>
      </c>
    </row>
    <row r="824">
      <c r="B824" s="27">
        <f>'1 Data'!B813</f>
        <v/>
      </c>
      <c r="C824" s="29">
        <f>IF('1 Data'!E813&lt;=1.5,IF('1 Data'!F813&lt;=1.5,IF('1 Data'!G813&lt;=0.0003,1,2),IF('1 Data'!C813&lt;=165000,3,4)),IF('1 Data'!G813&lt;=0.0652,5,IF('1 Data'!G813&lt;=0.716,6,7)))</f>
        <v/>
      </c>
      <c r="D824" s="23">
        <f>INDEX($F$12:$F$18,C824)</f>
        <v/>
      </c>
      <c r="E824" s="27">
        <f>'1 Data'!I813</f>
        <v/>
      </c>
      <c r="F824" s="30">
        <f>COUNTIF($D$23:$D$1022,"&lt;"&amp;D824)+(COUNTIF($D$23:$D$1022,"="&amp;D824)+1)/2</f>
        <v/>
      </c>
    </row>
    <row r="825">
      <c r="B825" s="27">
        <f>'1 Data'!B814</f>
        <v/>
      </c>
      <c r="C825" s="29">
        <f>IF('1 Data'!E814&lt;=1.5,IF('1 Data'!F814&lt;=1.5,IF('1 Data'!G814&lt;=0.0003,1,2),IF('1 Data'!C814&lt;=165000,3,4)),IF('1 Data'!G814&lt;=0.0652,5,IF('1 Data'!G814&lt;=0.716,6,7)))</f>
        <v/>
      </c>
      <c r="D825" s="23">
        <f>INDEX($F$12:$F$18,C825)</f>
        <v/>
      </c>
      <c r="E825" s="27">
        <f>'1 Data'!I814</f>
        <v/>
      </c>
      <c r="F825" s="30">
        <f>COUNTIF($D$23:$D$1022,"&lt;"&amp;D825)+(COUNTIF($D$23:$D$1022,"="&amp;D825)+1)/2</f>
        <v/>
      </c>
    </row>
    <row r="826">
      <c r="B826" s="27">
        <f>'1 Data'!B815</f>
        <v/>
      </c>
      <c r="C826" s="29">
        <f>IF('1 Data'!E815&lt;=1.5,IF('1 Data'!F815&lt;=1.5,IF('1 Data'!G815&lt;=0.0003,1,2),IF('1 Data'!C815&lt;=165000,3,4)),IF('1 Data'!G815&lt;=0.0652,5,IF('1 Data'!G815&lt;=0.716,6,7)))</f>
        <v/>
      </c>
      <c r="D826" s="23">
        <f>INDEX($F$12:$F$18,C826)</f>
        <v/>
      </c>
      <c r="E826" s="27">
        <f>'1 Data'!I815</f>
        <v/>
      </c>
      <c r="F826" s="30">
        <f>COUNTIF($D$23:$D$1022,"&lt;"&amp;D826)+(COUNTIF($D$23:$D$1022,"="&amp;D826)+1)/2</f>
        <v/>
      </c>
    </row>
    <row r="827">
      <c r="B827" s="27">
        <f>'1 Data'!B816</f>
        <v/>
      </c>
      <c r="C827" s="29">
        <f>IF('1 Data'!E816&lt;=1.5,IF('1 Data'!F816&lt;=1.5,IF('1 Data'!G816&lt;=0.0003,1,2),IF('1 Data'!C816&lt;=165000,3,4)),IF('1 Data'!G816&lt;=0.0652,5,IF('1 Data'!G816&lt;=0.716,6,7)))</f>
        <v/>
      </c>
      <c r="D827" s="23">
        <f>INDEX($F$12:$F$18,C827)</f>
        <v/>
      </c>
      <c r="E827" s="27">
        <f>'1 Data'!I816</f>
        <v/>
      </c>
      <c r="F827" s="30">
        <f>COUNTIF($D$23:$D$1022,"&lt;"&amp;D827)+(COUNTIF($D$23:$D$1022,"="&amp;D827)+1)/2</f>
        <v/>
      </c>
    </row>
    <row r="828">
      <c r="B828" s="27">
        <f>'1 Data'!B817</f>
        <v/>
      </c>
      <c r="C828" s="29">
        <f>IF('1 Data'!E817&lt;=1.5,IF('1 Data'!F817&lt;=1.5,IF('1 Data'!G817&lt;=0.0003,1,2),IF('1 Data'!C817&lt;=165000,3,4)),IF('1 Data'!G817&lt;=0.0652,5,IF('1 Data'!G817&lt;=0.716,6,7)))</f>
        <v/>
      </c>
      <c r="D828" s="23">
        <f>INDEX($F$12:$F$18,C828)</f>
        <v/>
      </c>
      <c r="E828" s="27">
        <f>'1 Data'!I817</f>
        <v/>
      </c>
      <c r="F828" s="30">
        <f>COUNTIF($D$23:$D$1022,"&lt;"&amp;D828)+(COUNTIF($D$23:$D$1022,"="&amp;D828)+1)/2</f>
        <v/>
      </c>
    </row>
    <row r="829">
      <c r="B829" s="27">
        <f>'1 Data'!B818</f>
        <v/>
      </c>
      <c r="C829" s="29">
        <f>IF('1 Data'!E818&lt;=1.5,IF('1 Data'!F818&lt;=1.5,IF('1 Data'!G818&lt;=0.0003,1,2),IF('1 Data'!C818&lt;=165000,3,4)),IF('1 Data'!G818&lt;=0.0652,5,IF('1 Data'!G818&lt;=0.716,6,7)))</f>
        <v/>
      </c>
      <c r="D829" s="23">
        <f>INDEX($F$12:$F$18,C829)</f>
        <v/>
      </c>
      <c r="E829" s="27">
        <f>'1 Data'!I818</f>
        <v/>
      </c>
      <c r="F829" s="30">
        <f>COUNTIF($D$23:$D$1022,"&lt;"&amp;D829)+(COUNTIF($D$23:$D$1022,"="&amp;D829)+1)/2</f>
        <v/>
      </c>
    </row>
    <row r="830">
      <c r="B830" s="27">
        <f>'1 Data'!B819</f>
        <v/>
      </c>
      <c r="C830" s="29">
        <f>IF('1 Data'!E819&lt;=1.5,IF('1 Data'!F819&lt;=1.5,IF('1 Data'!G819&lt;=0.0003,1,2),IF('1 Data'!C819&lt;=165000,3,4)),IF('1 Data'!G819&lt;=0.0652,5,IF('1 Data'!G819&lt;=0.716,6,7)))</f>
        <v/>
      </c>
      <c r="D830" s="23">
        <f>INDEX($F$12:$F$18,C830)</f>
        <v/>
      </c>
      <c r="E830" s="27">
        <f>'1 Data'!I819</f>
        <v/>
      </c>
      <c r="F830" s="30">
        <f>COUNTIF($D$23:$D$1022,"&lt;"&amp;D830)+(COUNTIF($D$23:$D$1022,"="&amp;D830)+1)/2</f>
        <v/>
      </c>
    </row>
    <row r="831">
      <c r="B831" s="27">
        <f>'1 Data'!B820</f>
        <v/>
      </c>
      <c r="C831" s="29">
        <f>IF('1 Data'!E820&lt;=1.5,IF('1 Data'!F820&lt;=1.5,IF('1 Data'!G820&lt;=0.0003,1,2),IF('1 Data'!C820&lt;=165000,3,4)),IF('1 Data'!G820&lt;=0.0652,5,IF('1 Data'!G820&lt;=0.716,6,7)))</f>
        <v/>
      </c>
      <c r="D831" s="23">
        <f>INDEX($F$12:$F$18,C831)</f>
        <v/>
      </c>
      <c r="E831" s="27">
        <f>'1 Data'!I820</f>
        <v/>
      </c>
      <c r="F831" s="30">
        <f>COUNTIF($D$23:$D$1022,"&lt;"&amp;D831)+(COUNTIF($D$23:$D$1022,"="&amp;D831)+1)/2</f>
        <v/>
      </c>
    </row>
    <row r="832">
      <c r="B832" s="27">
        <f>'1 Data'!B821</f>
        <v/>
      </c>
      <c r="C832" s="29">
        <f>IF('1 Data'!E821&lt;=1.5,IF('1 Data'!F821&lt;=1.5,IF('1 Data'!G821&lt;=0.0003,1,2),IF('1 Data'!C821&lt;=165000,3,4)),IF('1 Data'!G821&lt;=0.0652,5,IF('1 Data'!G821&lt;=0.716,6,7)))</f>
        <v/>
      </c>
      <c r="D832" s="23">
        <f>INDEX($F$12:$F$18,C832)</f>
        <v/>
      </c>
      <c r="E832" s="27">
        <f>'1 Data'!I821</f>
        <v/>
      </c>
      <c r="F832" s="30">
        <f>COUNTIF($D$23:$D$1022,"&lt;"&amp;D832)+(COUNTIF($D$23:$D$1022,"="&amp;D832)+1)/2</f>
        <v/>
      </c>
    </row>
    <row r="833">
      <c r="B833" s="27">
        <f>'1 Data'!B822</f>
        <v/>
      </c>
      <c r="C833" s="29">
        <f>IF('1 Data'!E822&lt;=1.5,IF('1 Data'!F822&lt;=1.5,IF('1 Data'!G822&lt;=0.0003,1,2),IF('1 Data'!C822&lt;=165000,3,4)),IF('1 Data'!G822&lt;=0.0652,5,IF('1 Data'!G822&lt;=0.716,6,7)))</f>
        <v/>
      </c>
      <c r="D833" s="23">
        <f>INDEX($F$12:$F$18,C833)</f>
        <v/>
      </c>
      <c r="E833" s="27">
        <f>'1 Data'!I822</f>
        <v/>
      </c>
      <c r="F833" s="30">
        <f>COUNTIF($D$23:$D$1022,"&lt;"&amp;D833)+(COUNTIF($D$23:$D$1022,"="&amp;D833)+1)/2</f>
        <v/>
      </c>
    </row>
    <row r="834">
      <c r="B834" s="27">
        <f>'1 Data'!B823</f>
        <v/>
      </c>
      <c r="C834" s="29">
        <f>IF('1 Data'!E823&lt;=1.5,IF('1 Data'!F823&lt;=1.5,IF('1 Data'!G823&lt;=0.0003,1,2),IF('1 Data'!C823&lt;=165000,3,4)),IF('1 Data'!G823&lt;=0.0652,5,IF('1 Data'!G823&lt;=0.716,6,7)))</f>
        <v/>
      </c>
      <c r="D834" s="23">
        <f>INDEX($F$12:$F$18,C834)</f>
        <v/>
      </c>
      <c r="E834" s="27">
        <f>'1 Data'!I823</f>
        <v/>
      </c>
      <c r="F834" s="30">
        <f>COUNTIF($D$23:$D$1022,"&lt;"&amp;D834)+(COUNTIF($D$23:$D$1022,"="&amp;D834)+1)/2</f>
        <v/>
      </c>
    </row>
    <row r="835">
      <c r="B835" s="27">
        <f>'1 Data'!B824</f>
        <v/>
      </c>
      <c r="C835" s="29">
        <f>IF('1 Data'!E824&lt;=1.5,IF('1 Data'!F824&lt;=1.5,IF('1 Data'!G824&lt;=0.0003,1,2),IF('1 Data'!C824&lt;=165000,3,4)),IF('1 Data'!G824&lt;=0.0652,5,IF('1 Data'!G824&lt;=0.716,6,7)))</f>
        <v/>
      </c>
      <c r="D835" s="23">
        <f>INDEX($F$12:$F$18,C835)</f>
        <v/>
      </c>
      <c r="E835" s="27">
        <f>'1 Data'!I824</f>
        <v/>
      </c>
      <c r="F835" s="30">
        <f>COUNTIF($D$23:$D$1022,"&lt;"&amp;D835)+(COUNTIF($D$23:$D$1022,"="&amp;D835)+1)/2</f>
        <v/>
      </c>
    </row>
    <row r="836">
      <c r="B836" s="27">
        <f>'1 Data'!B825</f>
        <v/>
      </c>
      <c r="C836" s="29">
        <f>IF('1 Data'!E825&lt;=1.5,IF('1 Data'!F825&lt;=1.5,IF('1 Data'!G825&lt;=0.0003,1,2),IF('1 Data'!C825&lt;=165000,3,4)),IF('1 Data'!G825&lt;=0.0652,5,IF('1 Data'!G825&lt;=0.716,6,7)))</f>
        <v/>
      </c>
      <c r="D836" s="23">
        <f>INDEX($F$12:$F$18,C836)</f>
        <v/>
      </c>
      <c r="E836" s="27">
        <f>'1 Data'!I825</f>
        <v/>
      </c>
      <c r="F836" s="30">
        <f>COUNTIF($D$23:$D$1022,"&lt;"&amp;D836)+(COUNTIF($D$23:$D$1022,"="&amp;D836)+1)/2</f>
        <v/>
      </c>
    </row>
    <row r="837">
      <c r="B837" s="27">
        <f>'1 Data'!B826</f>
        <v/>
      </c>
      <c r="C837" s="29">
        <f>IF('1 Data'!E826&lt;=1.5,IF('1 Data'!F826&lt;=1.5,IF('1 Data'!G826&lt;=0.0003,1,2),IF('1 Data'!C826&lt;=165000,3,4)),IF('1 Data'!G826&lt;=0.0652,5,IF('1 Data'!G826&lt;=0.716,6,7)))</f>
        <v/>
      </c>
      <c r="D837" s="23">
        <f>INDEX($F$12:$F$18,C837)</f>
        <v/>
      </c>
      <c r="E837" s="27">
        <f>'1 Data'!I826</f>
        <v/>
      </c>
      <c r="F837" s="30">
        <f>COUNTIF($D$23:$D$1022,"&lt;"&amp;D837)+(COUNTIF($D$23:$D$1022,"="&amp;D837)+1)/2</f>
        <v/>
      </c>
    </row>
    <row r="838">
      <c r="B838" s="27">
        <f>'1 Data'!B827</f>
        <v/>
      </c>
      <c r="C838" s="29">
        <f>IF('1 Data'!E827&lt;=1.5,IF('1 Data'!F827&lt;=1.5,IF('1 Data'!G827&lt;=0.0003,1,2),IF('1 Data'!C827&lt;=165000,3,4)),IF('1 Data'!G827&lt;=0.0652,5,IF('1 Data'!G827&lt;=0.716,6,7)))</f>
        <v/>
      </c>
      <c r="D838" s="23">
        <f>INDEX($F$12:$F$18,C838)</f>
        <v/>
      </c>
      <c r="E838" s="27">
        <f>'1 Data'!I827</f>
        <v/>
      </c>
      <c r="F838" s="30">
        <f>COUNTIF($D$23:$D$1022,"&lt;"&amp;D838)+(COUNTIF($D$23:$D$1022,"="&amp;D838)+1)/2</f>
        <v/>
      </c>
    </row>
    <row r="839">
      <c r="B839" s="27">
        <f>'1 Data'!B828</f>
        <v/>
      </c>
      <c r="C839" s="29">
        <f>IF('1 Data'!E828&lt;=1.5,IF('1 Data'!F828&lt;=1.5,IF('1 Data'!G828&lt;=0.0003,1,2),IF('1 Data'!C828&lt;=165000,3,4)),IF('1 Data'!G828&lt;=0.0652,5,IF('1 Data'!G828&lt;=0.716,6,7)))</f>
        <v/>
      </c>
      <c r="D839" s="23">
        <f>INDEX($F$12:$F$18,C839)</f>
        <v/>
      </c>
      <c r="E839" s="27">
        <f>'1 Data'!I828</f>
        <v/>
      </c>
      <c r="F839" s="30">
        <f>COUNTIF($D$23:$D$1022,"&lt;"&amp;D839)+(COUNTIF($D$23:$D$1022,"="&amp;D839)+1)/2</f>
        <v/>
      </c>
    </row>
    <row r="840">
      <c r="B840" s="27">
        <f>'1 Data'!B829</f>
        <v/>
      </c>
      <c r="C840" s="29">
        <f>IF('1 Data'!E829&lt;=1.5,IF('1 Data'!F829&lt;=1.5,IF('1 Data'!G829&lt;=0.0003,1,2),IF('1 Data'!C829&lt;=165000,3,4)),IF('1 Data'!G829&lt;=0.0652,5,IF('1 Data'!G829&lt;=0.716,6,7)))</f>
        <v/>
      </c>
      <c r="D840" s="23">
        <f>INDEX($F$12:$F$18,C840)</f>
        <v/>
      </c>
      <c r="E840" s="27">
        <f>'1 Data'!I829</f>
        <v/>
      </c>
      <c r="F840" s="30">
        <f>COUNTIF($D$23:$D$1022,"&lt;"&amp;D840)+(COUNTIF($D$23:$D$1022,"="&amp;D840)+1)/2</f>
        <v/>
      </c>
    </row>
    <row r="841">
      <c r="B841" s="27">
        <f>'1 Data'!B830</f>
        <v/>
      </c>
      <c r="C841" s="29">
        <f>IF('1 Data'!E830&lt;=1.5,IF('1 Data'!F830&lt;=1.5,IF('1 Data'!G830&lt;=0.0003,1,2),IF('1 Data'!C830&lt;=165000,3,4)),IF('1 Data'!G830&lt;=0.0652,5,IF('1 Data'!G830&lt;=0.716,6,7)))</f>
        <v/>
      </c>
      <c r="D841" s="23">
        <f>INDEX($F$12:$F$18,C841)</f>
        <v/>
      </c>
      <c r="E841" s="27">
        <f>'1 Data'!I830</f>
        <v/>
      </c>
      <c r="F841" s="30">
        <f>COUNTIF($D$23:$D$1022,"&lt;"&amp;D841)+(COUNTIF($D$23:$D$1022,"="&amp;D841)+1)/2</f>
        <v/>
      </c>
    </row>
    <row r="842">
      <c r="B842" s="27">
        <f>'1 Data'!B831</f>
        <v/>
      </c>
      <c r="C842" s="29">
        <f>IF('1 Data'!E831&lt;=1.5,IF('1 Data'!F831&lt;=1.5,IF('1 Data'!G831&lt;=0.0003,1,2),IF('1 Data'!C831&lt;=165000,3,4)),IF('1 Data'!G831&lt;=0.0652,5,IF('1 Data'!G831&lt;=0.716,6,7)))</f>
        <v/>
      </c>
      <c r="D842" s="23">
        <f>INDEX($F$12:$F$18,C842)</f>
        <v/>
      </c>
      <c r="E842" s="27">
        <f>'1 Data'!I831</f>
        <v/>
      </c>
      <c r="F842" s="30">
        <f>COUNTIF($D$23:$D$1022,"&lt;"&amp;D842)+(COUNTIF($D$23:$D$1022,"="&amp;D842)+1)/2</f>
        <v/>
      </c>
    </row>
    <row r="843">
      <c r="B843" s="27">
        <f>'1 Data'!B832</f>
        <v/>
      </c>
      <c r="C843" s="29">
        <f>IF('1 Data'!E832&lt;=1.5,IF('1 Data'!F832&lt;=1.5,IF('1 Data'!G832&lt;=0.0003,1,2),IF('1 Data'!C832&lt;=165000,3,4)),IF('1 Data'!G832&lt;=0.0652,5,IF('1 Data'!G832&lt;=0.716,6,7)))</f>
        <v/>
      </c>
      <c r="D843" s="23">
        <f>INDEX($F$12:$F$18,C843)</f>
        <v/>
      </c>
      <c r="E843" s="27">
        <f>'1 Data'!I832</f>
        <v/>
      </c>
      <c r="F843" s="30">
        <f>COUNTIF($D$23:$D$1022,"&lt;"&amp;D843)+(COUNTIF($D$23:$D$1022,"="&amp;D843)+1)/2</f>
        <v/>
      </c>
    </row>
    <row r="844">
      <c r="B844" s="27">
        <f>'1 Data'!B833</f>
        <v/>
      </c>
      <c r="C844" s="29">
        <f>IF('1 Data'!E833&lt;=1.5,IF('1 Data'!F833&lt;=1.5,IF('1 Data'!G833&lt;=0.0003,1,2),IF('1 Data'!C833&lt;=165000,3,4)),IF('1 Data'!G833&lt;=0.0652,5,IF('1 Data'!G833&lt;=0.716,6,7)))</f>
        <v/>
      </c>
      <c r="D844" s="23">
        <f>INDEX($F$12:$F$18,C844)</f>
        <v/>
      </c>
      <c r="E844" s="27">
        <f>'1 Data'!I833</f>
        <v/>
      </c>
      <c r="F844" s="30">
        <f>COUNTIF($D$23:$D$1022,"&lt;"&amp;D844)+(COUNTIF($D$23:$D$1022,"="&amp;D844)+1)/2</f>
        <v/>
      </c>
    </row>
    <row r="845">
      <c r="B845" s="27">
        <f>'1 Data'!B834</f>
        <v/>
      </c>
      <c r="C845" s="29">
        <f>IF('1 Data'!E834&lt;=1.5,IF('1 Data'!F834&lt;=1.5,IF('1 Data'!G834&lt;=0.0003,1,2),IF('1 Data'!C834&lt;=165000,3,4)),IF('1 Data'!G834&lt;=0.0652,5,IF('1 Data'!G834&lt;=0.716,6,7)))</f>
        <v/>
      </c>
      <c r="D845" s="23">
        <f>INDEX($F$12:$F$18,C845)</f>
        <v/>
      </c>
      <c r="E845" s="27">
        <f>'1 Data'!I834</f>
        <v/>
      </c>
      <c r="F845" s="30">
        <f>COUNTIF($D$23:$D$1022,"&lt;"&amp;D845)+(COUNTIF($D$23:$D$1022,"="&amp;D845)+1)/2</f>
        <v/>
      </c>
    </row>
    <row r="846">
      <c r="B846" s="27">
        <f>'1 Data'!B835</f>
        <v/>
      </c>
      <c r="C846" s="29">
        <f>IF('1 Data'!E835&lt;=1.5,IF('1 Data'!F835&lt;=1.5,IF('1 Data'!G835&lt;=0.0003,1,2),IF('1 Data'!C835&lt;=165000,3,4)),IF('1 Data'!G835&lt;=0.0652,5,IF('1 Data'!G835&lt;=0.716,6,7)))</f>
        <v/>
      </c>
      <c r="D846" s="23">
        <f>INDEX($F$12:$F$18,C846)</f>
        <v/>
      </c>
      <c r="E846" s="27">
        <f>'1 Data'!I835</f>
        <v/>
      </c>
      <c r="F846" s="30">
        <f>COUNTIF($D$23:$D$1022,"&lt;"&amp;D846)+(COUNTIF($D$23:$D$1022,"="&amp;D846)+1)/2</f>
        <v/>
      </c>
    </row>
    <row r="847">
      <c r="B847" s="27">
        <f>'1 Data'!B836</f>
        <v/>
      </c>
      <c r="C847" s="29">
        <f>IF('1 Data'!E836&lt;=1.5,IF('1 Data'!F836&lt;=1.5,IF('1 Data'!G836&lt;=0.0003,1,2),IF('1 Data'!C836&lt;=165000,3,4)),IF('1 Data'!G836&lt;=0.0652,5,IF('1 Data'!G836&lt;=0.716,6,7)))</f>
        <v/>
      </c>
      <c r="D847" s="23">
        <f>INDEX($F$12:$F$18,C847)</f>
        <v/>
      </c>
      <c r="E847" s="27">
        <f>'1 Data'!I836</f>
        <v/>
      </c>
      <c r="F847" s="30">
        <f>COUNTIF($D$23:$D$1022,"&lt;"&amp;D847)+(COUNTIF($D$23:$D$1022,"="&amp;D847)+1)/2</f>
        <v/>
      </c>
    </row>
    <row r="848">
      <c r="B848" s="27">
        <f>'1 Data'!B837</f>
        <v/>
      </c>
      <c r="C848" s="29">
        <f>IF('1 Data'!E837&lt;=1.5,IF('1 Data'!F837&lt;=1.5,IF('1 Data'!G837&lt;=0.0003,1,2),IF('1 Data'!C837&lt;=165000,3,4)),IF('1 Data'!G837&lt;=0.0652,5,IF('1 Data'!G837&lt;=0.716,6,7)))</f>
        <v/>
      </c>
      <c r="D848" s="23">
        <f>INDEX($F$12:$F$18,C848)</f>
        <v/>
      </c>
      <c r="E848" s="27">
        <f>'1 Data'!I837</f>
        <v/>
      </c>
      <c r="F848" s="30">
        <f>COUNTIF($D$23:$D$1022,"&lt;"&amp;D848)+(COUNTIF($D$23:$D$1022,"="&amp;D848)+1)/2</f>
        <v/>
      </c>
    </row>
    <row r="849">
      <c r="B849" s="27">
        <f>'1 Data'!B838</f>
        <v/>
      </c>
      <c r="C849" s="29">
        <f>IF('1 Data'!E838&lt;=1.5,IF('1 Data'!F838&lt;=1.5,IF('1 Data'!G838&lt;=0.0003,1,2),IF('1 Data'!C838&lt;=165000,3,4)),IF('1 Data'!G838&lt;=0.0652,5,IF('1 Data'!G838&lt;=0.716,6,7)))</f>
        <v/>
      </c>
      <c r="D849" s="23">
        <f>INDEX($F$12:$F$18,C849)</f>
        <v/>
      </c>
      <c r="E849" s="27">
        <f>'1 Data'!I838</f>
        <v/>
      </c>
      <c r="F849" s="30">
        <f>COUNTIF($D$23:$D$1022,"&lt;"&amp;D849)+(COUNTIF($D$23:$D$1022,"="&amp;D849)+1)/2</f>
        <v/>
      </c>
    </row>
    <row r="850">
      <c r="B850" s="27">
        <f>'1 Data'!B839</f>
        <v/>
      </c>
      <c r="C850" s="29">
        <f>IF('1 Data'!E839&lt;=1.5,IF('1 Data'!F839&lt;=1.5,IF('1 Data'!G839&lt;=0.0003,1,2),IF('1 Data'!C839&lt;=165000,3,4)),IF('1 Data'!G839&lt;=0.0652,5,IF('1 Data'!G839&lt;=0.716,6,7)))</f>
        <v/>
      </c>
      <c r="D850" s="23">
        <f>INDEX($F$12:$F$18,C850)</f>
        <v/>
      </c>
      <c r="E850" s="27">
        <f>'1 Data'!I839</f>
        <v/>
      </c>
      <c r="F850" s="30">
        <f>COUNTIF($D$23:$D$1022,"&lt;"&amp;D850)+(COUNTIF($D$23:$D$1022,"="&amp;D850)+1)/2</f>
        <v/>
      </c>
    </row>
    <row r="851">
      <c r="B851" s="27">
        <f>'1 Data'!B840</f>
        <v/>
      </c>
      <c r="C851" s="29">
        <f>IF('1 Data'!E840&lt;=1.5,IF('1 Data'!F840&lt;=1.5,IF('1 Data'!G840&lt;=0.0003,1,2),IF('1 Data'!C840&lt;=165000,3,4)),IF('1 Data'!G840&lt;=0.0652,5,IF('1 Data'!G840&lt;=0.716,6,7)))</f>
        <v/>
      </c>
      <c r="D851" s="23">
        <f>INDEX($F$12:$F$18,C851)</f>
        <v/>
      </c>
      <c r="E851" s="27">
        <f>'1 Data'!I840</f>
        <v/>
      </c>
      <c r="F851" s="30">
        <f>COUNTIF($D$23:$D$1022,"&lt;"&amp;D851)+(COUNTIF($D$23:$D$1022,"="&amp;D851)+1)/2</f>
        <v/>
      </c>
    </row>
    <row r="852">
      <c r="B852" s="27">
        <f>'1 Data'!B841</f>
        <v/>
      </c>
      <c r="C852" s="29">
        <f>IF('1 Data'!E841&lt;=1.5,IF('1 Data'!F841&lt;=1.5,IF('1 Data'!G841&lt;=0.0003,1,2),IF('1 Data'!C841&lt;=165000,3,4)),IF('1 Data'!G841&lt;=0.0652,5,IF('1 Data'!G841&lt;=0.716,6,7)))</f>
        <v/>
      </c>
      <c r="D852" s="23">
        <f>INDEX($F$12:$F$18,C852)</f>
        <v/>
      </c>
      <c r="E852" s="27">
        <f>'1 Data'!I841</f>
        <v/>
      </c>
      <c r="F852" s="30">
        <f>COUNTIF($D$23:$D$1022,"&lt;"&amp;D852)+(COUNTIF($D$23:$D$1022,"="&amp;D852)+1)/2</f>
        <v/>
      </c>
    </row>
    <row r="853">
      <c r="B853" s="27">
        <f>'1 Data'!B842</f>
        <v/>
      </c>
      <c r="C853" s="29">
        <f>IF('1 Data'!E842&lt;=1.5,IF('1 Data'!F842&lt;=1.5,IF('1 Data'!G842&lt;=0.0003,1,2),IF('1 Data'!C842&lt;=165000,3,4)),IF('1 Data'!G842&lt;=0.0652,5,IF('1 Data'!G842&lt;=0.716,6,7)))</f>
        <v/>
      </c>
      <c r="D853" s="23">
        <f>INDEX($F$12:$F$18,C853)</f>
        <v/>
      </c>
      <c r="E853" s="27">
        <f>'1 Data'!I842</f>
        <v/>
      </c>
      <c r="F853" s="30">
        <f>COUNTIF($D$23:$D$1022,"&lt;"&amp;D853)+(COUNTIF($D$23:$D$1022,"="&amp;D853)+1)/2</f>
        <v/>
      </c>
    </row>
    <row r="854">
      <c r="B854" s="27">
        <f>'1 Data'!B843</f>
        <v/>
      </c>
      <c r="C854" s="29">
        <f>IF('1 Data'!E843&lt;=1.5,IF('1 Data'!F843&lt;=1.5,IF('1 Data'!G843&lt;=0.0003,1,2),IF('1 Data'!C843&lt;=165000,3,4)),IF('1 Data'!G843&lt;=0.0652,5,IF('1 Data'!G843&lt;=0.716,6,7)))</f>
        <v/>
      </c>
      <c r="D854" s="23">
        <f>INDEX($F$12:$F$18,C854)</f>
        <v/>
      </c>
      <c r="E854" s="27">
        <f>'1 Data'!I843</f>
        <v/>
      </c>
      <c r="F854" s="30">
        <f>COUNTIF($D$23:$D$1022,"&lt;"&amp;D854)+(COUNTIF($D$23:$D$1022,"="&amp;D854)+1)/2</f>
        <v/>
      </c>
    </row>
    <row r="855">
      <c r="B855" s="27">
        <f>'1 Data'!B844</f>
        <v/>
      </c>
      <c r="C855" s="29">
        <f>IF('1 Data'!E844&lt;=1.5,IF('1 Data'!F844&lt;=1.5,IF('1 Data'!G844&lt;=0.0003,1,2),IF('1 Data'!C844&lt;=165000,3,4)),IF('1 Data'!G844&lt;=0.0652,5,IF('1 Data'!G844&lt;=0.716,6,7)))</f>
        <v/>
      </c>
      <c r="D855" s="23">
        <f>INDEX($F$12:$F$18,C855)</f>
        <v/>
      </c>
      <c r="E855" s="27">
        <f>'1 Data'!I844</f>
        <v/>
      </c>
      <c r="F855" s="30">
        <f>COUNTIF($D$23:$D$1022,"&lt;"&amp;D855)+(COUNTIF($D$23:$D$1022,"="&amp;D855)+1)/2</f>
        <v/>
      </c>
    </row>
    <row r="856">
      <c r="B856" s="27">
        <f>'1 Data'!B845</f>
        <v/>
      </c>
      <c r="C856" s="29">
        <f>IF('1 Data'!E845&lt;=1.5,IF('1 Data'!F845&lt;=1.5,IF('1 Data'!G845&lt;=0.0003,1,2),IF('1 Data'!C845&lt;=165000,3,4)),IF('1 Data'!G845&lt;=0.0652,5,IF('1 Data'!G845&lt;=0.716,6,7)))</f>
        <v/>
      </c>
      <c r="D856" s="23">
        <f>INDEX($F$12:$F$18,C856)</f>
        <v/>
      </c>
      <c r="E856" s="27">
        <f>'1 Data'!I845</f>
        <v/>
      </c>
      <c r="F856" s="30">
        <f>COUNTIF($D$23:$D$1022,"&lt;"&amp;D856)+(COUNTIF($D$23:$D$1022,"="&amp;D856)+1)/2</f>
        <v/>
      </c>
    </row>
    <row r="857">
      <c r="B857" s="27">
        <f>'1 Data'!B846</f>
        <v/>
      </c>
      <c r="C857" s="29">
        <f>IF('1 Data'!E846&lt;=1.5,IF('1 Data'!F846&lt;=1.5,IF('1 Data'!G846&lt;=0.0003,1,2),IF('1 Data'!C846&lt;=165000,3,4)),IF('1 Data'!G846&lt;=0.0652,5,IF('1 Data'!G846&lt;=0.716,6,7)))</f>
        <v/>
      </c>
      <c r="D857" s="23">
        <f>INDEX($F$12:$F$18,C857)</f>
        <v/>
      </c>
      <c r="E857" s="27">
        <f>'1 Data'!I846</f>
        <v/>
      </c>
      <c r="F857" s="30">
        <f>COUNTIF($D$23:$D$1022,"&lt;"&amp;D857)+(COUNTIF($D$23:$D$1022,"="&amp;D857)+1)/2</f>
        <v/>
      </c>
    </row>
    <row r="858">
      <c r="B858" s="27">
        <f>'1 Data'!B847</f>
        <v/>
      </c>
      <c r="C858" s="29">
        <f>IF('1 Data'!E847&lt;=1.5,IF('1 Data'!F847&lt;=1.5,IF('1 Data'!G847&lt;=0.0003,1,2),IF('1 Data'!C847&lt;=165000,3,4)),IF('1 Data'!G847&lt;=0.0652,5,IF('1 Data'!G847&lt;=0.716,6,7)))</f>
        <v/>
      </c>
      <c r="D858" s="23">
        <f>INDEX($F$12:$F$18,C858)</f>
        <v/>
      </c>
      <c r="E858" s="27">
        <f>'1 Data'!I847</f>
        <v/>
      </c>
      <c r="F858" s="30">
        <f>COUNTIF($D$23:$D$1022,"&lt;"&amp;D858)+(COUNTIF($D$23:$D$1022,"="&amp;D858)+1)/2</f>
        <v/>
      </c>
    </row>
    <row r="859">
      <c r="B859" s="27">
        <f>'1 Data'!B848</f>
        <v/>
      </c>
      <c r="C859" s="29">
        <f>IF('1 Data'!E848&lt;=1.5,IF('1 Data'!F848&lt;=1.5,IF('1 Data'!G848&lt;=0.0003,1,2),IF('1 Data'!C848&lt;=165000,3,4)),IF('1 Data'!G848&lt;=0.0652,5,IF('1 Data'!G848&lt;=0.716,6,7)))</f>
        <v/>
      </c>
      <c r="D859" s="23">
        <f>INDEX($F$12:$F$18,C859)</f>
        <v/>
      </c>
      <c r="E859" s="27">
        <f>'1 Data'!I848</f>
        <v/>
      </c>
      <c r="F859" s="30">
        <f>COUNTIF($D$23:$D$1022,"&lt;"&amp;D859)+(COUNTIF($D$23:$D$1022,"="&amp;D859)+1)/2</f>
        <v/>
      </c>
    </row>
    <row r="860">
      <c r="B860" s="27">
        <f>'1 Data'!B849</f>
        <v/>
      </c>
      <c r="C860" s="29">
        <f>IF('1 Data'!E849&lt;=1.5,IF('1 Data'!F849&lt;=1.5,IF('1 Data'!G849&lt;=0.0003,1,2),IF('1 Data'!C849&lt;=165000,3,4)),IF('1 Data'!G849&lt;=0.0652,5,IF('1 Data'!G849&lt;=0.716,6,7)))</f>
        <v/>
      </c>
      <c r="D860" s="23">
        <f>INDEX($F$12:$F$18,C860)</f>
        <v/>
      </c>
      <c r="E860" s="27">
        <f>'1 Data'!I849</f>
        <v/>
      </c>
      <c r="F860" s="30">
        <f>COUNTIF($D$23:$D$1022,"&lt;"&amp;D860)+(COUNTIF($D$23:$D$1022,"="&amp;D860)+1)/2</f>
        <v/>
      </c>
    </row>
    <row r="861">
      <c r="B861" s="27">
        <f>'1 Data'!B850</f>
        <v/>
      </c>
      <c r="C861" s="29">
        <f>IF('1 Data'!E850&lt;=1.5,IF('1 Data'!F850&lt;=1.5,IF('1 Data'!G850&lt;=0.0003,1,2),IF('1 Data'!C850&lt;=165000,3,4)),IF('1 Data'!G850&lt;=0.0652,5,IF('1 Data'!G850&lt;=0.716,6,7)))</f>
        <v/>
      </c>
      <c r="D861" s="23">
        <f>INDEX($F$12:$F$18,C861)</f>
        <v/>
      </c>
      <c r="E861" s="27">
        <f>'1 Data'!I850</f>
        <v/>
      </c>
      <c r="F861" s="30">
        <f>COUNTIF($D$23:$D$1022,"&lt;"&amp;D861)+(COUNTIF($D$23:$D$1022,"="&amp;D861)+1)/2</f>
        <v/>
      </c>
    </row>
    <row r="862">
      <c r="B862" s="27">
        <f>'1 Data'!B851</f>
        <v/>
      </c>
      <c r="C862" s="29">
        <f>IF('1 Data'!E851&lt;=1.5,IF('1 Data'!F851&lt;=1.5,IF('1 Data'!G851&lt;=0.0003,1,2),IF('1 Data'!C851&lt;=165000,3,4)),IF('1 Data'!G851&lt;=0.0652,5,IF('1 Data'!G851&lt;=0.716,6,7)))</f>
        <v/>
      </c>
      <c r="D862" s="23">
        <f>INDEX($F$12:$F$18,C862)</f>
        <v/>
      </c>
      <c r="E862" s="27">
        <f>'1 Data'!I851</f>
        <v/>
      </c>
      <c r="F862" s="30">
        <f>COUNTIF($D$23:$D$1022,"&lt;"&amp;D862)+(COUNTIF($D$23:$D$1022,"="&amp;D862)+1)/2</f>
        <v/>
      </c>
    </row>
    <row r="863">
      <c r="B863" s="27">
        <f>'1 Data'!B852</f>
        <v/>
      </c>
      <c r="C863" s="29">
        <f>IF('1 Data'!E852&lt;=1.5,IF('1 Data'!F852&lt;=1.5,IF('1 Data'!G852&lt;=0.0003,1,2),IF('1 Data'!C852&lt;=165000,3,4)),IF('1 Data'!G852&lt;=0.0652,5,IF('1 Data'!G852&lt;=0.716,6,7)))</f>
        <v/>
      </c>
      <c r="D863" s="23">
        <f>INDEX($F$12:$F$18,C863)</f>
        <v/>
      </c>
      <c r="E863" s="27">
        <f>'1 Data'!I852</f>
        <v/>
      </c>
      <c r="F863" s="30">
        <f>COUNTIF($D$23:$D$1022,"&lt;"&amp;D863)+(COUNTIF($D$23:$D$1022,"="&amp;D863)+1)/2</f>
        <v/>
      </c>
    </row>
    <row r="864">
      <c r="B864" s="27">
        <f>'1 Data'!B853</f>
        <v/>
      </c>
      <c r="C864" s="29">
        <f>IF('1 Data'!E853&lt;=1.5,IF('1 Data'!F853&lt;=1.5,IF('1 Data'!G853&lt;=0.0003,1,2),IF('1 Data'!C853&lt;=165000,3,4)),IF('1 Data'!G853&lt;=0.0652,5,IF('1 Data'!G853&lt;=0.716,6,7)))</f>
        <v/>
      </c>
      <c r="D864" s="23">
        <f>INDEX($F$12:$F$18,C864)</f>
        <v/>
      </c>
      <c r="E864" s="27">
        <f>'1 Data'!I853</f>
        <v/>
      </c>
      <c r="F864" s="30">
        <f>COUNTIF($D$23:$D$1022,"&lt;"&amp;D864)+(COUNTIF($D$23:$D$1022,"="&amp;D864)+1)/2</f>
        <v/>
      </c>
    </row>
    <row r="865">
      <c r="B865" s="27">
        <f>'1 Data'!B854</f>
        <v/>
      </c>
      <c r="C865" s="29">
        <f>IF('1 Data'!E854&lt;=1.5,IF('1 Data'!F854&lt;=1.5,IF('1 Data'!G854&lt;=0.0003,1,2),IF('1 Data'!C854&lt;=165000,3,4)),IF('1 Data'!G854&lt;=0.0652,5,IF('1 Data'!G854&lt;=0.716,6,7)))</f>
        <v/>
      </c>
      <c r="D865" s="23">
        <f>INDEX($F$12:$F$18,C865)</f>
        <v/>
      </c>
      <c r="E865" s="27">
        <f>'1 Data'!I854</f>
        <v/>
      </c>
      <c r="F865" s="30">
        <f>COUNTIF($D$23:$D$1022,"&lt;"&amp;D865)+(COUNTIF($D$23:$D$1022,"="&amp;D865)+1)/2</f>
        <v/>
      </c>
    </row>
    <row r="866">
      <c r="B866" s="27">
        <f>'1 Data'!B855</f>
        <v/>
      </c>
      <c r="C866" s="29">
        <f>IF('1 Data'!E855&lt;=1.5,IF('1 Data'!F855&lt;=1.5,IF('1 Data'!G855&lt;=0.0003,1,2),IF('1 Data'!C855&lt;=165000,3,4)),IF('1 Data'!G855&lt;=0.0652,5,IF('1 Data'!G855&lt;=0.716,6,7)))</f>
        <v/>
      </c>
      <c r="D866" s="23">
        <f>INDEX($F$12:$F$18,C866)</f>
        <v/>
      </c>
      <c r="E866" s="27">
        <f>'1 Data'!I855</f>
        <v/>
      </c>
      <c r="F866" s="30">
        <f>COUNTIF($D$23:$D$1022,"&lt;"&amp;D866)+(COUNTIF($D$23:$D$1022,"="&amp;D866)+1)/2</f>
        <v/>
      </c>
    </row>
    <row r="867">
      <c r="B867" s="27">
        <f>'1 Data'!B856</f>
        <v/>
      </c>
      <c r="C867" s="29">
        <f>IF('1 Data'!E856&lt;=1.5,IF('1 Data'!F856&lt;=1.5,IF('1 Data'!G856&lt;=0.0003,1,2),IF('1 Data'!C856&lt;=165000,3,4)),IF('1 Data'!G856&lt;=0.0652,5,IF('1 Data'!G856&lt;=0.716,6,7)))</f>
        <v/>
      </c>
      <c r="D867" s="23">
        <f>INDEX($F$12:$F$18,C867)</f>
        <v/>
      </c>
      <c r="E867" s="27">
        <f>'1 Data'!I856</f>
        <v/>
      </c>
      <c r="F867" s="30">
        <f>COUNTIF($D$23:$D$1022,"&lt;"&amp;D867)+(COUNTIF($D$23:$D$1022,"="&amp;D867)+1)/2</f>
        <v/>
      </c>
    </row>
    <row r="868">
      <c r="B868" s="27">
        <f>'1 Data'!B857</f>
        <v/>
      </c>
      <c r="C868" s="29">
        <f>IF('1 Data'!E857&lt;=1.5,IF('1 Data'!F857&lt;=1.5,IF('1 Data'!G857&lt;=0.0003,1,2),IF('1 Data'!C857&lt;=165000,3,4)),IF('1 Data'!G857&lt;=0.0652,5,IF('1 Data'!G857&lt;=0.716,6,7)))</f>
        <v/>
      </c>
      <c r="D868" s="23">
        <f>INDEX($F$12:$F$18,C868)</f>
        <v/>
      </c>
      <c r="E868" s="27">
        <f>'1 Data'!I857</f>
        <v/>
      </c>
      <c r="F868" s="30">
        <f>COUNTIF($D$23:$D$1022,"&lt;"&amp;D868)+(COUNTIF($D$23:$D$1022,"="&amp;D868)+1)/2</f>
        <v/>
      </c>
    </row>
    <row r="869">
      <c r="B869" s="27">
        <f>'1 Data'!B858</f>
        <v/>
      </c>
      <c r="C869" s="29">
        <f>IF('1 Data'!E858&lt;=1.5,IF('1 Data'!F858&lt;=1.5,IF('1 Data'!G858&lt;=0.0003,1,2),IF('1 Data'!C858&lt;=165000,3,4)),IF('1 Data'!G858&lt;=0.0652,5,IF('1 Data'!G858&lt;=0.716,6,7)))</f>
        <v/>
      </c>
      <c r="D869" s="23">
        <f>INDEX($F$12:$F$18,C869)</f>
        <v/>
      </c>
      <c r="E869" s="27">
        <f>'1 Data'!I858</f>
        <v/>
      </c>
      <c r="F869" s="30">
        <f>COUNTIF($D$23:$D$1022,"&lt;"&amp;D869)+(COUNTIF($D$23:$D$1022,"="&amp;D869)+1)/2</f>
        <v/>
      </c>
    </row>
    <row r="870">
      <c r="B870" s="27">
        <f>'1 Data'!B859</f>
        <v/>
      </c>
      <c r="C870" s="29">
        <f>IF('1 Data'!E859&lt;=1.5,IF('1 Data'!F859&lt;=1.5,IF('1 Data'!G859&lt;=0.0003,1,2),IF('1 Data'!C859&lt;=165000,3,4)),IF('1 Data'!G859&lt;=0.0652,5,IF('1 Data'!G859&lt;=0.716,6,7)))</f>
        <v/>
      </c>
      <c r="D870" s="23">
        <f>INDEX($F$12:$F$18,C870)</f>
        <v/>
      </c>
      <c r="E870" s="27">
        <f>'1 Data'!I859</f>
        <v/>
      </c>
      <c r="F870" s="30">
        <f>COUNTIF($D$23:$D$1022,"&lt;"&amp;D870)+(COUNTIF($D$23:$D$1022,"="&amp;D870)+1)/2</f>
        <v/>
      </c>
    </row>
    <row r="871">
      <c r="B871" s="27">
        <f>'1 Data'!B860</f>
        <v/>
      </c>
      <c r="C871" s="29">
        <f>IF('1 Data'!E860&lt;=1.5,IF('1 Data'!F860&lt;=1.5,IF('1 Data'!G860&lt;=0.0003,1,2),IF('1 Data'!C860&lt;=165000,3,4)),IF('1 Data'!G860&lt;=0.0652,5,IF('1 Data'!G860&lt;=0.716,6,7)))</f>
        <v/>
      </c>
      <c r="D871" s="23">
        <f>INDEX($F$12:$F$18,C871)</f>
        <v/>
      </c>
      <c r="E871" s="27">
        <f>'1 Data'!I860</f>
        <v/>
      </c>
      <c r="F871" s="30">
        <f>COUNTIF($D$23:$D$1022,"&lt;"&amp;D871)+(COUNTIF($D$23:$D$1022,"="&amp;D871)+1)/2</f>
        <v/>
      </c>
    </row>
    <row r="872">
      <c r="B872" s="27">
        <f>'1 Data'!B861</f>
        <v/>
      </c>
      <c r="C872" s="29">
        <f>IF('1 Data'!E861&lt;=1.5,IF('1 Data'!F861&lt;=1.5,IF('1 Data'!G861&lt;=0.0003,1,2),IF('1 Data'!C861&lt;=165000,3,4)),IF('1 Data'!G861&lt;=0.0652,5,IF('1 Data'!G861&lt;=0.716,6,7)))</f>
        <v/>
      </c>
      <c r="D872" s="23">
        <f>INDEX($F$12:$F$18,C872)</f>
        <v/>
      </c>
      <c r="E872" s="27">
        <f>'1 Data'!I861</f>
        <v/>
      </c>
      <c r="F872" s="30">
        <f>COUNTIF($D$23:$D$1022,"&lt;"&amp;D872)+(COUNTIF($D$23:$D$1022,"="&amp;D872)+1)/2</f>
        <v/>
      </c>
    </row>
    <row r="873">
      <c r="B873" s="27">
        <f>'1 Data'!B862</f>
        <v/>
      </c>
      <c r="C873" s="29">
        <f>IF('1 Data'!E862&lt;=1.5,IF('1 Data'!F862&lt;=1.5,IF('1 Data'!G862&lt;=0.0003,1,2),IF('1 Data'!C862&lt;=165000,3,4)),IF('1 Data'!G862&lt;=0.0652,5,IF('1 Data'!G862&lt;=0.716,6,7)))</f>
        <v/>
      </c>
      <c r="D873" s="23">
        <f>INDEX($F$12:$F$18,C873)</f>
        <v/>
      </c>
      <c r="E873" s="27">
        <f>'1 Data'!I862</f>
        <v/>
      </c>
      <c r="F873" s="30">
        <f>COUNTIF($D$23:$D$1022,"&lt;"&amp;D873)+(COUNTIF($D$23:$D$1022,"="&amp;D873)+1)/2</f>
        <v/>
      </c>
    </row>
    <row r="874">
      <c r="B874" s="27">
        <f>'1 Data'!B863</f>
        <v/>
      </c>
      <c r="C874" s="29">
        <f>IF('1 Data'!E863&lt;=1.5,IF('1 Data'!F863&lt;=1.5,IF('1 Data'!G863&lt;=0.0003,1,2),IF('1 Data'!C863&lt;=165000,3,4)),IF('1 Data'!G863&lt;=0.0652,5,IF('1 Data'!G863&lt;=0.716,6,7)))</f>
        <v/>
      </c>
      <c r="D874" s="23">
        <f>INDEX($F$12:$F$18,C874)</f>
        <v/>
      </c>
      <c r="E874" s="27">
        <f>'1 Data'!I863</f>
        <v/>
      </c>
      <c r="F874" s="30">
        <f>COUNTIF($D$23:$D$1022,"&lt;"&amp;D874)+(COUNTIF($D$23:$D$1022,"="&amp;D874)+1)/2</f>
        <v/>
      </c>
    </row>
    <row r="875">
      <c r="B875" s="27">
        <f>'1 Data'!B864</f>
        <v/>
      </c>
      <c r="C875" s="29">
        <f>IF('1 Data'!E864&lt;=1.5,IF('1 Data'!F864&lt;=1.5,IF('1 Data'!G864&lt;=0.0003,1,2),IF('1 Data'!C864&lt;=165000,3,4)),IF('1 Data'!G864&lt;=0.0652,5,IF('1 Data'!G864&lt;=0.716,6,7)))</f>
        <v/>
      </c>
      <c r="D875" s="23">
        <f>INDEX($F$12:$F$18,C875)</f>
        <v/>
      </c>
      <c r="E875" s="27">
        <f>'1 Data'!I864</f>
        <v/>
      </c>
      <c r="F875" s="30">
        <f>COUNTIF($D$23:$D$1022,"&lt;"&amp;D875)+(COUNTIF($D$23:$D$1022,"="&amp;D875)+1)/2</f>
        <v/>
      </c>
    </row>
    <row r="876">
      <c r="B876" s="27">
        <f>'1 Data'!B865</f>
        <v/>
      </c>
      <c r="C876" s="29">
        <f>IF('1 Data'!E865&lt;=1.5,IF('1 Data'!F865&lt;=1.5,IF('1 Data'!G865&lt;=0.0003,1,2),IF('1 Data'!C865&lt;=165000,3,4)),IF('1 Data'!G865&lt;=0.0652,5,IF('1 Data'!G865&lt;=0.716,6,7)))</f>
        <v/>
      </c>
      <c r="D876" s="23">
        <f>INDEX($F$12:$F$18,C876)</f>
        <v/>
      </c>
      <c r="E876" s="27">
        <f>'1 Data'!I865</f>
        <v/>
      </c>
      <c r="F876" s="30">
        <f>COUNTIF($D$23:$D$1022,"&lt;"&amp;D876)+(COUNTIF($D$23:$D$1022,"="&amp;D876)+1)/2</f>
        <v/>
      </c>
    </row>
    <row r="877">
      <c r="B877" s="27">
        <f>'1 Data'!B866</f>
        <v/>
      </c>
      <c r="C877" s="29">
        <f>IF('1 Data'!E866&lt;=1.5,IF('1 Data'!F866&lt;=1.5,IF('1 Data'!G866&lt;=0.0003,1,2),IF('1 Data'!C866&lt;=165000,3,4)),IF('1 Data'!G866&lt;=0.0652,5,IF('1 Data'!G866&lt;=0.716,6,7)))</f>
        <v/>
      </c>
      <c r="D877" s="23">
        <f>INDEX($F$12:$F$18,C877)</f>
        <v/>
      </c>
      <c r="E877" s="27">
        <f>'1 Data'!I866</f>
        <v/>
      </c>
      <c r="F877" s="30">
        <f>COUNTIF($D$23:$D$1022,"&lt;"&amp;D877)+(COUNTIF($D$23:$D$1022,"="&amp;D877)+1)/2</f>
        <v/>
      </c>
    </row>
    <row r="878">
      <c r="B878" s="27">
        <f>'1 Data'!B867</f>
        <v/>
      </c>
      <c r="C878" s="29">
        <f>IF('1 Data'!E867&lt;=1.5,IF('1 Data'!F867&lt;=1.5,IF('1 Data'!G867&lt;=0.0003,1,2),IF('1 Data'!C867&lt;=165000,3,4)),IF('1 Data'!G867&lt;=0.0652,5,IF('1 Data'!G867&lt;=0.716,6,7)))</f>
        <v/>
      </c>
      <c r="D878" s="23">
        <f>INDEX($F$12:$F$18,C878)</f>
        <v/>
      </c>
      <c r="E878" s="27">
        <f>'1 Data'!I867</f>
        <v/>
      </c>
      <c r="F878" s="30">
        <f>COUNTIF($D$23:$D$1022,"&lt;"&amp;D878)+(COUNTIF($D$23:$D$1022,"="&amp;D878)+1)/2</f>
        <v/>
      </c>
    </row>
    <row r="879">
      <c r="B879" s="27">
        <f>'1 Data'!B868</f>
        <v/>
      </c>
      <c r="C879" s="29">
        <f>IF('1 Data'!E868&lt;=1.5,IF('1 Data'!F868&lt;=1.5,IF('1 Data'!G868&lt;=0.0003,1,2),IF('1 Data'!C868&lt;=165000,3,4)),IF('1 Data'!G868&lt;=0.0652,5,IF('1 Data'!G868&lt;=0.716,6,7)))</f>
        <v/>
      </c>
      <c r="D879" s="23">
        <f>INDEX($F$12:$F$18,C879)</f>
        <v/>
      </c>
      <c r="E879" s="27">
        <f>'1 Data'!I868</f>
        <v/>
      </c>
      <c r="F879" s="30">
        <f>COUNTIF($D$23:$D$1022,"&lt;"&amp;D879)+(COUNTIF($D$23:$D$1022,"="&amp;D879)+1)/2</f>
        <v/>
      </c>
    </row>
    <row r="880">
      <c r="B880" s="27">
        <f>'1 Data'!B869</f>
        <v/>
      </c>
      <c r="C880" s="29">
        <f>IF('1 Data'!E869&lt;=1.5,IF('1 Data'!F869&lt;=1.5,IF('1 Data'!G869&lt;=0.0003,1,2),IF('1 Data'!C869&lt;=165000,3,4)),IF('1 Data'!G869&lt;=0.0652,5,IF('1 Data'!G869&lt;=0.716,6,7)))</f>
        <v/>
      </c>
      <c r="D880" s="23">
        <f>INDEX($F$12:$F$18,C880)</f>
        <v/>
      </c>
      <c r="E880" s="27">
        <f>'1 Data'!I869</f>
        <v/>
      </c>
      <c r="F880" s="30">
        <f>COUNTIF($D$23:$D$1022,"&lt;"&amp;D880)+(COUNTIF($D$23:$D$1022,"="&amp;D880)+1)/2</f>
        <v/>
      </c>
    </row>
    <row r="881">
      <c r="B881" s="27">
        <f>'1 Data'!B870</f>
        <v/>
      </c>
      <c r="C881" s="29">
        <f>IF('1 Data'!E870&lt;=1.5,IF('1 Data'!F870&lt;=1.5,IF('1 Data'!G870&lt;=0.0003,1,2),IF('1 Data'!C870&lt;=165000,3,4)),IF('1 Data'!G870&lt;=0.0652,5,IF('1 Data'!G870&lt;=0.716,6,7)))</f>
        <v/>
      </c>
      <c r="D881" s="23">
        <f>INDEX($F$12:$F$18,C881)</f>
        <v/>
      </c>
      <c r="E881" s="27">
        <f>'1 Data'!I870</f>
        <v/>
      </c>
      <c r="F881" s="30">
        <f>COUNTIF($D$23:$D$1022,"&lt;"&amp;D881)+(COUNTIF($D$23:$D$1022,"="&amp;D881)+1)/2</f>
        <v/>
      </c>
    </row>
    <row r="882">
      <c r="B882" s="27">
        <f>'1 Data'!B871</f>
        <v/>
      </c>
      <c r="C882" s="29">
        <f>IF('1 Data'!E871&lt;=1.5,IF('1 Data'!F871&lt;=1.5,IF('1 Data'!G871&lt;=0.0003,1,2),IF('1 Data'!C871&lt;=165000,3,4)),IF('1 Data'!G871&lt;=0.0652,5,IF('1 Data'!G871&lt;=0.716,6,7)))</f>
        <v/>
      </c>
      <c r="D882" s="23">
        <f>INDEX($F$12:$F$18,C882)</f>
        <v/>
      </c>
      <c r="E882" s="27">
        <f>'1 Data'!I871</f>
        <v/>
      </c>
      <c r="F882" s="30">
        <f>COUNTIF($D$23:$D$1022,"&lt;"&amp;D882)+(COUNTIF($D$23:$D$1022,"="&amp;D882)+1)/2</f>
        <v/>
      </c>
    </row>
    <row r="883">
      <c r="B883" s="27">
        <f>'1 Data'!B872</f>
        <v/>
      </c>
      <c r="C883" s="29">
        <f>IF('1 Data'!E872&lt;=1.5,IF('1 Data'!F872&lt;=1.5,IF('1 Data'!G872&lt;=0.0003,1,2),IF('1 Data'!C872&lt;=165000,3,4)),IF('1 Data'!G872&lt;=0.0652,5,IF('1 Data'!G872&lt;=0.716,6,7)))</f>
        <v/>
      </c>
      <c r="D883" s="23">
        <f>INDEX($F$12:$F$18,C883)</f>
        <v/>
      </c>
      <c r="E883" s="27">
        <f>'1 Data'!I872</f>
        <v/>
      </c>
      <c r="F883" s="30">
        <f>COUNTIF($D$23:$D$1022,"&lt;"&amp;D883)+(COUNTIF($D$23:$D$1022,"="&amp;D883)+1)/2</f>
        <v/>
      </c>
    </row>
    <row r="884">
      <c r="B884" s="27">
        <f>'1 Data'!B873</f>
        <v/>
      </c>
      <c r="C884" s="29">
        <f>IF('1 Data'!E873&lt;=1.5,IF('1 Data'!F873&lt;=1.5,IF('1 Data'!G873&lt;=0.0003,1,2),IF('1 Data'!C873&lt;=165000,3,4)),IF('1 Data'!G873&lt;=0.0652,5,IF('1 Data'!G873&lt;=0.716,6,7)))</f>
        <v/>
      </c>
      <c r="D884" s="23">
        <f>INDEX($F$12:$F$18,C884)</f>
        <v/>
      </c>
      <c r="E884" s="27">
        <f>'1 Data'!I873</f>
        <v/>
      </c>
      <c r="F884" s="30">
        <f>COUNTIF($D$23:$D$1022,"&lt;"&amp;D884)+(COUNTIF($D$23:$D$1022,"="&amp;D884)+1)/2</f>
        <v/>
      </c>
    </row>
    <row r="885">
      <c r="B885" s="27">
        <f>'1 Data'!B874</f>
        <v/>
      </c>
      <c r="C885" s="29">
        <f>IF('1 Data'!E874&lt;=1.5,IF('1 Data'!F874&lt;=1.5,IF('1 Data'!G874&lt;=0.0003,1,2),IF('1 Data'!C874&lt;=165000,3,4)),IF('1 Data'!G874&lt;=0.0652,5,IF('1 Data'!G874&lt;=0.716,6,7)))</f>
        <v/>
      </c>
      <c r="D885" s="23">
        <f>INDEX($F$12:$F$18,C885)</f>
        <v/>
      </c>
      <c r="E885" s="27">
        <f>'1 Data'!I874</f>
        <v/>
      </c>
      <c r="F885" s="30">
        <f>COUNTIF($D$23:$D$1022,"&lt;"&amp;D885)+(COUNTIF($D$23:$D$1022,"="&amp;D885)+1)/2</f>
        <v/>
      </c>
    </row>
    <row r="886">
      <c r="B886" s="27">
        <f>'1 Data'!B875</f>
        <v/>
      </c>
      <c r="C886" s="29">
        <f>IF('1 Data'!E875&lt;=1.5,IF('1 Data'!F875&lt;=1.5,IF('1 Data'!G875&lt;=0.0003,1,2),IF('1 Data'!C875&lt;=165000,3,4)),IF('1 Data'!G875&lt;=0.0652,5,IF('1 Data'!G875&lt;=0.716,6,7)))</f>
        <v/>
      </c>
      <c r="D886" s="23">
        <f>INDEX($F$12:$F$18,C886)</f>
        <v/>
      </c>
      <c r="E886" s="27">
        <f>'1 Data'!I875</f>
        <v/>
      </c>
      <c r="F886" s="30">
        <f>COUNTIF($D$23:$D$1022,"&lt;"&amp;D886)+(COUNTIF($D$23:$D$1022,"="&amp;D886)+1)/2</f>
        <v/>
      </c>
    </row>
    <row r="887">
      <c r="B887" s="27">
        <f>'1 Data'!B876</f>
        <v/>
      </c>
      <c r="C887" s="29">
        <f>IF('1 Data'!E876&lt;=1.5,IF('1 Data'!F876&lt;=1.5,IF('1 Data'!G876&lt;=0.0003,1,2),IF('1 Data'!C876&lt;=165000,3,4)),IF('1 Data'!G876&lt;=0.0652,5,IF('1 Data'!G876&lt;=0.716,6,7)))</f>
        <v/>
      </c>
      <c r="D887" s="23">
        <f>INDEX($F$12:$F$18,C887)</f>
        <v/>
      </c>
      <c r="E887" s="27">
        <f>'1 Data'!I876</f>
        <v/>
      </c>
      <c r="F887" s="30">
        <f>COUNTIF($D$23:$D$1022,"&lt;"&amp;D887)+(COUNTIF($D$23:$D$1022,"="&amp;D887)+1)/2</f>
        <v/>
      </c>
    </row>
    <row r="888">
      <c r="B888" s="27">
        <f>'1 Data'!B877</f>
        <v/>
      </c>
      <c r="C888" s="29">
        <f>IF('1 Data'!E877&lt;=1.5,IF('1 Data'!F877&lt;=1.5,IF('1 Data'!G877&lt;=0.0003,1,2),IF('1 Data'!C877&lt;=165000,3,4)),IF('1 Data'!G877&lt;=0.0652,5,IF('1 Data'!G877&lt;=0.716,6,7)))</f>
        <v/>
      </c>
      <c r="D888" s="23">
        <f>INDEX($F$12:$F$18,C888)</f>
        <v/>
      </c>
      <c r="E888" s="27">
        <f>'1 Data'!I877</f>
        <v/>
      </c>
      <c r="F888" s="30">
        <f>COUNTIF($D$23:$D$1022,"&lt;"&amp;D888)+(COUNTIF($D$23:$D$1022,"="&amp;D888)+1)/2</f>
        <v/>
      </c>
    </row>
    <row r="889">
      <c r="B889" s="27">
        <f>'1 Data'!B878</f>
        <v/>
      </c>
      <c r="C889" s="29">
        <f>IF('1 Data'!E878&lt;=1.5,IF('1 Data'!F878&lt;=1.5,IF('1 Data'!G878&lt;=0.0003,1,2),IF('1 Data'!C878&lt;=165000,3,4)),IF('1 Data'!G878&lt;=0.0652,5,IF('1 Data'!G878&lt;=0.716,6,7)))</f>
        <v/>
      </c>
      <c r="D889" s="23">
        <f>INDEX($F$12:$F$18,C889)</f>
        <v/>
      </c>
      <c r="E889" s="27">
        <f>'1 Data'!I878</f>
        <v/>
      </c>
      <c r="F889" s="30">
        <f>COUNTIF($D$23:$D$1022,"&lt;"&amp;D889)+(COUNTIF($D$23:$D$1022,"="&amp;D889)+1)/2</f>
        <v/>
      </c>
    </row>
    <row r="890">
      <c r="B890" s="27">
        <f>'1 Data'!B879</f>
        <v/>
      </c>
      <c r="C890" s="29">
        <f>IF('1 Data'!E879&lt;=1.5,IF('1 Data'!F879&lt;=1.5,IF('1 Data'!G879&lt;=0.0003,1,2),IF('1 Data'!C879&lt;=165000,3,4)),IF('1 Data'!G879&lt;=0.0652,5,IF('1 Data'!G879&lt;=0.716,6,7)))</f>
        <v/>
      </c>
      <c r="D890" s="23">
        <f>INDEX($F$12:$F$18,C890)</f>
        <v/>
      </c>
      <c r="E890" s="27">
        <f>'1 Data'!I879</f>
        <v/>
      </c>
      <c r="F890" s="30">
        <f>COUNTIF($D$23:$D$1022,"&lt;"&amp;D890)+(COUNTIF($D$23:$D$1022,"="&amp;D890)+1)/2</f>
        <v/>
      </c>
    </row>
    <row r="891">
      <c r="B891" s="27">
        <f>'1 Data'!B880</f>
        <v/>
      </c>
      <c r="C891" s="29">
        <f>IF('1 Data'!E880&lt;=1.5,IF('1 Data'!F880&lt;=1.5,IF('1 Data'!G880&lt;=0.0003,1,2),IF('1 Data'!C880&lt;=165000,3,4)),IF('1 Data'!G880&lt;=0.0652,5,IF('1 Data'!G880&lt;=0.716,6,7)))</f>
        <v/>
      </c>
      <c r="D891" s="23">
        <f>INDEX($F$12:$F$18,C891)</f>
        <v/>
      </c>
      <c r="E891" s="27">
        <f>'1 Data'!I880</f>
        <v/>
      </c>
      <c r="F891" s="30">
        <f>COUNTIF($D$23:$D$1022,"&lt;"&amp;D891)+(COUNTIF($D$23:$D$1022,"="&amp;D891)+1)/2</f>
        <v/>
      </c>
    </row>
    <row r="892">
      <c r="B892" s="27">
        <f>'1 Data'!B881</f>
        <v/>
      </c>
      <c r="C892" s="29">
        <f>IF('1 Data'!E881&lt;=1.5,IF('1 Data'!F881&lt;=1.5,IF('1 Data'!G881&lt;=0.0003,1,2),IF('1 Data'!C881&lt;=165000,3,4)),IF('1 Data'!G881&lt;=0.0652,5,IF('1 Data'!G881&lt;=0.716,6,7)))</f>
        <v/>
      </c>
      <c r="D892" s="23">
        <f>INDEX($F$12:$F$18,C892)</f>
        <v/>
      </c>
      <c r="E892" s="27">
        <f>'1 Data'!I881</f>
        <v/>
      </c>
      <c r="F892" s="30">
        <f>COUNTIF($D$23:$D$1022,"&lt;"&amp;D892)+(COUNTIF($D$23:$D$1022,"="&amp;D892)+1)/2</f>
        <v/>
      </c>
    </row>
    <row r="893">
      <c r="B893" s="27">
        <f>'1 Data'!B882</f>
        <v/>
      </c>
      <c r="C893" s="29">
        <f>IF('1 Data'!E882&lt;=1.5,IF('1 Data'!F882&lt;=1.5,IF('1 Data'!G882&lt;=0.0003,1,2),IF('1 Data'!C882&lt;=165000,3,4)),IF('1 Data'!G882&lt;=0.0652,5,IF('1 Data'!G882&lt;=0.716,6,7)))</f>
        <v/>
      </c>
      <c r="D893" s="23">
        <f>INDEX($F$12:$F$18,C893)</f>
        <v/>
      </c>
      <c r="E893" s="27">
        <f>'1 Data'!I882</f>
        <v/>
      </c>
      <c r="F893" s="30">
        <f>COUNTIF($D$23:$D$1022,"&lt;"&amp;D893)+(COUNTIF($D$23:$D$1022,"="&amp;D893)+1)/2</f>
        <v/>
      </c>
    </row>
    <row r="894">
      <c r="B894" s="27">
        <f>'1 Data'!B883</f>
        <v/>
      </c>
      <c r="C894" s="29">
        <f>IF('1 Data'!E883&lt;=1.5,IF('1 Data'!F883&lt;=1.5,IF('1 Data'!G883&lt;=0.0003,1,2),IF('1 Data'!C883&lt;=165000,3,4)),IF('1 Data'!G883&lt;=0.0652,5,IF('1 Data'!G883&lt;=0.716,6,7)))</f>
        <v/>
      </c>
      <c r="D894" s="23">
        <f>INDEX($F$12:$F$18,C894)</f>
        <v/>
      </c>
      <c r="E894" s="27">
        <f>'1 Data'!I883</f>
        <v/>
      </c>
      <c r="F894" s="30">
        <f>COUNTIF($D$23:$D$1022,"&lt;"&amp;D894)+(COUNTIF($D$23:$D$1022,"="&amp;D894)+1)/2</f>
        <v/>
      </c>
    </row>
    <row r="895">
      <c r="B895" s="27">
        <f>'1 Data'!B884</f>
        <v/>
      </c>
      <c r="C895" s="29">
        <f>IF('1 Data'!E884&lt;=1.5,IF('1 Data'!F884&lt;=1.5,IF('1 Data'!G884&lt;=0.0003,1,2),IF('1 Data'!C884&lt;=165000,3,4)),IF('1 Data'!G884&lt;=0.0652,5,IF('1 Data'!G884&lt;=0.716,6,7)))</f>
        <v/>
      </c>
      <c r="D895" s="23">
        <f>INDEX($F$12:$F$18,C895)</f>
        <v/>
      </c>
      <c r="E895" s="27">
        <f>'1 Data'!I884</f>
        <v/>
      </c>
      <c r="F895" s="30">
        <f>COUNTIF($D$23:$D$1022,"&lt;"&amp;D895)+(COUNTIF($D$23:$D$1022,"="&amp;D895)+1)/2</f>
        <v/>
      </c>
    </row>
    <row r="896">
      <c r="B896" s="27">
        <f>'1 Data'!B885</f>
        <v/>
      </c>
      <c r="C896" s="29">
        <f>IF('1 Data'!E885&lt;=1.5,IF('1 Data'!F885&lt;=1.5,IF('1 Data'!G885&lt;=0.0003,1,2),IF('1 Data'!C885&lt;=165000,3,4)),IF('1 Data'!G885&lt;=0.0652,5,IF('1 Data'!G885&lt;=0.716,6,7)))</f>
        <v/>
      </c>
      <c r="D896" s="23">
        <f>INDEX($F$12:$F$18,C896)</f>
        <v/>
      </c>
      <c r="E896" s="27">
        <f>'1 Data'!I885</f>
        <v/>
      </c>
      <c r="F896" s="30">
        <f>COUNTIF($D$23:$D$1022,"&lt;"&amp;D896)+(COUNTIF($D$23:$D$1022,"="&amp;D896)+1)/2</f>
        <v/>
      </c>
    </row>
    <row r="897">
      <c r="B897" s="27">
        <f>'1 Data'!B886</f>
        <v/>
      </c>
      <c r="C897" s="29">
        <f>IF('1 Data'!E886&lt;=1.5,IF('1 Data'!F886&lt;=1.5,IF('1 Data'!G886&lt;=0.0003,1,2),IF('1 Data'!C886&lt;=165000,3,4)),IF('1 Data'!G886&lt;=0.0652,5,IF('1 Data'!G886&lt;=0.716,6,7)))</f>
        <v/>
      </c>
      <c r="D897" s="23">
        <f>INDEX($F$12:$F$18,C897)</f>
        <v/>
      </c>
      <c r="E897" s="27">
        <f>'1 Data'!I886</f>
        <v/>
      </c>
      <c r="F897" s="30">
        <f>COUNTIF($D$23:$D$1022,"&lt;"&amp;D897)+(COUNTIF($D$23:$D$1022,"="&amp;D897)+1)/2</f>
        <v/>
      </c>
    </row>
    <row r="898">
      <c r="B898" s="27">
        <f>'1 Data'!B887</f>
        <v/>
      </c>
      <c r="C898" s="29">
        <f>IF('1 Data'!E887&lt;=1.5,IF('1 Data'!F887&lt;=1.5,IF('1 Data'!G887&lt;=0.0003,1,2),IF('1 Data'!C887&lt;=165000,3,4)),IF('1 Data'!G887&lt;=0.0652,5,IF('1 Data'!G887&lt;=0.716,6,7)))</f>
        <v/>
      </c>
      <c r="D898" s="23">
        <f>INDEX($F$12:$F$18,C898)</f>
        <v/>
      </c>
      <c r="E898" s="27">
        <f>'1 Data'!I887</f>
        <v/>
      </c>
      <c r="F898" s="30">
        <f>COUNTIF($D$23:$D$1022,"&lt;"&amp;D898)+(COUNTIF($D$23:$D$1022,"="&amp;D898)+1)/2</f>
        <v/>
      </c>
    </row>
    <row r="899">
      <c r="B899" s="27">
        <f>'1 Data'!B888</f>
        <v/>
      </c>
      <c r="C899" s="29">
        <f>IF('1 Data'!E888&lt;=1.5,IF('1 Data'!F888&lt;=1.5,IF('1 Data'!G888&lt;=0.0003,1,2),IF('1 Data'!C888&lt;=165000,3,4)),IF('1 Data'!G888&lt;=0.0652,5,IF('1 Data'!G888&lt;=0.716,6,7)))</f>
        <v/>
      </c>
      <c r="D899" s="23">
        <f>INDEX($F$12:$F$18,C899)</f>
        <v/>
      </c>
      <c r="E899" s="27">
        <f>'1 Data'!I888</f>
        <v/>
      </c>
      <c r="F899" s="30">
        <f>COUNTIF($D$23:$D$1022,"&lt;"&amp;D899)+(COUNTIF($D$23:$D$1022,"="&amp;D899)+1)/2</f>
        <v/>
      </c>
    </row>
    <row r="900">
      <c r="B900" s="27">
        <f>'1 Data'!B889</f>
        <v/>
      </c>
      <c r="C900" s="29">
        <f>IF('1 Data'!E889&lt;=1.5,IF('1 Data'!F889&lt;=1.5,IF('1 Data'!G889&lt;=0.0003,1,2),IF('1 Data'!C889&lt;=165000,3,4)),IF('1 Data'!G889&lt;=0.0652,5,IF('1 Data'!G889&lt;=0.716,6,7)))</f>
        <v/>
      </c>
      <c r="D900" s="23">
        <f>INDEX($F$12:$F$18,C900)</f>
        <v/>
      </c>
      <c r="E900" s="27">
        <f>'1 Data'!I889</f>
        <v/>
      </c>
      <c r="F900" s="30">
        <f>COUNTIF($D$23:$D$1022,"&lt;"&amp;D900)+(COUNTIF($D$23:$D$1022,"="&amp;D900)+1)/2</f>
        <v/>
      </c>
    </row>
    <row r="901">
      <c r="B901" s="27">
        <f>'1 Data'!B890</f>
        <v/>
      </c>
      <c r="C901" s="29">
        <f>IF('1 Data'!E890&lt;=1.5,IF('1 Data'!F890&lt;=1.5,IF('1 Data'!G890&lt;=0.0003,1,2),IF('1 Data'!C890&lt;=165000,3,4)),IF('1 Data'!G890&lt;=0.0652,5,IF('1 Data'!G890&lt;=0.716,6,7)))</f>
        <v/>
      </c>
      <c r="D901" s="23">
        <f>INDEX($F$12:$F$18,C901)</f>
        <v/>
      </c>
      <c r="E901" s="27">
        <f>'1 Data'!I890</f>
        <v/>
      </c>
      <c r="F901" s="30">
        <f>COUNTIF($D$23:$D$1022,"&lt;"&amp;D901)+(COUNTIF($D$23:$D$1022,"="&amp;D901)+1)/2</f>
        <v/>
      </c>
    </row>
    <row r="902">
      <c r="B902" s="27">
        <f>'1 Data'!B891</f>
        <v/>
      </c>
      <c r="C902" s="29">
        <f>IF('1 Data'!E891&lt;=1.5,IF('1 Data'!F891&lt;=1.5,IF('1 Data'!G891&lt;=0.0003,1,2),IF('1 Data'!C891&lt;=165000,3,4)),IF('1 Data'!G891&lt;=0.0652,5,IF('1 Data'!G891&lt;=0.716,6,7)))</f>
        <v/>
      </c>
      <c r="D902" s="23">
        <f>INDEX($F$12:$F$18,C902)</f>
        <v/>
      </c>
      <c r="E902" s="27">
        <f>'1 Data'!I891</f>
        <v/>
      </c>
      <c r="F902" s="30">
        <f>COUNTIF($D$23:$D$1022,"&lt;"&amp;D902)+(COUNTIF($D$23:$D$1022,"="&amp;D902)+1)/2</f>
        <v/>
      </c>
    </row>
    <row r="903">
      <c r="B903" s="27">
        <f>'1 Data'!B892</f>
        <v/>
      </c>
      <c r="C903" s="29">
        <f>IF('1 Data'!E892&lt;=1.5,IF('1 Data'!F892&lt;=1.5,IF('1 Data'!G892&lt;=0.0003,1,2),IF('1 Data'!C892&lt;=165000,3,4)),IF('1 Data'!G892&lt;=0.0652,5,IF('1 Data'!G892&lt;=0.716,6,7)))</f>
        <v/>
      </c>
      <c r="D903" s="23">
        <f>INDEX($F$12:$F$18,C903)</f>
        <v/>
      </c>
      <c r="E903" s="27">
        <f>'1 Data'!I892</f>
        <v/>
      </c>
      <c r="F903" s="30">
        <f>COUNTIF($D$23:$D$1022,"&lt;"&amp;D903)+(COUNTIF($D$23:$D$1022,"="&amp;D903)+1)/2</f>
        <v/>
      </c>
    </row>
    <row r="904">
      <c r="B904" s="27">
        <f>'1 Data'!B893</f>
        <v/>
      </c>
      <c r="C904" s="29">
        <f>IF('1 Data'!E893&lt;=1.5,IF('1 Data'!F893&lt;=1.5,IF('1 Data'!G893&lt;=0.0003,1,2),IF('1 Data'!C893&lt;=165000,3,4)),IF('1 Data'!G893&lt;=0.0652,5,IF('1 Data'!G893&lt;=0.716,6,7)))</f>
        <v/>
      </c>
      <c r="D904" s="23">
        <f>INDEX($F$12:$F$18,C904)</f>
        <v/>
      </c>
      <c r="E904" s="27">
        <f>'1 Data'!I893</f>
        <v/>
      </c>
      <c r="F904" s="30">
        <f>COUNTIF($D$23:$D$1022,"&lt;"&amp;D904)+(COUNTIF($D$23:$D$1022,"="&amp;D904)+1)/2</f>
        <v/>
      </c>
    </row>
    <row r="905">
      <c r="B905" s="27">
        <f>'1 Data'!B894</f>
        <v/>
      </c>
      <c r="C905" s="29">
        <f>IF('1 Data'!E894&lt;=1.5,IF('1 Data'!F894&lt;=1.5,IF('1 Data'!G894&lt;=0.0003,1,2),IF('1 Data'!C894&lt;=165000,3,4)),IF('1 Data'!G894&lt;=0.0652,5,IF('1 Data'!G894&lt;=0.716,6,7)))</f>
        <v/>
      </c>
      <c r="D905" s="23">
        <f>INDEX($F$12:$F$18,C905)</f>
        <v/>
      </c>
      <c r="E905" s="27">
        <f>'1 Data'!I894</f>
        <v/>
      </c>
      <c r="F905" s="30">
        <f>COUNTIF($D$23:$D$1022,"&lt;"&amp;D905)+(COUNTIF($D$23:$D$1022,"="&amp;D905)+1)/2</f>
        <v/>
      </c>
    </row>
    <row r="906">
      <c r="B906" s="27">
        <f>'1 Data'!B895</f>
        <v/>
      </c>
      <c r="C906" s="29">
        <f>IF('1 Data'!E895&lt;=1.5,IF('1 Data'!F895&lt;=1.5,IF('1 Data'!G895&lt;=0.0003,1,2),IF('1 Data'!C895&lt;=165000,3,4)),IF('1 Data'!G895&lt;=0.0652,5,IF('1 Data'!G895&lt;=0.716,6,7)))</f>
        <v/>
      </c>
      <c r="D906" s="23">
        <f>INDEX($F$12:$F$18,C906)</f>
        <v/>
      </c>
      <c r="E906" s="27">
        <f>'1 Data'!I895</f>
        <v/>
      </c>
      <c r="F906" s="30">
        <f>COUNTIF($D$23:$D$1022,"&lt;"&amp;D906)+(COUNTIF($D$23:$D$1022,"="&amp;D906)+1)/2</f>
        <v/>
      </c>
    </row>
    <row r="907">
      <c r="B907" s="27">
        <f>'1 Data'!B896</f>
        <v/>
      </c>
      <c r="C907" s="29">
        <f>IF('1 Data'!E896&lt;=1.5,IF('1 Data'!F896&lt;=1.5,IF('1 Data'!G896&lt;=0.0003,1,2),IF('1 Data'!C896&lt;=165000,3,4)),IF('1 Data'!G896&lt;=0.0652,5,IF('1 Data'!G896&lt;=0.716,6,7)))</f>
        <v/>
      </c>
      <c r="D907" s="23">
        <f>INDEX($F$12:$F$18,C907)</f>
        <v/>
      </c>
      <c r="E907" s="27">
        <f>'1 Data'!I896</f>
        <v/>
      </c>
      <c r="F907" s="30">
        <f>COUNTIF($D$23:$D$1022,"&lt;"&amp;D907)+(COUNTIF($D$23:$D$1022,"="&amp;D907)+1)/2</f>
        <v/>
      </c>
    </row>
    <row r="908">
      <c r="B908" s="27">
        <f>'1 Data'!B897</f>
        <v/>
      </c>
      <c r="C908" s="29">
        <f>IF('1 Data'!E897&lt;=1.5,IF('1 Data'!F897&lt;=1.5,IF('1 Data'!G897&lt;=0.0003,1,2),IF('1 Data'!C897&lt;=165000,3,4)),IF('1 Data'!G897&lt;=0.0652,5,IF('1 Data'!G897&lt;=0.716,6,7)))</f>
        <v/>
      </c>
      <c r="D908" s="23">
        <f>INDEX($F$12:$F$18,C908)</f>
        <v/>
      </c>
      <c r="E908" s="27">
        <f>'1 Data'!I897</f>
        <v/>
      </c>
      <c r="F908" s="30">
        <f>COUNTIF($D$23:$D$1022,"&lt;"&amp;D908)+(COUNTIF($D$23:$D$1022,"="&amp;D908)+1)/2</f>
        <v/>
      </c>
    </row>
    <row r="909">
      <c r="B909" s="27">
        <f>'1 Data'!B898</f>
        <v/>
      </c>
      <c r="C909" s="29">
        <f>IF('1 Data'!E898&lt;=1.5,IF('1 Data'!F898&lt;=1.5,IF('1 Data'!G898&lt;=0.0003,1,2),IF('1 Data'!C898&lt;=165000,3,4)),IF('1 Data'!G898&lt;=0.0652,5,IF('1 Data'!G898&lt;=0.716,6,7)))</f>
        <v/>
      </c>
      <c r="D909" s="23">
        <f>INDEX($F$12:$F$18,C909)</f>
        <v/>
      </c>
      <c r="E909" s="27">
        <f>'1 Data'!I898</f>
        <v/>
      </c>
      <c r="F909" s="30">
        <f>COUNTIF($D$23:$D$1022,"&lt;"&amp;D909)+(COUNTIF($D$23:$D$1022,"="&amp;D909)+1)/2</f>
        <v/>
      </c>
    </row>
    <row r="910">
      <c r="B910" s="27">
        <f>'1 Data'!B899</f>
        <v/>
      </c>
      <c r="C910" s="29">
        <f>IF('1 Data'!E899&lt;=1.5,IF('1 Data'!F899&lt;=1.5,IF('1 Data'!G899&lt;=0.0003,1,2),IF('1 Data'!C899&lt;=165000,3,4)),IF('1 Data'!G899&lt;=0.0652,5,IF('1 Data'!G899&lt;=0.716,6,7)))</f>
        <v/>
      </c>
      <c r="D910" s="23">
        <f>INDEX($F$12:$F$18,C910)</f>
        <v/>
      </c>
      <c r="E910" s="27">
        <f>'1 Data'!I899</f>
        <v/>
      </c>
      <c r="F910" s="30">
        <f>COUNTIF($D$23:$D$1022,"&lt;"&amp;D910)+(COUNTIF($D$23:$D$1022,"="&amp;D910)+1)/2</f>
        <v/>
      </c>
    </row>
    <row r="911">
      <c r="B911" s="27">
        <f>'1 Data'!B900</f>
        <v/>
      </c>
      <c r="C911" s="29">
        <f>IF('1 Data'!E900&lt;=1.5,IF('1 Data'!F900&lt;=1.5,IF('1 Data'!G900&lt;=0.0003,1,2),IF('1 Data'!C900&lt;=165000,3,4)),IF('1 Data'!G900&lt;=0.0652,5,IF('1 Data'!G900&lt;=0.716,6,7)))</f>
        <v/>
      </c>
      <c r="D911" s="23">
        <f>INDEX($F$12:$F$18,C911)</f>
        <v/>
      </c>
      <c r="E911" s="27">
        <f>'1 Data'!I900</f>
        <v/>
      </c>
      <c r="F911" s="30">
        <f>COUNTIF($D$23:$D$1022,"&lt;"&amp;D911)+(COUNTIF($D$23:$D$1022,"="&amp;D911)+1)/2</f>
        <v/>
      </c>
    </row>
    <row r="912">
      <c r="B912" s="27">
        <f>'1 Data'!B901</f>
        <v/>
      </c>
      <c r="C912" s="29">
        <f>IF('1 Data'!E901&lt;=1.5,IF('1 Data'!F901&lt;=1.5,IF('1 Data'!G901&lt;=0.0003,1,2),IF('1 Data'!C901&lt;=165000,3,4)),IF('1 Data'!G901&lt;=0.0652,5,IF('1 Data'!G901&lt;=0.716,6,7)))</f>
        <v/>
      </c>
      <c r="D912" s="23">
        <f>INDEX($F$12:$F$18,C912)</f>
        <v/>
      </c>
      <c r="E912" s="27">
        <f>'1 Data'!I901</f>
        <v/>
      </c>
      <c r="F912" s="30">
        <f>COUNTIF($D$23:$D$1022,"&lt;"&amp;D912)+(COUNTIF($D$23:$D$1022,"="&amp;D912)+1)/2</f>
        <v/>
      </c>
    </row>
    <row r="913">
      <c r="B913" s="27">
        <f>'1 Data'!B902</f>
        <v/>
      </c>
      <c r="C913" s="29">
        <f>IF('1 Data'!E902&lt;=1.5,IF('1 Data'!F902&lt;=1.5,IF('1 Data'!G902&lt;=0.0003,1,2),IF('1 Data'!C902&lt;=165000,3,4)),IF('1 Data'!G902&lt;=0.0652,5,IF('1 Data'!G902&lt;=0.716,6,7)))</f>
        <v/>
      </c>
      <c r="D913" s="23">
        <f>INDEX($F$12:$F$18,C913)</f>
        <v/>
      </c>
      <c r="E913" s="27">
        <f>'1 Data'!I902</f>
        <v/>
      </c>
      <c r="F913" s="30">
        <f>COUNTIF($D$23:$D$1022,"&lt;"&amp;D913)+(COUNTIF($D$23:$D$1022,"="&amp;D913)+1)/2</f>
        <v/>
      </c>
    </row>
    <row r="914">
      <c r="B914" s="27">
        <f>'1 Data'!B903</f>
        <v/>
      </c>
      <c r="C914" s="29">
        <f>IF('1 Data'!E903&lt;=1.5,IF('1 Data'!F903&lt;=1.5,IF('1 Data'!G903&lt;=0.0003,1,2),IF('1 Data'!C903&lt;=165000,3,4)),IF('1 Data'!G903&lt;=0.0652,5,IF('1 Data'!G903&lt;=0.716,6,7)))</f>
        <v/>
      </c>
      <c r="D914" s="23">
        <f>INDEX($F$12:$F$18,C914)</f>
        <v/>
      </c>
      <c r="E914" s="27">
        <f>'1 Data'!I903</f>
        <v/>
      </c>
      <c r="F914" s="30">
        <f>COUNTIF($D$23:$D$1022,"&lt;"&amp;D914)+(COUNTIF($D$23:$D$1022,"="&amp;D914)+1)/2</f>
        <v/>
      </c>
    </row>
    <row r="915">
      <c r="B915" s="27">
        <f>'1 Data'!B904</f>
        <v/>
      </c>
      <c r="C915" s="29">
        <f>IF('1 Data'!E904&lt;=1.5,IF('1 Data'!F904&lt;=1.5,IF('1 Data'!G904&lt;=0.0003,1,2),IF('1 Data'!C904&lt;=165000,3,4)),IF('1 Data'!G904&lt;=0.0652,5,IF('1 Data'!G904&lt;=0.716,6,7)))</f>
        <v/>
      </c>
      <c r="D915" s="23">
        <f>INDEX($F$12:$F$18,C915)</f>
        <v/>
      </c>
      <c r="E915" s="27">
        <f>'1 Data'!I904</f>
        <v/>
      </c>
      <c r="F915" s="30">
        <f>COUNTIF($D$23:$D$1022,"&lt;"&amp;D915)+(COUNTIF($D$23:$D$1022,"="&amp;D915)+1)/2</f>
        <v/>
      </c>
    </row>
    <row r="916">
      <c r="B916" s="27">
        <f>'1 Data'!B905</f>
        <v/>
      </c>
      <c r="C916" s="29">
        <f>IF('1 Data'!E905&lt;=1.5,IF('1 Data'!F905&lt;=1.5,IF('1 Data'!G905&lt;=0.0003,1,2),IF('1 Data'!C905&lt;=165000,3,4)),IF('1 Data'!G905&lt;=0.0652,5,IF('1 Data'!G905&lt;=0.716,6,7)))</f>
        <v/>
      </c>
      <c r="D916" s="23">
        <f>INDEX($F$12:$F$18,C916)</f>
        <v/>
      </c>
      <c r="E916" s="27">
        <f>'1 Data'!I905</f>
        <v/>
      </c>
      <c r="F916" s="30">
        <f>COUNTIF($D$23:$D$1022,"&lt;"&amp;D916)+(COUNTIF($D$23:$D$1022,"="&amp;D916)+1)/2</f>
        <v/>
      </c>
    </row>
    <row r="917">
      <c r="B917" s="27">
        <f>'1 Data'!B906</f>
        <v/>
      </c>
      <c r="C917" s="29">
        <f>IF('1 Data'!E906&lt;=1.5,IF('1 Data'!F906&lt;=1.5,IF('1 Data'!G906&lt;=0.0003,1,2),IF('1 Data'!C906&lt;=165000,3,4)),IF('1 Data'!G906&lt;=0.0652,5,IF('1 Data'!G906&lt;=0.716,6,7)))</f>
        <v/>
      </c>
      <c r="D917" s="23">
        <f>INDEX($F$12:$F$18,C917)</f>
        <v/>
      </c>
      <c r="E917" s="27">
        <f>'1 Data'!I906</f>
        <v/>
      </c>
      <c r="F917" s="30">
        <f>COUNTIF($D$23:$D$1022,"&lt;"&amp;D917)+(COUNTIF($D$23:$D$1022,"="&amp;D917)+1)/2</f>
        <v/>
      </c>
    </row>
    <row r="918">
      <c r="B918" s="27">
        <f>'1 Data'!B907</f>
        <v/>
      </c>
      <c r="C918" s="29">
        <f>IF('1 Data'!E907&lt;=1.5,IF('1 Data'!F907&lt;=1.5,IF('1 Data'!G907&lt;=0.0003,1,2),IF('1 Data'!C907&lt;=165000,3,4)),IF('1 Data'!G907&lt;=0.0652,5,IF('1 Data'!G907&lt;=0.716,6,7)))</f>
        <v/>
      </c>
      <c r="D918" s="23">
        <f>INDEX($F$12:$F$18,C918)</f>
        <v/>
      </c>
      <c r="E918" s="27">
        <f>'1 Data'!I907</f>
        <v/>
      </c>
      <c r="F918" s="30">
        <f>COUNTIF($D$23:$D$1022,"&lt;"&amp;D918)+(COUNTIF($D$23:$D$1022,"="&amp;D918)+1)/2</f>
        <v/>
      </c>
    </row>
    <row r="919">
      <c r="B919" s="27">
        <f>'1 Data'!B908</f>
        <v/>
      </c>
      <c r="C919" s="29">
        <f>IF('1 Data'!E908&lt;=1.5,IF('1 Data'!F908&lt;=1.5,IF('1 Data'!G908&lt;=0.0003,1,2),IF('1 Data'!C908&lt;=165000,3,4)),IF('1 Data'!G908&lt;=0.0652,5,IF('1 Data'!G908&lt;=0.716,6,7)))</f>
        <v/>
      </c>
      <c r="D919" s="23">
        <f>INDEX($F$12:$F$18,C919)</f>
        <v/>
      </c>
      <c r="E919" s="27">
        <f>'1 Data'!I908</f>
        <v/>
      </c>
      <c r="F919" s="30">
        <f>COUNTIF($D$23:$D$1022,"&lt;"&amp;D919)+(COUNTIF($D$23:$D$1022,"="&amp;D919)+1)/2</f>
        <v/>
      </c>
    </row>
    <row r="920">
      <c r="B920" s="27">
        <f>'1 Data'!B909</f>
        <v/>
      </c>
      <c r="C920" s="29">
        <f>IF('1 Data'!E909&lt;=1.5,IF('1 Data'!F909&lt;=1.5,IF('1 Data'!G909&lt;=0.0003,1,2),IF('1 Data'!C909&lt;=165000,3,4)),IF('1 Data'!G909&lt;=0.0652,5,IF('1 Data'!G909&lt;=0.716,6,7)))</f>
        <v/>
      </c>
      <c r="D920" s="23">
        <f>INDEX($F$12:$F$18,C920)</f>
        <v/>
      </c>
      <c r="E920" s="27">
        <f>'1 Data'!I909</f>
        <v/>
      </c>
      <c r="F920" s="30">
        <f>COUNTIF($D$23:$D$1022,"&lt;"&amp;D920)+(COUNTIF($D$23:$D$1022,"="&amp;D920)+1)/2</f>
        <v/>
      </c>
    </row>
    <row r="921">
      <c r="B921" s="27">
        <f>'1 Data'!B910</f>
        <v/>
      </c>
      <c r="C921" s="29">
        <f>IF('1 Data'!E910&lt;=1.5,IF('1 Data'!F910&lt;=1.5,IF('1 Data'!G910&lt;=0.0003,1,2),IF('1 Data'!C910&lt;=165000,3,4)),IF('1 Data'!G910&lt;=0.0652,5,IF('1 Data'!G910&lt;=0.716,6,7)))</f>
        <v/>
      </c>
      <c r="D921" s="23">
        <f>INDEX($F$12:$F$18,C921)</f>
        <v/>
      </c>
      <c r="E921" s="27">
        <f>'1 Data'!I910</f>
        <v/>
      </c>
      <c r="F921" s="30">
        <f>COUNTIF($D$23:$D$1022,"&lt;"&amp;D921)+(COUNTIF($D$23:$D$1022,"="&amp;D921)+1)/2</f>
        <v/>
      </c>
    </row>
    <row r="922">
      <c r="B922" s="27">
        <f>'1 Data'!B911</f>
        <v/>
      </c>
      <c r="C922" s="29">
        <f>IF('1 Data'!E911&lt;=1.5,IF('1 Data'!F911&lt;=1.5,IF('1 Data'!G911&lt;=0.0003,1,2),IF('1 Data'!C911&lt;=165000,3,4)),IF('1 Data'!G911&lt;=0.0652,5,IF('1 Data'!G911&lt;=0.716,6,7)))</f>
        <v/>
      </c>
      <c r="D922" s="23">
        <f>INDEX($F$12:$F$18,C922)</f>
        <v/>
      </c>
      <c r="E922" s="27">
        <f>'1 Data'!I911</f>
        <v/>
      </c>
      <c r="F922" s="30">
        <f>COUNTIF($D$23:$D$1022,"&lt;"&amp;D922)+(COUNTIF($D$23:$D$1022,"="&amp;D922)+1)/2</f>
        <v/>
      </c>
    </row>
    <row r="923">
      <c r="B923" s="27">
        <f>'1 Data'!B912</f>
        <v/>
      </c>
      <c r="C923" s="29">
        <f>IF('1 Data'!E912&lt;=1.5,IF('1 Data'!F912&lt;=1.5,IF('1 Data'!G912&lt;=0.0003,1,2),IF('1 Data'!C912&lt;=165000,3,4)),IF('1 Data'!G912&lt;=0.0652,5,IF('1 Data'!G912&lt;=0.716,6,7)))</f>
        <v/>
      </c>
      <c r="D923" s="23">
        <f>INDEX($F$12:$F$18,C923)</f>
        <v/>
      </c>
      <c r="E923" s="27">
        <f>'1 Data'!I912</f>
        <v/>
      </c>
      <c r="F923" s="30">
        <f>COUNTIF($D$23:$D$1022,"&lt;"&amp;D923)+(COUNTIF($D$23:$D$1022,"="&amp;D923)+1)/2</f>
        <v/>
      </c>
    </row>
    <row r="924">
      <c r="B924" s="27">
        <f>'1 Data'!B913</f>
        <v/>
      </c>
      <c r="C924" s="29">
        <f>IF('1 Data'!E913&lt;=1.5,IF('1 Data'!F913&lt;=1.5,IF('1 Data'!G913&lt;=0.0003,1,2),IF('1 Data'!C913&lt;=165000,3,4)),IF('1 Data'!G913&lt;=0.0652,5,IF('1 Data'!G913&lt;=0.716,6,7)))</f>
        <v/>
      </c>
      <c r="D924" s="23">
        <f>INDEX($F$12:$F$18,C924)</f>
        <v/>
      </c>
      <c r="E924" s="27">
        <f>'1 Data'!I913</f>
        <v/>
      </c>
      <c r="F924" s="30">
        <f>COUNTIF($D$23:$D$1022,"&lt;"&amp;D924)+(COUNTIF($D$23:$D$1022,"="&amp;D924)+1)/2</f>
        <v/>
      </c>
    </row>
    <row r="925">
      <c r="B925" s="27">
        <f>'1 Data'!B914</f>
        <v/>
      </c>
      <c r="C925" s="29">
        <f>IF('1 Data'!E914&lt;=1.5,IF('1 Data'!F914&lt;=1.5,IF('1 Data'!G914&lt;=0.0003,1,2),IF('1 Data'!C914&lt;=165000,3,4)),IF('1 Data'!G914&lt;=0.0652,5,IF('1 Data'!G914&lt;=0.716,6,7)))</f>
        <v/>
      </c>
      <c r="D925" s="23">
        <f>INDEX($F$12:$F$18,C925)</f>
        <v/>
      </c>
      <c r="E925" s="27">
        <f>'1 Data'!I914</f>
        <v/>
      </c>
      <c r="F925" s="30">
        <f>COUNTIF($D$23:$D$1022,"&lt;"&amp;D925)+(COUNTIF($D$23:$D$1022,"="&amp;D925)+1)/2</f>
        <v/>
      </c>
    </row>
    <row r="926">
      <c r="B926" s="27">
        <f>'1 Data'!B915</f>
        <v/>
      </c>
      <c r="C926" s="29">
        <f>IF('1 Data'!E915&lt;=1.5,IF('1 Data'!F915&lt;=1.5,IF('1 Data'!G915&lt;=0.0003,1,2),IF('1 Data'!C915&lt;=165000,3,4)),IF('1 Data'!G915&lt;=0.0652,5,IF('1 Data'!G915&lt;=0.716,6,7)))</f>
        <v/>
      </c>
      <c r="D926" s="23">
        <f>INDEX($F$12:$F$18,C926)</f>
        <v/>
      </c>
      <c r="E926" s="27">
        <f>'1 Data'!I915</f>
        <v/>
      </c>
      <c r="F926" s="30">
        <f>COUNTIF($D$23:$D$1022,"&lt;"&amp;D926)+(COUNTIF($D$23:$D$1022,"="&amp;D926)+1)/2</f>
        <v/>
      </c>
    </row>
    <row r="927">
      <c r="B927" s="27">
        <f>'1 Data'!B916</f>
        <v/>
      </c>
      <c r="C927" s="29">
        <f>IF('1 Data'!E916&lt;=1.5,IF('1 Data'!F916&lt;=1.5,IF('1 Data'!G916&lt;=0.0003,1,2),IF('1 Data'!C916&lt;=165000,3,4)),IF('1 Data'!G916&lt;=0.0652,5,IF('1 Data'!G916&lt;=0.716,6,7)))</f>
        <v/>
      </c>
      <c r="D927" s="23">
        <f>INDEX($F$12:$F$18,C927)</f>
        <v/>
      </c>
      <c r="E927" s="27">
        <f>'1 Data'!I916</f>
        <v/>
      </c>
      <c r="F927" s="30">
        <f>COUNTIF($D$23:$D$1022,"&lt;"&amp;D927)+(COUNTIF($D$23:$D$1022,"="&amp;D927)+1)/2</f>
        <v/>
      </c>
    </row>
    <row r="928">
      <c r="B928" s="27">
        <f>'1 Data'!B917</f>
        <v/>
      </c>
      <c r="C928" s="29">
        <f>IF('1 Data'!E917&lt;=1.5,IF('1 Data'!F917&lt;=1.5,IF('1 Data'!G917&lt;=0.0003,1,2),IF('1 Data'!C917&lt;=165000,3,4)),IF('1 Data'!G917&lt;=0.0652,5,IF('1 Data'!G917&lt;=0.716,6,7)))</f>
        <v/>
      </c>
      <c r="D928" s="23">
        <f>INDEX($F$12:$F$18,C928)</f>
        <v/>
      </c>
      <c r="E928" s="27">
        <f>'1 Data'!I917</f>
        <v/>
      </c>
      <c r="F928" s="30">
        <f>COUNTIF($D$23:$D$1022,"&lt;"&amp;D928)+(COUNTIF($D$23:$D$1022,"="&amp;D928)+1)/2</f>
        <v/>
      </c>
    </row>
    <row r="929">
      <c r="B929" s="27">
        <f>'1 Data'!B918</f>
        <v/>
      </c>
      <c r="C929" s="29">
        <f>IF('1 Data'!E918&lt;=1.5,IF('1 Data'!F918&lt;=1.5,IF('1 Data'!G918&lt;=0.0003,1,2),IF('1 Data'!C918&lt;=165000,3,4)),IF('1 Data'!G918&lt;=0.0652,5,IF('1 Data'!G918&lt;=0.716,6,7)))</f>
        <v/>
      </c>
      <c r="D929" s="23">
        <f>INDEX($F$12:$F$18,C929)</f>
        <v/>
      </c>
      <c r="E929" s="27">
        <f>'1 Data'!I918</f>
        <v/>
      </c>
      <c r="F929" s="30">
        <f>COUNTIF($D$23:$D$1022,"&lt;"&amp;D929)+(COUNTIF($D$23:$D$1022,"="&amp;D929)+1)/2</f>
        <v/>
      </c>
    </row>
    <row r="930">
      <c r="B930" s="27">
        <f>'1 Data'!B919</f>
        <v/>
      </c>
      <c r="C930" s="29">
        <f>IF('1 Data'!E919&lt;=1.5,IF('1 Data'!F919&lt;=1.5,IF('1 Data'!G919&lt;=0.0003,1,2),IF('1 Data'!C919&lt;=165000,3,4)),IF('1 Data'!G919&lt;=0.0652,5,IF('1 Data'!G919&lt;=0.716,6,7)))</f>
        <v/>
      </c>
      <c r="D930" s="23">
        <f>INDEX($F$12:$F$18,C930)</f>
        <v/>
      </c>
      <c r="E930" s="27">
        <f>'1 Data'!I919</f>
        <v/>
      </c>
      <c r="F930" s="30">
        <f>COUNTIF($D$23:$D$1022,"&lt;"&amp;D930)+(COUNTIF($D$23:$D$1022,"="&amp;D930)+1)/2</f>
        <v/>
      </c>
    </row>
    <row r="931">
      <c r="B931" s="27">
        <f>'1 Data'!B920</f>
        <v/>
      </c>
      <c r="C931" s="29">
        <f>IF('1 Data'!E920&lt;=1.5,IF('1 Data'!F920&lt;=1.5,IF('1 Data'!G920&lt;=0.0003,1,2),IF('1 Data'!C920&lt;=165000,3,4)),IF('1 Data'!G920&lt;=0.0652,5,IF('1 Data'!G920&lt;=0.716,6,7)))</f>
        <v/>
      </c>
      <c r="D931" s="23">
        <f>INDEX($F$12:$F$18,C931)</f>
        <v/>
      </c>
      <c r="E931" s="27">
        <f>'1 Data'!I920</f>
        <v/>
      </c>
      <c r="F931" s="30">
        <f>COUNTIF($D$23:$D$1022,"&lt;"&amp;D931)+(COUNTIF($D$23:$D$1022,"="&amp;D931)+1)/2</f>
        <v/>
      </c>
    </row>
    <row r="932">
      <c r="B932" s="27">
        <f>'1 Data'!B921</f>
        <v/>
      </c>
      <c r="C932" s="29">
        <f>IF('1 Data'!E921&lt;=1.5,IF('1 Data'!F921&lt;=1.5,IF('1 Data'!G921&lt;=0.0003,1,2),IF('1 Data'!C921&lt;=165000,3,4)),IF('1 Data'!G921&lt;=0.0652,5,IF('1 Data'!G921&lt;=0.716,6,7)))</f>
        <v/>
      </c>
      <c r="D932" s="23">
        <f>INDEX($F$12:$F$18,C932)</f>
        <v/>
      </c>
      <c r="E932" s="27">
        <f>'1 Data'!I921</f>
        <v/>
      </c>
      <c r="F932" s="30">
        <f>COUNTIF($D$23:$D$1022,"&lt;"&amp;D932)+(COUNTIF($D$23:$D$1022,"="&amp;D932)+1)/2</f>
        <v/>
      </c>
    </row>
    <row r="933">
      <c r="B933" s="27">
        <f>'1 Data'!B922</f>
        <v/>
      </c>
      <c r="C933" s="29">
        <f>IF('1 Data'!E922&lt;=1.5,IF('1 Data'!F922&lt;=1.5,IF('1 Data'!G922&lt;=0.0003,1,2),IF('1 Data'!C922&lt;=165000,3,4)),IF('1 Data'!G922&lt;=0.0652,5,IF('1 Data'!G922&lt;=0.716,6,7)))</f>
        <v/>
      </c>
      <c r="D933" s="23">
        <f>INDEX($F$12:$F$18,C933)</f>
        <v/>
      </c>
      <c r="E933" s="27">
        <f>'1 Data'!I922</f>
        <v/>
      </c>
      <c r="F933" s="30">
        <f>COUNTIF($D$23:$D$1022,"&lt;"&amp;D933)+(COUNTIF($D$23:$D$1022,"="&amp;D933)+1)/2</f>
        <v/>
      </c>
    </row>
    <row r="934">
      <c r="B934" s="27">
        <f>'1 Data'!B923</f>
        <v/>
      </c>
      <c r="C934" s="29">
        <f>IF('1 Data'!E923&lt;=1.5,IF('1 Data'!F923&lt;=1.5,IF('1 Data'!G923&lt;=0.0003,1,2),IF('1 Data'!C923&lt;=165000,3,4)),IF('1 Data'!G923&lt;=0.0652,5,IF('1 Data'!G923&lt;=0.716,6,7)))</f>
        <v/>
      </c>
      <c r="D934" s="23">
        <f>INDEX($F$12:$F$18,C934)</f>
        <v/>
      </c>
      <c r="E934" s="27">
        <f>'1 Data'!I923</f>
        <v/>
      </c>
      <c r="F934" s="30">
        <f>COUNTIF($D$23:$D$1022,"&lt;"&amp;D934)+(COUNTIF($D$23:$D$1022,"="&amp;D934)+1)/2</f>
        <v/>
      </c>
    </row>
    <row r="935">
      <c r="B935" s="27">
        <f>'1 Data'!B924</f>
        <v/>
      </c>
      <c r="C935" s="29">
        <f>IF('1 Data'!E924&lt;=1.5,IF('1 Data'!F924&lt;=1.5,IF('1 Data'!G924&lt;=0.0003,1,2),IF('1 Data'!C924&lt;=165000,3,4)),IF('1 Data'!G924&lt;=0.0652,5,IF('1 Data'!G924&lt;=0.716,6,7)))</f>
        <v/>
      </c>
      <c r="D935" s="23">
        <f>INDEX($F$12:$F$18,C935)</f>
        <v/>
      </c>
      <c r="E935" s="27">
        <f>'1 Data'!I924</f>
        <v/>
      </c>
      <c r="F935" s="30">
        <f>COUNTIF($D$23:$D$1022,"&lt;"&amp;D935)+(COUNTIF($D$23:$D$1022,"="&amp;D935)+1)/2</f>
        <v/>
      </c>
    </row>
    <row r="936">
      <c r="B936" s="27">
        <f>'1 Data'!B925</f>
        <v/>
      </c>
      <c r="C936" s="29">
        <f>IF('1 Data'!E925&lt;=1.5,IF('1 Data'!F925&lt;=1.5,IF('1 Data'!G925&lt;=0.0003,1,2),IF('1 Data'!C925&lt;=165000,3,4)),IF('1 Data'!G925&lt;=0.0652,5,IF('1 Data'!G925&lt;=0.716,6,7)))</f>
        <v/>
      </c>
      <c r="D936" s="23">
        <f>INDEX($F$12:$F$18,C936)</f>
        <v/>
      </c>
      <c r="E936" s="27">
        <f>'1 Data'!I925</f>
        <v/>
      </c>
      <c r="F936" s="30">
        <f>COUNTIF($D$23:$D$1022,"&lt;"&amp;D936)+(COUNTIF($D$23:$D$1022,"="&amp;D936)+1)/2</f>
        <v/>
      </c>
    </row>
    <row r="937">
      <c r="B937" s="27">
        <f>'1 Data'!B926</f>
        <v/>
      </c>
      <c r="C937" s="29">
        <f>IF('1 Data'!E926&lt;=1.5,IF('1 Data'!F926&lt;=1.5,IF('1 Data'!G926&lt;=0.0003,1,2),IF('1 Data'!C926&lt;=165000,3,4)),IF('1 Data'!G926&lt;=0.0652,5,IF('1 Data'!G926&lt;=0.716,6,7)))</f>
        <v/>
      </c>
      <c r="D937" s="23">
        <f>INDEX($F$12:$F$18,C937)</f>
        <v/>
      </c>
      <c r="E937" s="27">
        <f>'1 Data'!I926</f>
        <v/>
      </c>
      <c r="F937" s="30">
        <f>COUNTIF($D$23:$D$1022,"&lt;"&amp;D937)+(COUNTIF($D$23:$D$1022,"="&amp;D937)+1)/2</f>
        <v/>
      </c>
    </row>
    <row r="938">
      <c r="B938" s="27">
        <f>'1 Data'!B927</f>
        <v/>
      </c>
      <c r="C938" s="29">
        <f>IF('1 Data'!E927&lt;=1.5,IF('1 Data'!F927&lt;=1.5,IF('1 Data'!G927&lt;=0.0003,1,2),IF('1 Data'!C927&lt;=165000,3,4)),IF('1 Data'!G927&lt;=0.0652,5,IF('1 Data'!G927&lt;=0.716,6,7)))</f>
        <v/>
      </c>
      <c r="D938" s="23">
        <f>INDEX($F$12:$F$18,C938)</f>
        <v/>
      </c>
      <c r="E938" s="27">
        <f>'1 Data'!I927</f>
        <v/>
      </c>
      <c r="F938" s="30">
        <f>COUNTIF($D$23:$D$1022,"&lt;"&amp;D938)+(COUNTIF($D$23:$D$1022,"="&amp;D938)+1)/2</f>
        <v/>
      </c>
    </row>
    <row r="939">
      <c r="B939" s="27">
        <f>'1 Data'!B928</f>
        <v/>
      </c>
      <c r="C939" s="29">
        <f>IF('1 Data'!E928&lt;=1.5,IF('1 Data'!F928&lt;=1.5,IF('1 Data'!G928&lt;=0.0003,1,2),IF('1 Data'!C928&lt;=165000,3,4)),IF('1 Data'!G928&lt;=0.0652,5,IF('1 Data'!G928&lt;=0.716,6,7)))</f>
        <v/>
      </c>
      <c r="D939" s="23">
        <f>INDEX($F$12:$F$18,C939)</f>
        <v/>
      </c>
      <c r="E939" s="27">
        <f>'1 Data'!I928</f>
        <v/>
      </c>
      <c r="F939" s="30">
        <f>COUNTIF($D$23:$D$1022,"&lt;"&amp;D939)+(COUNTIF($D$23:$D$1022,"="&amp;D939)+1)/2</f>
        <v/>
      </c>
    </row>
    <row r="940">
      <c r="B940" s="27">
        <f>'1 Data'!B929</f>
        <v/>
      </c>
      <c r="C940" s="29">
        <f>IF('1 Data'!E929&lt;=1.5,IF('1 Data'!F929&lt;=1.5,IF('1 Data'!G929&lt;=0.0003,1,2),IF('1 Data'!C929&lt;=165000,3,4)),IF('1 Data'!G929&lt;=0.0652,5,IF('1 Data'!G929&lt;=0.716,6,7)))</f>
        <v/>
      </c>
      <c r="D940" s="23">
        <f>INDEX($F$12:$F$18,C940)</f>
        <v/>
      </c>
      <c r="E940" s="27">
        <f>'1 Data'!I929</f>
        <v/>
      </c>
      <c r="F940" s="30">
        <f>COUNTIF($D$23:$D$1022,"&lt;"&amp;D940)+(COUNTIF($D$23:$D$1022,"="&amp;D940)+1)/2</f>
        <v/>
      </c>
    </row>
    <row r="941">
      <c r="B941" s="27">
        <f>'1 Data'!B930</f>
        <v/>
      </c>
      <c r="C941" s="29">
        <f>IF('1 Data'!E930&lt;=1.5,IF('1 Data'!F930&lt;=1.5,IF('1 Data'!G930&lt;=0.0003,1,2),IF('1 Data'!C930&lt;=165000,3,4)),IF('1 Data'!G930&lt;=0.0652,5,IF('1 Data'!G930&lt;=0.716,6,7)))</f>
        <v/>
      </c>
      <c r="D941" s="23">
        <f>INDEX($F$12:$F$18,C941)</f>
        <v/>
      </c>
      <c r="E941" s="27">
        <f>'1 Data'!I930</f>
        <v/>
      </c>
      <c r="F941" s="30">
        <f>COUNTIF($D$23:$D$1022,"&lt;"&amp;D941)+(COUNTIF($D$23:$D$1022,"="&amp;D941)+1)/2</f>
        <v/>
      </c>
    </row>
    <row r="942">
      <c r="B942" s="27">
        <f>'1 Data'!B931</f>
        <v/>
      </c>
      <c r="C942" s="29">
        <f>IF('1 Data'!E931&lt;=1.5,IF('1 Data'!F931&lt;=1.5,IF('1 Data'!G931&lt;=0.0003,1,2),IF('1 Data'!C931&lt;=165000,3,4)),IF('1 Data'!G931&lt;=0.0652,5,IF('1 Data'!G931&lt;=0.716,6,7)))</f>
        <v/>
      </c>
      <c r="D942" s="23">
        <f>INDEX($F$12:$F$18,C942)</f>
        <v/>
      </c>
      <c r="E942" s="27">
        <f>'1 Data'!I931</f>
        <v/>
      </c>
      <c r="F942" s="30">
        <f>COUNTIF($D$23:$D$1022,"&lt;"&amp;D942)+(COUNTIF($D$23:$D$1022,"="&amp;D942)+1)/2</f>
        <v/>
      </c>
    </row>
    <row r="943">
      <c r="B943" s="27">
        <f>'1 Data'!B932</f>
        <v/>
      </c>
      <c r="C943" s="29">
        <f>IF('1 Data'!E932&lt;=1.5,IF('1 Data'!F932&lt;=1.5,IF('1 Data'!G932&lt;=0.0003,1,2),IF('1 Data'!C932&lt;=165000,3,4)),IF('1 Data'!G932&lt;=0.0652,5,IF('1 Data'!G932&lt;=0.716,6,7)))</f>
        <v/>
      </c>
      <c r="D943" s="23">
        <f>INDEX($F$12:$F$18,C943)</f>
        <v/>
      </c>
      <c r="E943" s="27">
        <f>'1 Data'!I932</f>
        <v/>
      </c>
      <c r="F943" s="30">
        <f>COUNTIF($D$23:$D$1022,"&lt;"&amp;D943)+(COUNTIF($D$23:$D$1022,"="&amp;D943)+1)/2</f>
        <v/>
      </c>
    </row>
    <row r="944">
      <c r="B944" s="27">
        <f>'1 Data'!B933</f>
        <v/>
      </c>
      <c r="C944" s="29">
        <f>IF('1 Data'!E933&lt;=1.5,IF('1 Data'!F933&lt;=1.5,IF('1 Data'!G933&lt;=0.0003,1,2),IF('1 Data'!C933&lt;=165000,3,4)),IF('1 Data'!G933&lt;=0.0652,5,IF('1 Data'!G933&lt;=0.716,6,7)))</f>
        <v/>
      </c>
      <c r="D944" s="23">
        <f>INDEX($F$12:$F$18,C944)</f>
        <v/>
      </c>
      <c r="E944" s="27">
        <f>'1 Data'!I933</f>
        <v/>
      </c>
      <c r="F944" s="30">
        <f>COUNTIF($D$23:$D$1022,"&lt;"&amp;D944)+(COUNTIF($D$23:$D$1022,"="&amp;D944)+1)/2</f>
        <v/>
      </c>
    </row>
    <row r="945">
      <c r="B945" s="27">
        <f>'1 Data'!B934</f>
        <v/>
      </c>
      <c r="C945" s="29">
        <f>IF('1 Data'!E934&lt;=1.5,IF('1 Data'!F934&lt;=1.5,IF('1 Data'!G934&lt;=0.0003,1,2),IF('1 Data'!C934&lt;=165000,3,4)),IF('1 Data'!G934&lt;=0.0652,5,IF('1 Data'!G934&lt;=0.716,6,7)))</f>
        <v/>
      </c>
      <c r="D945" s="23">
        <f>INDEX($F$12:$F$18,C945)</f>
        <v/>
      </c>
      <c r="E945" s="27">
        <f>'1 Data'!I934</f>
        <v/>
      </c>
      <c r="F945" s="30">
        <f>COUNTIF($D$23:$D$1022,"&lt;"&amp;D945)+(COUNTIF($D$23:$D$1022,"="&amp;D945)+1)/2</f>
        <v/>
      </c>
    </row>
    <row r="946">
      <c r="B946" s="27">
        <f>'1 Data'!B935</f>
        <v/>
      </c>
      <c r="C946" s="29">
        <f>IF('1 Data'!E935&lt;=1.5,IF('1 Data'!F935&lt;=1.5,IF('1 Data'!G935&lt;=0.0003,1,2),IF('1 Data'!C935&lt;=165000,3,4)),IF('1 Data'!G935&lt;=0.0652,5,IF('1 Data'!G935&lt;=0.716,6,7)))</f>
        <v/>
      </c>
      <c r="D946" s="23">
        <f>INDEX($F$12:$F$18,C946)</f>
        <v/>
      </c>
      <c r="E946" s="27">
        <f>'1 Data'!I935</f>
        <v/>
      </c>
      <c r="F946" s="30">
        <f>COUNTIF($D$23:$D$1022,"&lt;"&amp;D946)+(COUNTIF($D$23:$D$1022,"="&amp;D946)+1)/2</f>
        <v/>
      </c>
    </row>
    <row r="947">
      <c r="B947" s="27">
        <f>'1 Data'!B936</f>
        <v/>
      </c>
      <c r="C947" s="29">
        <f>IF('1 Data'!E936&lt;=1.5,IF('1 Data'!F936&lt;=1.5,IF('1 Data'!G936&lt;=0.0003,1,2),IF('1 Data'!C936&lt;=165000,3,4)),IF('1 Data'!G936&lt;=0.0652,5,IF('1 Data'!G936&lt;=0.716,6,7)))</f>
        <v/>
      </c>
      <c r="D947" s="23">
        <f>INDEX($F$12:$F$18,C947)</f>
        <v/>
      </c>
      <c r="E947" s="27">
        <f>'1 Data'!I936</f>
        <v/>
      </c>
      <c r="F947" s="30">
        <f>COUNTIF($D$23:$D$1022,"&lt;"&amp;D947)+(COUNTIF($D$23:$D$1022,"="&amp;D947)+1)/2</f>
        <v/>
      </c>
    </row>
    <row r="948">
      <c r="B948" s="27">
        <f>'1 Data'!B937</f>
        <v/>
      </c>
      <c r="C948" s="29">
        <f>IF('1 Data'!E937&lt;=1.5,IF('1 Data'!F937&lt;=1.5,IF('1 Data'!G937&lt;=0.0003,1,2),IF('1 Data'!C937&lt;=165000,3,4)),IF('1 Data'!G937&lt;=0.0652,5,IF('1 Data'!G937&lt;=0.716,6,7)))</f>
        <v/>
      </c>
      <c r="D948" s="23">
        <f>INDEX($F$12:$F$18,C948)</f>
        <v/>
      </c>
      <c r="E948" s="27">
        <f>'1 Data'!I937</f>
        <v/>
      </c>
      <c r="F948" s="30">
        <f>COUNTIF($D$23:$D$1022,"&lt;"&amp;D948)+(COUNTIF($D$23:$D$1022,"="&amp;D948)+1)/2</f>
        <v/>
      </c>
    </row>
    <row r="949">
      <c r="B949" s="27">
        <f>'1 Data'!B938</f>
        <v/>
      </c>
      <c r="C949" s="29">
        <f>IF('1 Data'!E938&lt;=1.5,IF('1 Data'!F938&lt;=1.5,IF('1 Data'!G938&lt;=0.0003,1,2),IF('1 Data'!C938&lt;=165000,3,4)),IF('1 Data'!G938&lt;=0.0652,5,IF('1 Data'!G938&lt;=0.716,6,7)))</f>
        <v/>
      </c>
      <c r="D949" s="23">
        <f>INDEX($F$12:$F$18,C949)</f>
        <v/>
      </c>
      <c r="E949" s="27">
        <f>'1 Data'!I938</f>
        <v/>
      </c>
      <c r="F949" s="30">
        <f>COUNTIF($D$23:$D$1022,"&lt;"&amp;D949)+(COUNTIF($D$23:$D$1022,"="&amp;D949)+1)/2</f>
        <v/>
      </c>
    </row>
    <row r="950">
      <c r="B950" s="27">
        <f>'1 Data'!B939</f>
        <v/>
      </c>
      <c r="C950" s="29">
        <f>IF('1 Data'!E939&lt;=1.5,IF('1 Data'!F939&lt;=1.5,IF('1 Data'!G939&lt;=0.0003,1,2),IF('1 Data'!C939&lt;=165000,3,4)),IF('1 Data'!G939&lt;=0.0652,5,IF('1 Data'!G939&lt;=0.716,6,7)))</f>
        <v/>
      </c>
      <c r="D950" s="23">
        <f>INDEX($F$12:$F$18,C950)</f>
        <v/>
      </c>
      <c r="E950" s="27">
        <f>'1 Data'!I939</f>
        <v/>
      </c>
      <c r="F950" s="30">
        <f>COUNTIF($D$23:$D$1022,"&lt;"&amp;D950)+(COUNTIF($D$23:$D$1022,"="&amp;D950)+1)/2</f>
        <v/>
      </c>
    </row>
    <row r="951">
      <c r="B951" s="27">
        <f>'1 Data'!B940</f>
        <v/>
      </c>
      <c r="C951" s="29">
        <f>IF('1 Data'!E940&lt;=1.5,IF('1 Data'!F940&lt;=1.5,IF('1 Data'!G940&lt;=0.0003,1,2),IF('1 Data'!C940&lt;=165000,3,4)),IF('1 Data'!G940&lt;=0.0652,5,IF('1 Data'!G940&lt;=0.716,6,7)))</f>
        <v/>
      </c>
      <c r="D951" s="23">
        <f>INDEX($F$12:$F$18,C951)</f>
        <v/>
      </c>
      <c r="E951" s="27">
        <f>'1 Data'!I940</f>
        <v/>
      </c>
      <c r="F951" s="30">
        <f>COUNTIF($D$23:$D$1022,"&lt;"&amp;D951)+(COUNTIF($D$23:$D$1022,"="&amp;D951)+1)/2</f>
        <v/>
      </c>
    </row>
    <row r="952">
      <c r="B952" s="27">
        <f>'1 Data'!B941</f>
        <v/>
      </c>
      <c r="C952" s="29">
        <f>IF('1 Data'!E941&lt;=1.5,IF('1 Data'!F941&lt;=1.5,IF('1 Data'!G941&lt;=0.0003,1,2),IF('1 Data'!C941&lt;=165000,3,4)),IF('1 Data'!G941&lt;=0.0652,5,IF('1 Data'!G941&lt;=0.716,6,7)))</f>
        <v/>
      </c>
      <c r="D952" s="23">
        <f>INDEX($F$12:$F$18,C952)</f>
        <v/>
      </c>
      <c r="E952" s="27">
        <f>'1 Data'!I941</f>
        <v/>
      </c>
      <c r="F952" s="30">
        <f>COUNTIF($D$23:$D$1022,"&lt;"&amp;D952)+(COUNTIF($D$23:$D$1022,"="&amp;D952)+1)/2</f>
        <v/>
      </c>
    </row>
    <row r="953">
      <c r="B953" s="27">
        <f>'1 Data'!B942</f>
        <v/>
      </c>
      <c r="C953" s="29">
        <f>IF('1 Data'!E942&lt;=1.5,IF('1 Data'!F942&lt;=1.5,IF('1 Data'!G942&lt;=0.0003,1,2),IF('1 Data'!C942&lt;=165000,3,4)),IF('1 Data'!G942&lt;=0.0652,5,IF('1 Data'!G942&lt;=0.716,6,7)))</f>
        <v/>
      </c>
      <c r="D953" s="23">
        <f>INDEX($F$12:$F$18,C953)</f>
        <v/>
      </c>
      <c r="E953" s="27">
        <f>'1 Data'!I942</f>
        <v/>
      </c>
      <c r="F953" s="30">
        <f>COUNTIF($D$23:$D$1022,"&lt;"&amp;D953)+(COUNTIF($D$23:$D$1022,"="&amp;D953)+1)/2</f>
        <v/>
      </c>
    </row>
    <row r="954">
      <c r="B954" s="27">
        <f>'1 Data'!B943</f>
        <v/>
      </c>
      <c r="C954" s="29">
        <f>IF('1 Data'!E943&lt;=1.5,IF('1 Data'!F943&lt;=1.5,IF('1 Data'!G943&lt;=0.0003,1,2),IF('1 Data'!C943&lt;=165000,3,4)),IF('1 Data'!G943&lt;=0.0652,5,IF('1 Data'!G943&lt;=0.716,6,7)))</f>
        <v/>
      </c>
      <c r="D954" s="23">
        <f>INDEX($F$12:$F$18,C954)</f>
        <v/>
      </c>
      <c r="E954" s="27">
        <f>'1 Data'!I943</f>
        <v/>
      </c>
      <c r="F954" s="30">
        <f>COUNTIF($D$23:$D$1022,"&lt;"&amp;D954)+(COUNTIF($D$23:$D$1022,"="&amp;D954)+1)/2</f>
        <v/>
      </c>
    </row>
    <row r="955">
      <c r="B955" s="27">
        <f>'1 Data'!B944</f>
        <v/>
      </c>
      <c r="C955" s="29">
        <f>IF('1 Data'!E944&lt;=1.5,IF('1 Data'!F944&lt;=1.5,IF('1 Data'!G944&lt;=0.0003,1,2),IF('1 Data'!C944&lt;=165000,3,4)),IF('1 Data'!G944&lt;=0.0652,5,IF('1 Data'!G944&lt;=0.716,6,7)))</f>
        <v/>
      </c>
      <c r="D955" s="23">
        <f>INDEX($F$12:$F$18,C955)</f>
        <v/>
      </c>
      <c r="E955" s="27">
        <f>'1 Data'!I944</f>
        <v/>
      </c>
      <c r="F955" s="30">
        <f>COUNTIF($D$23:$D$1022,"&lt;"&amp;D955)+(COUNTIF($D$23:$D$1022,"="&amp;D955)+1)/2</f>
        <v/>
      </c>
    </row>
    <row r="956">
      <c r="B956" s="27">
        <f>'1 Data'!B945</f>
        <v/>
      </c>
      <c r="C956" s="29">
        <f>IF('1 Data'!E945&lt;=1.5,IF('1 Data'!F945&lt;=1.5,IF('1 Data'!G945&lt;=0.0003,1,2),IF('1 Data'!C945&lt;=165000,3,4)),IF('1 Data'!G945&lt;=0.0652,5,IF('1 Data'!G945&lt;=0.716,6,7)))</f>
        <v/>
      </c>
      <c r="D956" s="23">
        <f>INDEX($F$12:$F$18,C956)</f>
        <v/>
      </c>
      <c r="E956" s="27">
        <f>'1 Data'!I945</f>
        <v/>
      </c>
      <c r="F956" s="30">
        <f>COUNTIF($D$23:$D$1022,"&lt;"&amp;D956)+(COUNTIF($D$23:$D$1022,"="&amp;D956)+1)/2</f>
        <v/>
      </c>
    </row>
    <row r="957">
      <c r="B957" s="27">
        <f>'1 Data'!B946</f>
        <v/>
      </c>
      <c r="C957" s="29">
        <f>IF('1 Data'!E946&lt;=1.5,IF('1 Data'!F946&lt;=1.5,IF('1 Data'!G946&lt;=0.0003,1,2),IF('1 Data'!C946&lt;=165000,3,4)),IF('1 Data'!G946&lt;=0.0652,5,IF('1 Data'!G946&lt;=0.716,6,7)))</f>
        <v/>
      </c>
      <c r="D957" s="23">
        <f>INDEX($F$12:$F$18,C957)</f>
        <v/>
      </c>
      <c r="E957" s="27">
        <f>'1 Data'!I946</f>
        <v/>
      </c>
      <c r="F957" s="30">
        <f>COUNTIF($D$23:$D$1022,"&lt;"&amp;D957)+(COUNTIF($D$23:$D$1022,"="&amp;D957)+1)/2</f>
        <v/>
      </c>
    </row>
    <row r="958">
      <c r="B958" s="27">
        <f>'1 Data'!B947</f>
        <v/>
      </c>
      <c r="C958" s="29">
        <f>IF('1 Data'!E947&lt;=1.5,IF('1 Data'!F947&lt;=1.5,IF('1 Data'!G947&lt;=0.0003,1,2),IF('1 Data'!C947&lt;=165000,3,4)),IF('1 Data'!G947&lt;=0.0652,5,IF('1 Data'!G947&lt;=0.716,6,7)))</f>
        <v/>
      </c>
      <c r="D958" s="23">
        <f>INDEX($F$12:$F$18,C958)</f>
        <v/>
      </c>
      <c r="E958" s="27">
        <f>'1 Data'!I947</f>
        <v/>
      </c>
      <c r="F958" s="30">
        <f>COUNTIF($D$23:$D$1022,"&lt;"&amp;D958)+(COUNTIF($D$23:$D$1022,"="&amp;D958)+1)/2</f>
        <v/>
      </c>
    </row>
    <row r="959">
      <c r="B959" s="27">
        <f>'1 Data'!B948</f>
        <v/>
      </c>
      <c r="C959" s="29">
        <f>IF('1 Data'!E948&lt;=1.5,IF('1 Data'!F948&lt;=1.5,IF('1 Data'!G948&lt;=0.0003,1,2),IF('1 Data'!C948&lt;=165000,3,4)),IF('1 Data'!G948&lt;=0.0652,5,IF('1 Data'!G948&lt;=0.716,6,7)))</f>
        <v/>
      </c>
      <c r="D959" s="23">
        <f>INDEX($F$12:$F$18,C959)</f>
        <v/>
      </c>
      <c r="E959" s="27">
        <f>'1 Data'!I948</f>
        <v/>
      </c>
      <c r="F959" s="30">
        <f>COUNTIF($D$23:$D$1022,"&lt;"&amp;D959)+(COUNTIF($D$23:$D$1022,"="&amp;D959)+1)/2</f>
        <v/>
      </c>
    </row>
    <row r="960">
      <c r="B960" s="27">
        <f>'1 Data'!B949</f>
        <v/>
      </c>
      <c r="C960" s="29">
        <f>IF('1 Data'!E949&lt;=1.5,IF('1 Data'!F949&lt;=1.5,IF('1 Data'!G949&lt;=0.0003,1,2),IF('1 Data'!C949&lt;=165000,3,4)),IF('1 Data'!G949&lt;=0.0652,5,IF('1 Data'!G949&lt;=0.716,6,7)))</f>
        <v/>
      </c>
      <c r="D960" s="23">
        <f>INDEX($F$12:$F$18,C960)</f>
        <v/>
      </c>
      <c r="E960" s="27">
        <f>'1 Data'!I949</f>
        <v/>
      </c>
      <c r="F960" s="30">
        <f>COUNTIF($D$23:$D$1022,"&lt;"&amp;D960)+(COUNTIF($D$23:$D$1022,"="&amp;D960)+1)/2</f>
        <v/>
      </c>
    </row>
    <row r="961">
      <c r="B961" s="27">
        <f>'1 Data'!B950</f>
        <v/>
      </c>
      <c r="C961" s="29">
        <f>IF('1 Data'!E950&lt;=1.5,IF('1 Data'!F950&lt;=1.5,IF('1 Data'!G950&lt;=0.0003,1,2),IF('1 Data'!C950&lt;=165000,3,4)),IF('1 Data'!G950&lt;=0.0652,5,IF('1 Data'!G950&lt;=0.716,6,7)))</f>
        <v/>
      </c>
      <c r="D961" s="23">
        <f>INDEX($F$12:$F$18,C961)</f>
        <v/>
      </c>
      <c r="E961" s="27">
        <f>'1 Data'!I950</f>
        <v/>
      </c>
      <c r="F961" s="30">
        <f>COUNTIF($D$23:$D$1022,"&lt;"&amp;D961)+(COUNTIF($D$23:$D$1022,"="&amp;D961)+1)/2</f>
        <v/>
      </c>
    </row>
    <row r="962">
      <c r="B962" s="27">
        <f>'1 Data'!B951</f>
        <v/>
      </c>
      <c r="C962" s="29">
        <f>IF('1 Data'!E951&lt;=1.5,IF('1 Data'!F951&lt;=1.5,IF('1 Data'!G951&lt;=0.0003,1,2),IF('1 Data'!C951&lt;=165000,3,4)),IF('1 Data'!G951&lt;=0.0652,5,IF('1 Data'!G951&lt;=0.716,6,7)))</f>
        <v/>
      </c>
      <c r="D962" s="23">
        <f>INDEX($F$12:$F$18,C962)</f>
        <v/>
      </c>
      <c r="E962" s="27">
        <f>'1 Data'!I951</f>
        <v/>
      </c>
      <c r="F962" s="30">
        <f>COUNTIF($D$23:$D$1022,"&lt;"&amp;D962)+(COUNTIF($D$23:$D$1022,"="&amp;D962)+1)/2</f>
        <v/>
      </c>
    </row>
    <row r="963">
      <c r="B963" s="27">
        <f>'1 Data'!B952</f>
        <v/>
      </c>
      <c r="C963" s="29">
        <f>IF('1 Data'!E952&lt;=1.5,IF('1 Data'!F952&lt;=1.5,IF('1 Data'!G952&lt;=0.0003,1,2),IF('1 Data'!C952&lt;=165000,3,4)),IF('1 Data'!G952&lt;=0.0652,5,IF('1 Data'!G952&lt;=0.716,6,7)))</f>
        <v/>
      </c>
      <c r="D963" s="23">
        <f>INDEX($F$12:$F$18,C963)</f>
        <v/>
      </c>
      <c r="E963" s="27">
        <f>'1 Data'!I952</f>
        <v/>
      </c>
      <c r="F963" s="30">
        <f>COUNTIF($D$23:$D$1022,"&lt;"&amp;D963)+(COUNTIF($D$23:$D$1022,"="&amp;D963)+1)/2</f>
        <v/>
      </c>
    </row>
    <row r="964">
      <c r="B964" s="27">
        <f>'1 Data'!B953</f>
        <v/>
      </c>
      <c r="C964" s="29">
        <f>IF('1 Data'!E953&lt;=1.5,IF('1 Data'!F953&lt;=1.5,IF('1 Data'!G953&lt;=0.0003,1,2),IF('1 Data'!C953&lt;=165000,3,4)),IF('1 Data'!G953&lt;=0.0652,5,IF('1 Data'!G953&lt;=0.716,6,7)))</f>
        <v/>
      </c>
      <c r="D964" s="23">
        <f>INDEX($F$12:$F$18,C964)</f>
        <v/>
      </c>
      <c r="E964" s="27">
        <f>'1 Data'!I953</f>
        <v/>
      </c>
      <c r="F964" s="30">
        <f>COUNTIF($D$23:$D$1022,"&lt;"&amp;D964)+(COUNTIF($D$23:$D$1022,"="&amp;D964)+1)/2</f>
        <v/>
      </c>
    </row>
    <row r="965">
      <c r="B965" s="27">
        <f>'1 Data'!B954</f>
        <v/>
      </c>
      <c r="C965" s="29">
        <f>IF('1 Data'!E954&lt;=1.5,IF('1 Data'!F954&lt;=1.5,IF('1 Data'!G954&lt;=0.0003,1,2),IF('1 Data'!C954&lt;=165000,3,4)),IF('1 Data'!G954&lt;=0.0652,5,IF('1 Data'!G954&lt;=0.716,6,7)))</f>
        <v/>
      </c>
      <c r="D965" s="23">
        <f>INDEX($F$12:$F$18,C965)</f>
        <v/>
      </c>
      <c r="E965" s="27">
        <f>'1 Data'!I954</f>
        <v/>
      </c>
      <c r="F965" s="30">
        <f>COUNTIF($D$23:$D$1022,"&lt;"&amp;D965)+(COUNTIF($D$23:$D$1022,"="&amp;D965)+1)/2</f>
        <v/>
      </c>
    </row>
    <row r="966">
      <c r="B966" s="27">
        <f>'1 Data'!B955</f>
        <v/>
      </c>
      <c r="C966" s="29">
        <f>IF('1 Data'!E955&lt;=1.5,IF('1 Data'!F955&lt;=1.5,IF('1 Data'!G955&lt;=0.0003,1,2),IF('1 Data'!C955&lt;=165000,3,4)),IF('1 Data'!G955&lt;=0.0652,5,IF('1 Data'!G955&lt;=0.716,6,7)))</f>
        <v/>
      </c>
      <c r="D966" s="23">
        <f>INDEX($F$12:$F$18,C966)</f>
        <v/>
      </c>
      <c r="E966" s="27">
        <f>'1 Data'!I955</f>
        <v/>
      </c>
      <c r="F966" s="30">
        <f>COUNTIF($D$23:$D$1022,"&lt;"&amp;D966)+(COUNTIF($D$23:$D$1022,"="&amp;D966)+1)/2</f>
        <v/>
      </c>
    </row>
    <row r="967">
      <c r="B967" s="27">
        <f>'1 Data'!B956</f>
        <v/>
      </c>
      <c r="C967" s="29">
        <f>IF('1 Data'!E956&lt;=1.5,IF('1 Data'!F956&lt;=1.5,IF('1 Data'!G956&lt;=0.0003,1,2),IF('1 Data'!C956&lt;=165000,3,4)),IF('1 Data'!G956&lt;=0.0652,5,IF('1 Data'!G956&lt;=0.716,6,7)))</f>
        <v/>
      </c>
      <c r="D967" s="23">
        <f>INDEX($F$12:$F$18,C967)</f>
        <v/>
      </c>
      <c r="E967" s="27">
        <f>'1 Data'!I956</f>
        <v/>
      </c>
      <c r="F967" s="30">
        <f>COUNTIF($D$23:$D$1022,"&lt;"&amp;D967)+(COUNTIF($D$23:$D$1022,"="&amp;D967)+1)/2</f>
        <v/>
      </c>
    </row>
    <row r="968">
      <c r="B968" s="27">
        <f>'1 Data'!B957</f>
        <v/>
      </c>
      <c r="C968" s="29">
        <f>IF('1 Data'!E957&lt;=1.5,IF('1 Data'!F957&lt;=1.5,IF('1 Data'!G957&lt;=0.0003,1,2),IF('1 Data'!C957&lt;=165000,3,4)),IF('1 Data'!G957&lt;=0.0652,5,IF('1 Data'!G957&lt;=0.716,6,7)))</f>
        <v/>
      </c>
      <c r="D968" s="23">
        <f>INDEX($F$12:$F$18,C968)</f>
        <v/>
      </c>
      <c r="E968" s="27">
        <f>'1 Data'!I957</f>
        <v/>
      </c>
      <c r="F968" s="30">
        <f>COUNTIF($D$23:$D$1022,"&lt;"&amp;D968)+(COUNTIF($D$23:$D$1022,"="&amp;D968)+1)/2</f>
        <v/>
      </c>
    </row>
    <row r="969">
      <c r="B969" s="27">
        <f>'1 Data'!B958</f>
        <v/>
      </c>
      <c r="C969" s="29">
        <f>IF('1 Data'!E958&lt;=1.5,IF('1 Data'!F958&lt;=1.5,IF('1 Data'!G958&lt;=0.0003,1,2),IF('1 Data'!C958&lt;=165000,3,4)),IF('1 Data'!G958&lt;=0.0652,5,IF('1 Data'!G958&lt;=0.716,6,7)))</f>
        <v/>
      </c>
      <c r="D969" s="23">
        <f>INDEX($F$12:$F$18,C969)</f>
        <v/>
      </c>
      <c r="E969" s="27">
        <f>'1 Data'!I958</f>
        <v/>
      </c>
      <c r="F969" s="30">
        <f>COUNTIF($D$23:$D$1022,"&lt;"&amp;D969)+(COUNTIF($D$23:$D$1022,"="&amp;D969)+1)/2</f>
        <v/>
      </c>
    </row>
    <row r="970">
      <c r="B970" s="27">
        <f>'1 Data'!B959</f>
        <v/>
      </c>
      <c r="C970" s="29">
        <f>IF('1 Data'!E959&lt;=1.5,IF('1 Data'!F959&lt;=1.5,IF('1 Data'!G959&lt;=0.0003,1,2),IF('1 Data'!C959&lt;=165000,3,4)),IF('1 Data'!G959&lt;=0.0652,5,IF('1 Data'!G959&lt;=0.716,6,7)))</f>
        <v/>
      </c>
      <c r="D970" s="23">
        <f>INDEX($F$12:$F$18,C970)</f>
        <v/>
      </c>
      <c r="E970" s="27">
        <f>'1 Data'!I959</f>
        <v/>
      </c>
      <c r="F970" s="30">
        <f>COUNTIF($D$23:$D$1022,"&lt;"&amp;D970)+(COUNTIF($D$23:$D$1022,"="&amp;D970)+1)/2</f>
        <v/>
      </c>
    </row>
    <row r="971">
      <c r="B971" s="27">
        <f>'1 Data'!B960</f>
        <v/>
      </c>
      <c r="C971" s="29">
        <f>IF('1 Data'!E960&lt;=1.5,IF('1 Data'!F960&lt;=1.5,IF('1 Data'!G960&lt;=0.0003,1,2),IF('1 Data'!C960&lt;=165000,3,4)),IF('1 Data'!G960&lt;=0.0652,5,IF('1 Data'!G960&lt;=0.716,6,7)))</f>
        <v/>
      </c>
      <c r="D971" s="23">
        <f>INDEX($F$12:$F$18,C971)</f>
        <v/>
      </c>
      <c r="E971" s="27">
        <f>'1 Data'!I960</f>
        <v/>
      </c>
      <c r="F971" s="30">
        <f>COUNTIF($D$23:$D$1022,"&lt;"&amp;D971)+(COUNTIF($D$23:$D$1022,"="&amp;D971)+1)/2</f>
        <v/>
      </c>
    </row>
    <row r="972">
      <c r="B972" s="27">
        <f>'1 Data'!B961</f>
        <v/>
      </c>
      <c r="C972" s="29">
        <f>IF('1 Data'!E961&lt;=1.5,IF('1 Data'!F961&lt;=1.5,IF('1 Data'!G961&lt;=0.0003,1,2),IF('1 Data'!C961&lt;=165000,3,4)),IF('1 Data'!G961&lt;=0.0652,5,IF('1 Data'!G961&lt;=0.716,6,7)))</f>
        <v/>
      </c>
      <c r="D972" s="23">
        <f>INDEX($F$12:$F$18,C972)</f>
        <v/>
      </c>
      <c r="E972" s="27">
        <f>'1 Data'!I961</f>
        <v/>
      </c>
      <c r="F972" s="30">
        <f>COUNTIF($D$23:$D$1022,"&lt;"&amp;D972)+(COUNTIF($D$23:$D$1022,"="&amp;D972)+1)/2</f>
        <v/>
      </c>
    </row>
    <row r="973">
      <c r="B973" s="27">
        <f>'1 Data'!B962</f>
        <v/>
      </c>
      <c r="C973" s="29">
        <f>IF('1 Data'!E962&lt;=1.5,IF('1 Data'!F962&lt;=1.5,IF('1 Data'!G962&lt;=0.0003,1,2),IF('1 Data'!C962&lt;=165000,3,4)),IF('1 Data'!G962&lt;=0.0652,5,IF('1 Data'!G962&lt;=0.716,6,7)))</f>
        <v/>
      </c>
      <c r="D973" s="23">
        <f>INDEX($F$12:$F$18,C973)</f>
        <v/>
      </c>
      <c r="E973" s="27">
        <f>'1 Data'!I962</f>
        <v/>
      </c>
      <c r="F973" s="30">
        <f>COUNTIF($D$23:$D$1022,"&lt;"&amp;D973)+(COUNTIF($D$23:$D$1022,"="&amp;D973)+1)/2</f>
        <v/>
      </c>
    </row>
    <row r="974">
      <c r="B974" s="27">
        <f>'1 Data'!B963</f>
        <v/>
      </c>
      <c r="C974" s="29">
        <f>IF('1 Data'!E963&lt;=1.5,IF('1 Data'!F963&lt;=1.5,IF('1 Data'!G963&lt;=0.0003,1,2),IF('1 Data'!C963&lt;=165000,3,4)),IF('1 Data'!G963&lt;=0.0652,5,IF('1 Data'!G963&lt;=0.716,6,7)))</f>
        <v/>
      </c>
      <c r="D974" s="23">
        <f>INDEX($F$12:$F$18,C974)</f>
        <v/>
      </c>
      <c r="E974" s="27">
        <f>'1 Data'!I963</f>
        <v/>
      </c>
      <c r="F974" s="30">
        <f>COUNTIF($D$23:$D$1022,"&lt;"&amp;D974)+(COUNTIF($D$23:$D$1022,"="&amp;D974)+1)/2</f>
        <v/>
      </c>
    </row>
    <row r="975">
      <c r="B975" s="27">
        <f>'1 Data'!B964</f>
        <v/>
      </c>
      <c r="C975" s="29">
        <f>IF('1 Data'!E964&lt;=1.5,IF('1 Data'!F964&lt;=1.5,IF('1 Data'!G964&lt;=0.0003,1,2),IF('1 Data'!C964&lt;=165000,3,4)),IF('1 Data'!G964&lt;=0.0652,5,IF('1 Data'!G964&lt;=0.716,6,7)))</f>
        <v/>
      </c>
      <c r="D975" s="23">
        <f>INDEX($F$12:$F$18,C975)</f>
        <v/>
      </c>
      <c r="E975" s="27">
        <f>'1 Data'!I964</f>
        <v/>
      </c>
      <c r="F975" s="30">
        <f>COUNTIF($D$23:$D$1022,"&lt;"&amp;D975)+(COUNTIF($D$23:$D$1022,"="&amp;D975)+1)/2</f>
        <v/>
      </c>
    </row>
    <row r="976">
      <c r="B976" s="27">
        <f>'1 Data'!B965</f>
        <v/>
      </c>
      <c r="C976" s="29">
        <f>IF('1 Data'!E965&lt;=1.5,IF('1 Data'!F965&lt;=1.5,IF('1 Data'!G965&lt;=0.0003,1,2),IF('1 Data'!C965&lt;=165000,3,4)),IF('1 Data'!G965&lt;=0.0652,5,IF('1 Data'!G965&lt;=0.716,6,7)))</f>
        <v/>
      </c>
      <c r="D976" s="23">
        <f>INDEX($F$12:$F$18,C976)</f>
        <v/>
      </c>
      <c r="E976" s="27">
        <f>'1 Data'!I965</f>
        <v/>
      </c>
      <c r="F976" s="30">
        <f>COUNTIF($D$23:$D$1022,"&lt;"&amp;D976)+(COUNTIF($D$23:$D$1022,"="&amp;D976)+1)/2</f>
        <v/>
      </c>
    </row>
    <row r="977">
      <c r="B977" s="27">
        <f>'1 Data'!B966</f>
        <v/>
      </c>
      <c r="C977" s="29">
        <f>IF('1 Data'!E966&lt;=1.5,IF('1 Data'!F966&lt;=1.5,IF('1 Data'!G966&lt;=0.0003,1,2),IF('1 Data'!C966&lt;=165000,3,4)),IF('1 Data'!G966&lt;=0.0652,5,IF('1 Data'!G966&lt;=0.716,6,7)))</f>
        <v/>
      </c>
      <c r="D977" s="23">
        <f>INDEX($F$12:$F$18,C977)</f>
        <v/>
      </c>
      <c r="E977" s="27">
        <f>'1 Data'!I966</f>
        <v/>
      </c>
      <c r="F977" s="30">
        <f>COUNTIF($D$23:$D$1022,"&lt;"&amp;D977)+(COUNTIF($D$23:$D$1022,"="&amp;D977)+1)/2</f>
        <v/>
      </c>
    </row>
    <row r="978">
      <c r="B978" s="27">
        <f>'1 Data'!B967</f>
        <v/>
      </c>
      <c r="C978" s="29">
        <f>IF('1 Data'!E967&lt;=1.5,IF('1 Data'!F967&lt;=1.5,IF('1 Data'!G967&lt;=0.0003,1,2),IF('1 Data'!C967&lt;=165000,3,4)),IF('1 Data'!G967&lt;=0.0652,5,IF('1 Data'!G967&lt;=0.716,6,7)))</f>
        <v/>
      </c>
      <c r="D978" s="23">
        <f>INDEX($F$12:$F$18,C978)</f>
        <v/>
      </c>
      <c r="E978" s="27">
        <f>'1 Data'!I967</f>
        <v/>
      </c>
      <c r="F978" s="30">
        <f>COUNTIF($D$23:$D$1022,"&lt;"&amp;D978)+(COUNTIF($D$23:$D$1022,"="&amp;D978)+1)/2</f>
        <v/>
      </c>
    </row>
    <row r="979">
      <c r="B979" s="27">
        <f>'1 Data'!B968</f>
        <v/>
      </c>
      <c r="C979" s="29">
        <f>IF('1 Data'!E968&lt;=1.5,IF('1 Data'!F968&lt;=1.5,IF('1 Data'!G968&lt;=0.0003,1,2),IF('1 Data'!C968&lt;=165000,3,4)),IF('1 Data'!G968&lt;=0.0652,5,IF('1 Data'!G968&lt;=0.716,6,7)))</f>
        <v/>
      </c>
      <c r="D979" s="23">
        <f>INDEX($F$12:$F$18,C979)</f>
        <v/>
      </c>
      <c r="E979" s="27">
        <f>'1 Data'!I968</f>
        <v/>
      </c>
      <c r="F979" s="30">
        <f>COUNTIF($D$23:$D$1022,"&lt;"&amp;D979)+(COUNTIF($D$23:$D$1022,"="&amp;D979)+1)/2</f>
        <v/>
      </c>
    </row>
    <row r="980">
      <c r="B980" s="27">
        <f>'1 Data'!B969</f>
        <v/>
      </c>
      <c r="C980" s="29">
        <f>IF('1 Data'!E969&lt;=1.5,IF('1 Data'!F969&lt;=1.5,IF('1 Data'!G969&lt;=0.0003,1,2),IF('1 Data'!C969&lt;=165000,3,4)),IF('1 Data'!G969&lt;=0.0652,5,IF('1 Data'!G969&lt;=0.716,6,7)))</f>
        <v/>
      </c>
      <c r="D980" s="23">
        <f>INDEX($F$12:$F$18,C980)</f>
        <v/>
      </c>
      <c r="E980" s="27">
        <f>'1 Data'!I969</f>
        <v/>
      </c>
      <c r="F980" s="30">
        <f>COUNTIF($D$23:$D$1022,"&lt;"&amp;D980)+(COUNTIF($D$23:$D$1022,"="&amp;D980)+1)/2</f>
        <v/>
      </c>
    </row>
    <row r="981">
      <c r="B981" s="27">
        <f>'1 Data'!B970</f>
        <v/>
      </c>
      <c r="C981" s="29">
        <f>IF('1 Data'!E970&lt;=1.5,IF('1 Data'!F970&lt;=1.5,IF('1 Data'!G970&lt;=0.0003,1,2),IF('1 Data'!C970&lt;=165000,3,4)),IF('1 Data'!G970&lt;=0.0652,5,IF('1 Data'!G970&lt;=0.716,6,7)))</f>
        <v/>
      </c>
      <c r="D981" s="23">
        <f>INDEX($F$12:$F$18,C981)</f>
        <v/>
      </c>
      <c r="E981" s="27">
        <f>'1 Data'!I970</f>
        <v/>
      </c>
      <c r="F981" s="30">
        <f>COUNTIF($D$23:$D$1022,"&lt;"&amp;D981)+(COUNTIF($D$23:$D$1022,"="&amp;D981)+1)/2</f>
        <v/>
      </c>
    </row>
    <row r="982">
      <c r="B982" s="27">
        <f>'1 Data'!B971</f>
        <v/>
      </c>
      <c r="C982" s="29">
        <f>IF('1 Data'!E971&lt;=1.5,IF('1 Data'!F971&lt;=1.5,IF('1 Data'!G971&lt;=0.0003,1,2),IF('1 Data'!C971&lt;=165000,3,4)),IF('1 Data'!G971&lt;=0.0652,5,IF('1 Data'!G971&lt;=0.716,6,7)))</f>
        <v/>
      </c>
      <c r="D982" s="23">
        <f>INDEX($F$12:$F$18,C982)</f>
        <v/>
      </c>
      <c r="E982" s="27">
        <f>'1 Data'!I971</f>
        <v/>
      </c>
      <c r="F982" s="30">
        <f>COUNTIF($D$23:$D$1022,"&lt;"&amp;D982)+(COUNTIF($D$23:$D$1022,"="&amp;D982)+1)/2</f>
        <v/>
      </c>
    </row>
    <row r="983">
      <c r="B983" s="27">
        <f>'1 Data'!B972</f>
        <v/>
      </c>
      <c r="C983" s="29">
        <f>IF('1 Data'!E972&lt;=1.5,IF('1 Data'!F972&lt;=1.5,IF('1 Data'!G972&lt;=0.0003,1,2),IF('1 Data'!C972&lt;=165000,3,4)),IF('1 Data'!G972&lt;=0.0652,5,IF('1 Data'!G972&lt;=0.716,6,7)))</f>
        <v/>
      </c>
      <c r="D983" s="23">
        <f>INDEX($F$12:$F$18,C983)</f>
        <v/>
      </c>
      <c r="E983" s="27">
        <f>'1 Data'!I972</f>
        <v/>
      </c>
      <c r="F983" s="30">
        <f>COUNTIF($D$23:$D$1022,"&lt;"&amp;D983)+(COUNTIF($D$23:$D$1022,"="&amp;D983)+1)/2</f>
        <v/>
      </c>
    </row>
    <row r="984">
      <c r="B984" s="27">
        <f>'1 Data'!B973</f>
        <v/>
      </c>
      <c r="C984" s="29">
        <f>IF('1 Data'!E973&lt;=1.5,IF('1 Data'!F973&lt;=1.5,IF('1 Data'!G973&lt;=0.0003,1,2),IF('1 Data'!C973&lt;=165000,3,4)),IF('1 Data'!G973&lt;=0.0652,5,IF('1 Data'!G973&lt;=0.716,6,7)))</f>
        <v/>
      </c>
      <c r="D984" s="23">
        <f>INDEX($F$12:$F$18,C984)</f>
        <v/>
      </c>
      <c r="E984" s="27">
        <f>'1 Data'!I973</f>
        <v/>
      </c>
      <c r="F984" s="30">
        <f>COUNTIF($D$23:$D$1022,"&lt;"&amp;D984)+(COUNTIF($D$23:$D$1022,"="&amp;D984)+1)/2</f>
        <v/>
      </c>
    </row>
    <row r="985">
      <c r="B985" s="27">
        <f>'1 Data'!B974</f>
        <v/>
      </c>
      <c r="C985" s="29">
        <f>IF('1 Data'!E974&lt;=1.5,IF('1 Data'!F974&lt;=1.5,IF('1 Data'!G974&lt;=0.0003,1,2),IF('1 Data'!C974&lt;=165000,3,4)),IF('1 Data'!G974&lt;=0.0652,5,IF('1 Data'!G974&lt;=0.716,6,7)))</f>
        <v/>
      </c>
      <c r="D985" s="23">
        <f>INDEX($F$12:$F$18,C985)</f>
        <v/>
      </c>
      <c r="E985" s="27">
        <f>'1 Data'!I974</f>
        <v/>
      </c>
      <c r="F985" s="30">
        <f>COUNTIF($D$23:$D$1022,"&lt;"&amp;D985)+(COUNTIF($D$23:$D$1022,"="&amp;D985)+1)/2</f>
        <v/>
      </c>
    </row>
    <row r="986">
      <c r="B986" s="27">
        <f>'1 Data'!B975</f>
        <v/>
      </c>
      <c r="C986" s="29">
        <f>IF('1 Data'!E975&lt;=1.5,IF('1 Data'!F975&lt;=1.5,IF('1 Data'!G975&lt;=0.0003,1,2),IF('1 Data'!C975&lt;=165000,3,4)),IF('1 Data'!G975&lt;=0.0652,5,IF('1 Data'!G975&lt;=0.716,6,7)))</f>
        <v/>
      </c>
      <c r="D986" s="23">
        <f>INDEX($F$12:$F$18,C986)</f>
        <v/>
      </c>
      <c r="E986" s="27">
        <f>'1 Data'!I975</f>
        <v/>
      </c>
      <c r="F986" s="30">
        <f>COUNTIF($D$23:$D$1022,"&lt;"&amp;D986)+(COUNTIF($D$23:$D$1022,"="&amp;D986)+1)/2</f>
        <v/>
      </c>
    </row>
    <row r="987">
      <c r="B987" s="27">
        <f>'1 Data'!B976</f>
        <v/>
      </c>
      <c r="C987" s="29">
        <f>IF('1 Data'!E976&lt;=1.5,IF('1 Data'!F976&lt;=1.5,IF('1 Data'!G976&lt;=0.0003,1,2),IF('1 Data'!C976&lt;=165000,3,4)),IF('1 Data'!G976&lt;=0.0652,5,IF('1 Data'!G976&lt;=0.716,6,7)))</f>
        <v/>
      </c>
      <c r="D987" s="23">
        <f>INDEX($F$12:$F$18,C987)</f>
        <v/>
      </c>
      <c r="E987" s="27">
        <f>'1 Data'!I976</f>
        <v/>
      </c>
      <c r="F987" s="30">
        <f>COUNTIF($D$23:$D$1022,"&lt;"&amp;D987)+(COUNTIF($D$23:$D$1022,"="&amp;D987)+1)/2</f>
        <v/>
      </c>
    </row>
    <row r="988">
      <c r="B988" s="27">
        <f>'1 Data'!B977</f>
        <v/>
      </c>
      <c r="C988" s="29">
        <f>IF('1 Data'!E977&lt;=1.5,IF('1 Data'!F977&lt;=1.5,IF('1 Data'!G977&lt;=0.0003,1,2),IF('1 Data'!C977&lt;=165000,3,4)),IF('1 Data'!G977&lt;=0.0652,5,IF('1 Data'!G977&lt;=0.716,6,7)))</f>
        <v/>
      </c>
      <c r="D988" s="23">
        <f>INDEX($F$12:$F$18,C988)</f>
        <v/>
      </c>
      <c r="E988" s="27">
        <f>'1 Data'!I977</f>
        <v/>
      </c>
      <c r="F988" s="30">
        <f>COUNTIF($D$23:$D$1022,"&lt;"&amp;D988)+(COUNTIF($D$23:$D$1022,"="&amp;D988)+1)/2</f>
        <v/>
      </c>
    </row>
    <row r="989">
      <c r="B989" s="27">
        <f>'1 Data'!B978</f>
        <v/>
      </c>
      <c r="C989" s="29">
        <f>IF('1 Data'!E978&lt;=1.5,IF('1 Data'!F978&lt;=1.5,IF('1 Data'!G978&lt;=0.0003,1,2),IF('1 Data'!C978&lt;=165000,3,4)),IF('1 Data'!G978&lt;=0.0652,5,IF('1 Data'!G978&lt;=0.716,6,7)))</f>
        <v/>
      </c>
      <c r="D989" s="23">
        <f>INDEX($F$12:$F$18,C989)</f>
        <v/>
      </c>
      <c r="E989" s="27">
        <f>'1 Data'!I978</f>
        <v/>
      </c>
      <c r="F989" s="30">
        <f>COUNTIF($D$23:$D$1022,"&lt;"&amp;D989)+(COUNTIF($D$23:$D$1022,"="&amp;D989)+1)/2</f>
        <v/>
      </c>
    </row>
    <row r="990">
      <c r="B990" s="27">
        <f>'1 Data'!B979</f>
        <v/>
      </c>
      <c r="C990" s="29">
        <f>IF('1 Data'!E979&lt;=1.5,IF('1 Data'!F979&lt;=1.5,IF('1 Data'!G979&lt;=0.0003,1,2),IF('1 Data'!C979&lt;=165000,3,4)),IF('1 Data'!G979&lt;=0.0652,5,IF('1 Data'!G979&lt;=0.716,6,7)))</f>
        <v/>
      </c>
      <c r="D990" s="23">
        <f>INDEX($F$12:$F$18,C990)</f>
        <v/>
      </c>
      <c r="E990" s="27">
        <f>'1 Data'!I979</f>
        <v/>
      </c>
      <c r="F990" s="30">
        <f>COUNTIF($D$23:$D$1022,"&lt;"&amp;D990)+(COUNTIF($D$23:$D$1022,"="&amp;D990)+1)/2</f>
        <v/>
      </c>
    </row>
    <row r="991">
      <c r="B991" s="27">
        <f>'1 Data'!B980</f>
        <v/>
      </c>
      <c r="C991" s="29">
        <f>IF('1 Data'!E980&lt;=1.5,IF('1 Data'!F980&lt;=1.5,IF('1 Data'!G980&lt;=0.0003,1,2),IF('1 Data'!C980&lt;=165000,3,4)),IF('1 Data'!G980&lt;=0.0652,5,IF('1 Data'!G980&lt;=0.716,6,7)))</f>
        <v/>
      </c>
      <c r="D991" s="23">
        <f>INDEX($F$12:$F$18,C991)</f>
        <v/>
      </c>
      <c r="E991" s="27">
        <f>'1 Data'!I980</f>
        <v/>
      </c>
      <c r="F991" s="30">
        <f>COUNTIF($D$23:$D$1022,"&lt;"&amp;D991)+(COUNTIF($D$23:$D$1022,"="&amp;D991)+1)/2</f>
        <v/>
      </c>
    </row>
    <row r="992">
      <c r="B992" s="27">
        <f>'1 Data'!B981</f>
        <v/>
      </c>
      <c r="C992" s="29">
        <f>IF('1 Data'!E981&lt;=1.5,IF('1 Data'!F981&lt;=1.5,IF('1 Data'!G981&lt;=0.0003,1,2),IF('1 Data'!C981&lt;=165000,3,4)),IF('1 Data'!G981&lt;=0.0652,5,IF('1 Data'!G981&lt;=0.716,6,7)))</f>
        <v/>
      </c>
      <c r="D992" s="23">
        <f>INDEX($F$12:$F$18,C992)</f>
        <v/>
      </c>
      <c r="E992" s="27">
        <f>'1 Data'!I981</f>
        <v/>
      </c>
      <c r="F992" s="30">
        <f>COUNTIF($D$23:$D$1022,"&lt;"&amp;D992)+(COUNTIF($D$23:$D$1022,"="&amp;D992)+1)/2</f>
        <v/>
      </c>
    </row>
    <row r="993">
      <c r="B993" s="27">
        <f>'1 Data'!B982</f>
        <v/>
      </c>
      <c r="C993" s="29">
        <f>IF('1 Data'!E982&lt;=1.5,IF('1 Data'!F982&lt;=1.5,IF('1 Data'!G982&lt;=0.0003,1,2),IF('1 Data'!C982&lt;=165000,3,4)),IF('1 Data'!G982&lt;=0.0652,5,IF('1 Data'!G982&lt;=0.716,6,7)))</f>
        <v/>
      </c>
      <c r="D993" s="23">
        <f>INDEX($F$12:$F$18,C993)</f>
        <v/>
      </c>
      <c r="E993" s="27">
        <f>'1 Data'!I982</f>
        <v/>
      </c>
      <c r="F993" s="30">
        <f>COUNTIF($D$23:$D$1022,"&lt;"&amp;D993)+(COUNTIF($D$23:$D$1022,"="&amp;D993)+1)/2</f>
        <v/>
      </c>
    </row>
    <row r="994">
      <c r="B994" s="27">
        <f>'1 Data'!B983</f>
        <v/>
      </c>
      <c r="C994" s="29">
        <f>IF('1 Data'!E983&lt;=1.5,IF('1 Data'!F983&lt;=1.5,IF('1 Data'!G983&lt;=0.0003,1,2),IF('1 Data'!C983&lt;=165000,3,4)),IF('1 Data'!G983&lt;=0.0652,5,IF('1 Data'!G983&lt;=0.716,6,7)))</f>
        <v/>
      </c>
      <c r="D994" s="23">
        <f>INDEX($F$12:$F$18,C994)</f>
        <v/>
      </c>
      <c r="E994" s="27">
        <f>'1 Data'!I983</f>
        <v/>
      </c>
      <c r="F994" s="30">
        <f>COUNTIF($D$23:$D$1022,"&lt;"&amp;D994)+(COUNTIF($D$23:$D$1022,"="&amp;D994)+1)/2</f>
        <v/>
      </c>
    </row>
    <row r="995">
      <c r="B995" s="27">
        <f>'1 Data'!B984</f>
        <v/>
      </c>
      <c r="C995" s="29">
        <f>IF('1 Data'!E984&lt;=1.5,IF('1 Data'!F984&lt;=1.5,IF('1 Data'!G984&lt;=0.0003,1,2),IF('1 Data'!C984&lt;=165000,3,4)),IF('1 Data'!G984&lt;=0.0652,5,IF('1 Data'!G984&lt;=0.716,6,7)))</f>
        <v/>
      </c>
      <c r="D995" s="23">
        <f>INDEX($F$12:$F$18,C995)</f>
        <v/>
      </c>
      <c r="E995" s="27">
        <f>'1 Data'!I984</f>
        <v/>
      </c>
      <c r="F995" s="30">
        <f>COUNTIF($D$23:$D$1022,"&lt;"&amp;D995)+(COUNTIF($D$23:$D$1022,"="&amp;D995)+1)/2</f>
        <v/>
      </c>
    </row>
    <row r="996">
      <c r="B996" s="27">
        <f>'1 Data'!B985</f>
        <v/>
      </c>
      <c r="C996" s="29">
        <f>IF('1 Data'!E985&lt;=1.5,IF('1 Data'!F985&lt;=1.5,IF('1 Data'!G985&lt;=0.0003,1,2),IF('1 Data'!C985&lt;=165000,3,4)),IF('1 Data'!G985&lt;=0.0652,5,IF('1 Data'!G985&lt;=0.716,6,7)))</f>
        <v/>
      </c>
      <c r="D996" s="23">
        <f>INDEX($F$12:$F$18,C996)</f>
        <v/>
      </c>
      <c r="E996" s="27">
        <f>'1 Data'!I985</f>
        <v/>
      </c>
      <c r="F996" s="30">
        <f>COUNTIF($D$23:$D$1022,"&lt;"&amp;D996)+(COUNTIF($D$23:$D$1022,"="&amp;D996)+1)/2</f>
        <v/>
      </c>
    </row>
    <row r="997">
      <c r="B997" s="27">
        <f>'1 Data'!B986</f>
        <v/>
      </c>
      <c r="C997" s="29">
        <f>IF('1 Data'!E986&lt;=1.5,IF('1 Data'!F986&lt;=1.5,IF('1 Data'!G986&lt;=0.0003,1,2),IF('1 Data'!C986&lt;=165000,3,4)),IF('1 Data'!G986&lt;=0.0652,5,IF('1 Data'!G986&lt;=0.716,6,7)))</f>
        <v/>
      </c>
      <c r="D997" s="23">
        <f>INDEX($F$12:$F$18,C997)</f>
        <v/>
      </c>
      <c r="E997" s="27">
        <f>'1 Data'!I986</f>
        <v/>
      </c>
      <c r="F997" s="30">
        <f>COUNTIF($D$23:$D$1022,"&lt;"&amp;D997)+(COUNTIF($D$23:$D$1022,"="&amp;D997)+1)/2</f>
        <v/>
      </c>
    </row>
    <row r="998">
      <c r="B998" s="27">
        <f>'1 Data'!B987</f>
        <v/>
      </c>
      <c r="C998" s="29">
        <f>IF('1 Data'!E987&lt;=1.5,IF('1 Data'!F987&lt;=1.5,IF('1 Data'!G987&lt;=0.0003,1,2),IF('1 Data'!C987&lt;=165000,3,4)),IF('1 Data'!G987&lt;=0.0652,5,IF('1 Data'!G987&lt;=0.716,6,7)))</f>
        <v/>
      </c>
      <c r="D998" s="23">
        <f>INDEX($F$12:$F$18,C998)</f>
        <v/>
      </c>
      <c r="E998" s="27">
        <f>'1 Data'!I987</f>
        <v/>
      </c>
      <c r="F998" s="30">
        <f>COUNTIF($D$23:$D$1022,"&lt;"&amp;D998)+(COUNTIF($D$23:$D$1022,"="&amp;D998)+1)/2</f>
        <v/>
      </c>
    </row>
    <row r="999">
      <c r="B999" s="27">
        <f>'1 Data'!B988</f>
        <v/>
      </c>
      <c r="C999" s="29">
        <f>IF('1 Data'!E988&lt;=1.5,IF('1 Data'!F988&lt;=1.5,IF('1 Data'!G988&lt;=0.0003,1,2),IF('1 Data'!C988&lt;=165000,3,4)),IF('1 Data'!G988&lt;=0.0652,5,IF('1 Data'!G988&lt;=0.716,6,7)))</f>
        <v/>
      </c>
      <c r="D999" s="23">
        <f>INDEX($F$12:$F$18,C999)</f>
        <v/>
      </c>
      <c r="E999" s="27">
        <f>'1 Data'!I988</f>
        <v/>
      </c>
      <c r="F999" s="30">
        <f>COUNTIF($D$23:$D$1022,"&lt;"&amp;D999)+(COUNTIF($D$23:$D$1022,"="&amp;D999)+1)/2</f>
        <v/>
      </c>
    </row>
    <row r="1000">
      <c r="B1000" s="27">
        <f>'1 Data'!B989</f>
        <v/>
      </c>
      <c r="C1000" s="29">
        <f>IF('1 Data'!E989&lt;=1.5,IF('1 Data'!F989&lt;=1.5,IF('1 Data'!G989&lt;=0.0003,1,2),IF('1 Data'!C989&lt;=165000,3,4)),IF('1 Data'!G989&lt;=0.0652,5,IF('1 Data'!G989&lt;=0.716,6,7)))</f>
        <v/>
      </c>
      <c r="D1000" s="23">
        <f>INDEX($F$12:$F$18,C1000)</f>
        <v/>
      </c>
      <c r="E1000" s="27">
        <f>'1 Data'!I989</f>
        <v/>
      </c>
      <c r="F1000" s="30">
        <f>COUNTIF($D$23:$D$1022,"&lt;"&amp;D1000)+(COUNTIF($D$23:$D$1022,"="&amp;D1000)+1)/2</f>
        <v/>
      </c>
    </row>
    <row r="1001">
      <c r="B1001" s="27">
        <f>'1 Data'!B990</f>
        <v/>
      </c>
      <c r="C1001" s="29">
        <f>IF('1 Data'!E990&lt;=1.5,IF('1 Data'!F990&lt;=1.5,IF('1 Data'!G990&lt;=0.0003,1,2),IF('1 Data'!C990&lt;=165000,3,4)),IF('1 Data'!G990&lt;=0.0652,5,IF('1 Data'!G990&lt;=0.716,6,7)))</f>
        <v/>
      </c>
      <c r="D1001" s="23">
        <f>INDEX($F$12:$F$18,C1001)</f>
        <v/>
      </c>
      <c r="E1001" s="27">
        <f>'1 Data'!I990</f>
        <v/>
      </c>
      <c r="F1001" s="30">
        <f>COUNTIF($D$23:$D$1022,"&lt;"&amp;D1001)+(COUNTIF($D$23:$D$1022,"="&amp;D1001)+1)/2</f>
        <v/>
      </c>
    </row>
    <row r="1002">
      <c r="B1002" s="27">
        <f>'1 Data'!B991</f>
        <v/>
      </c>
      <c r="C1002" s="29">
        <f>IF('1 Data'!E991&lt;=1.5,IF('1 Data'!F991&lt;=1.5,IF('1 Data'!G991&lt;=0.0003,1,2),IF('1 Data'!C991&lt;=165000,3,4)),IF('1 Data'!G991&lt;=0.0652,5,IF('1 Data'!G991&lt;=0.716,6,7)))</f>
        <v/>
      </c>
      <c r="D1002" s="23">
        <f>INDEX($F$12:$F$18,C1002)</f>
        <v/>
      </c>
      <c r="E1002" s="27">
        <f>'1 Data'!I991</f>
        <v/>
      </c>
      <c r="F1002" s="30">
        <f>COUNTIF($D$23:$D$1022,"&lt;"&amp;D1002)+(COUNTIF($D$23:$D$1022,"="&amp;D1002)+1)/2</f>
        <v/>
      </c>
    </row>
    <row r="1003">
      <c r="B1003" s="27">
        <f>'1 Data'!B992</f>
        <v/>
      </c>
      <c r="C1003" s="29">
        <f>IF('1 Data'!E992&lt;=1.5,IF('1 Data'!F992&lt;=1.5,IF('1 Data'!G992&lt;=0.0003,1,2),IF('1 Data'!C992&lt;=165000,3,4)),IF('1 Data'!G992&lt;=0.0652,5,IF('1 Data'!G992&lt;=0.716,6,7)))</f>
        <v/>
      </c>
      <c r="D1003" s="23">
        <f>INDEX($F$12:$F$18,C1003)</f>
        <v/>
      </c>
      <c r="E1003" s="27">
        <f>'1 Data'!I992</f>
        <v/>
      </c>
      <c r="F1003" s="30">
        <f>COUNTIF($D$23:$D$1022,"&lt;"&amp;D1003)+(COUNTIF($D$23:$D$1022,"="&amp;D1003)+1)/2</f>
        <v/>
      </c>
    </row>
    <row r="1004">
      <c r="B1004" s="27">
        <f>'1 Data'!B993</f>
        <v/>
      </c>
      <c r="C1004" s="29">
        <f>IF('1 Data'!E993&lt;=1.5,IF('1 Data'!F993&lt;=1.5,IF('1 Data'!G993&lt;=0.0003,1,2),IF('1 Data'!C993&lt;=165000,3,4)),IF('1 Data'!G993&lt;=0.0652,5,IF('1 Data'!G993&lt;=0.716,6,7)))</f>
        <v/>
      </c>
      <c r="D1004" s="23">
        <f>INDEX($F$12:$F$18,C1004)</f>
        <v/>
      </c>
      <c r="E1004" s="27">
        <f>'1 Data'!I993</f>
        <v/>
      </c>
      <c r="F1004" s="30">
        <f>COUNTIF($D$23:$D$1022,"&lt;"&amp;D1004)+(COUNTIF($D$23:$D$1022,"="&amp;D1004)+1)/2</f>
        <v/>
      </c>
    </row>
    <row r="1005">
      <c r="B1005" s="27">
        <f>'1 Data'!B994</f>
        <v/>
      </c>
      <c r="C1005" s="29">
        <f>IF('1 Data'!E994&lt;=1.5,IF('1 Data'!F994&lt;=1.5,IF('1 Data'!G994&lt;=0.0003,1,2),IF('1 Data'!C994&lt;=165000,3,4)),IF('1 Data'!G994&lt;=0.0652,5,IF('1 Data'!G994&lt;=0.716,6,7)))</f>
        <v/>
      </c>
      <c r="D1005" s="23">
        <f>INDEX($F$12:$F$18,C1005)</f>
        <v/>
      </c>
      <c r="E1005" s="27">
        <f>'1 Data'!I994</f>
        <v/>
      </c>
      <c r="F1005" s="30">
        <f>COUNTIF($D$23:$D$1022,"&lt;"&amp;D1005)+(COUNTIF($D$23:$D$1022,"="&amp;D1005)+1)/2</f>
        <v/>
      </c>
    </row>
    <row r="1006">
      <c r="B1006" s="27">
        <f>'1 Data'!B995</f>
        <v/>
      </c>
      <c r="C1006" s="29">
        <f>IF('1 Data'!E995&lt;=1.5,IF('1 Data'!F995&lt;=1.5,IF('1 Data'!G995&lt;=0.0003,1,2),IF('1 Data'!C995&lt;=165000,3,4)),IF('1 Data'!G995&lt;=0.0652,5,IF('1 Data'!G995&lt;=0.716,6,7)))</f>
        <v/>
      </c>
      <c r="D1006" s="23">
        <f>INDEX($F$12:$F$18,C1006)</f>
        <v/>
      </c>
      <c r="E1006" s="27">
        <f>'1 Data'!I995</f>
        <v/>
      </c>
      <c r="F1006" s="30">
        <f>COUNTIF($D$23:$D$1022,"&lt;"&amp;D1006)+(COUNTIF($D$23:$D$1022,"="&amp;D1006)+1)/2</f>
        <v/>
      </c>
    </row>
    <row r="1007">
      <c r="B1007" s="27">
        <f>'1 Data'!B996</f>
        <v/>
      </c>
      <c r="C1007" s="29">
        <f>IF('1 Data'!E996&lt;=1.5,IF('1 Data'!F996&lt;=1.5,IF('1 Data'!G996&lt;=0.0003,1,2),IF('1 Data'!C996&lt;=165000,3,4)),IF('1 Data'!G996&lt;=0.0652,5,IF('1 Data'!G996&lt;=0.716,6,7)))</f>
        <v/>
      </c>
      <c r="D1007" s="23">
        <f>INDEX($F$12:$F$18,C1007)</f>
        <v/>
      </c>
      <c r="E1007" s="27">
        <f>'1 Data'!I996</f>
        <v/>
      </c>
      <c r="F1007" s="30">
        <f>COUNTIF($D$23:$D$1022,"&lt;"&amp;D1007)+(COUNTIF($D$23:$D$1022,"="&amp;D1007)+1)/2</f>
        <v/>
      </c>
    </row>
    <row r="1008">
      <c r="B1008" s="27">
        <f>'1 Data'!B997</f>
        <v/>
      </c>
      <c r="C1008" s="29">
        <f>IF('1 Data'!E997&lt;=1.5,IF('1 Data'!F997&lt;=1.5,IF('1 Data'!G997&lt;=0.0003,1,2),IF('1 Data'!C997&lt;=165000,3,4)),IF('1 Data'!G997&lt;=0.0652,5,IF('1 Data'!G997&lt;=0.716,6,7)))</f>
        <v/>
      </c>
      <c r="D1008" s="23">
        <f>INDEX($F$12:$F$18,C1008)</f>
        <v/>
      </c>
      <c r="E1008" s="27">
        <f>'1 Data'!I997</f>
        <v/>
      </c>
      <c r="F1008" s="30">
        <f>COUNTIF($D$23:$D$1022,"&lt;"&amp;D1008)+(COUNTIF($D$23:$D$1022,"="&amp;D1008)+1)/2</f>
        <v/>
      </c>
    </row>
    <row r="1009">
      <c r="B1009" s="27">
        <f>'1 Data'!B998</f>
        <v/>
      </c>
      <c r="C1009" s="29">
        <f>IF('1 Data'!E998&lt;=1.5,IF('1 Data'!F998&lt;=1.5,IF('1 Data'!G998&lt;=0.0003,1,2),IF('1 Data'!C998&lt;=165000,3,4)),IF('1 Data'!G998&lt;=0.0652,5,IF('1 Data'!G998&lt;=0.716,6,7)))</f>
        <v/>
      </c>
      <c r="D1009" s="23">
        <f>INDEX($F$12:$F$18,C1009)</f>
        <v/>
      </c>
      <c r="E1009" s="27">
        <f>'1 Data'!I998</f>
        <v/>
      </c>
      <c r="F1009" s="30">
        <f>COUNTIF($D$23:$D$1022,"&lt;"&amp;D1009)+(COUNTIF($D$23:$D$1022,"="&amp;D1009)+1)/2</f>
        <v/>
      </c>
    </row>
    <row r="1010">
      <c r="B1010" s="27">
        <f>'1 Data'!B999</f>
        <v/>
      </c>
      <c r="C1010" s="29">
        <f>IF('1 Data'!E999&lt;=1.5,IF('1 Data'!F999&lt;=1.5,IF('1 Data'!G999&lt;=0.0003,1,2),IF('1 Data'!C999&lt;=165000,3,4)),IF('1 Data'!G999&lt;=0.0652,5,IF('1 Data'!G999&lt;=0.716,6,7)))</f>
        <v/>
      </c>
      <c r="D1010" s="23">
        <f>INDEX($F$12:$F$18,C1010)</f>
        <v/>
      </c>
      <c r="E1010" s="27">
        <f>'1 Data'!I999</f>
        <v/>
      </c>
      <c r="F1010" s="30">
        <f>COUNTIF($D$23:$D$1022,"&lt;"&amp;D1010)+(COUNTIF($D$23:$D$1022,"="&amp;D1010)+1)/2</f>
        <v/>
      </c>
    </row>
    <row r="1011">
      <c r="B1011" s="27">
        <f>'1 Data'!B1000</f>
        <v/>
      </c>
      <c r="C1011" s="29">
        <f>IF('1 Data'!E1000&lt;=1.5,IF('1 Data'!F1000&lt;=1.5,IF('1 Data'!G1000&lt;=0.0003,1,2),IF('1 Data'!C1000&lt;=165000,3,4)),IF('1 Data'!G1000&lt;=0.0652,5,IF('1 Data'!G1000&lt;=0.716,6,7)))</f>
        <v/>
      </c>
      <c r="D1011" s="23">
        <f>INDEX($F$12:$F$18,C1011)</f>
        <v/>
      </c>
      <c r="E1011" s="27">
        <f>'1 Data'!I1000</f>
        <v/>
      </c>
      <c r="F1011" s="30">
        <f>COUNTIF($D$23:$D$1022,"&lt;"&amp;D1011)+(COUNTIF($D$23:$D$1022,"="&amp;D1011)+1)/2</f>
        <v/>
      </c>
    </row>
    <row r="1012">
      <c r="B1012" s="27">
        <f>'1 Data'!B1001</f>
        <v/>
      </c>
      <c r="C1012" s="29">
        <f>IF('1 Data'!E1001&lt;=1.5,IF('1 Data'!F1001&lt;=1.5,IF('1 Data'!G1001&lt;=0.0003,1,2),IF('1 Data'!C1001&lt;=165000,3,4)),IF('1 Data'!G1001&lt;=0.0652,5,IF('1 Data'!G1001&lt;=0.716,6,7)))</f>
        <v/>
      </c>
      <c r="D1012" s="23">
        <f>INDEX($F$12:$F$18,C1012)</f>
        <v/>
      </c>
      <c r="E1012" s="27">
        <f>'1 Data'!I1001</f>
        <v/>
      </c>
      <c r="F1012" s="30">
        <f>COUNTIF($D$23:$D$1022,"&lt;"&amp;D1012)+(COUNTIF($D$23:$D$1022,"="&amp;D1012)+1)/2</f>
        <v/>
      </c>
    </row>
    <row r="1013">
      <c r="B1013" s="27">
        <f>'1 Data'!B1002</f>
        <v/>
      </c>
      <c r="C1013" s="29">
        <f>IF('1 Data'!E1002&lt;=1.5,IF('1 Data'!F1002&lt;=1.5,IF('1 Data'!G1002&lt;=0.0003,1,2),IF('1 Data'!C1002&lt;=165000,3,4)),IF('1 Data'!G1002&lt;=0.0652,5,IF('1 Data'!G1002&lt;=0.716,6,7)))</f>
        <v/>
      </c>
      <c r="D1013" s="23">
        <f>INDEX($F$12:$F$18,C1013)</f>
        <v/>
      </c>
      <c r="E1013" s="27">
        <f>'1 Data'!I1002</f>
        <v/>
      </c>
      <c r="F1013" s="30">
        <f>COUNTIF($D$23:$D$1022,"&lt;"&amp;D1013)+(COUNTIF($D$23:$D$1022,"="&amp;D1013)+1)/2</f>
        <v/>
      </c>
    </row>
    <row r="1014">
      <c r="B1014" s="27">
        <f>'1 Data'!B1003</f>
        <v/>
      </c>
      <c r="C1014" s="29">
        <f>IF('1 Data'!E1003&lt;=1.5,IF('1 Data'!F1003&lt;=1.5,IF('1 Data'!G1003&lt;=0.0003,1,2),IF('1 Data'!C1003&lt;=165000,3,4)),IF('1 Data'!G1003&lt;=0.0652,5,IF('1 Data'!G1003&lt;=0.716,6,7)))</f>
        <v/>
      </c>
      <c r="D1014" s="23">
        <f>INDEX($F$12:$F$18,C1014)</f>
        <v/>
      </c>
      <c r="E1014" s="27">
        <f>'1 Data'!I1003</f>
        <v/>
      </c>
      <c r="F1014" s="30">
        <f>COUNTIF($D$23:$D$1022,"&lt;"&amp;D1014)+(COUNTIF($D$23:$D$1022,"="&amp;D1014)+1)/2</f>
        <v/>
      </c>
    </row>
    <row r="1015">
      <c r="B1015" s="27">
        <f>'1 Data'!B1004</f>
        <v/>
      </c>
      <c r="C1015" s="29">
        <f>IF('1 Data'!E1004&lt;=1.5,IF('1 Data'!F1004&lt;=1.5,IF('1 Data'!G1004&lt;=0.0003,1,2),IF('1 Data'!C1004&lt;=165000,3,4)),IF('1 Data'!G1004&lt;=0.0652,5,IF('1 Data'!G1004&lt;=0.716,6,7)))</f>
        <v/>
      </c>
      <c r="D1015" s="23">
        <f>INDEX($F$12:$F$18,C1015)</f>
        <v/>
      </c>
      <c r="E1015" s="27">
        <f>'1 Data'!I1004</f>
        <v/>
      </c>
      <c r="F1015" s="30">
        <f>COUNTIF($D$23:$D$1022,"&lt;"&amp;D1015)+(COUNTIF($D$23:$D$1022,"="&amp;D1015)+1)/2</f>
        <v/>
      </c>
    </row>
    <row r="1016">
      <c r="B1016" s="27">
        <f>'1 Data'!B1005</f>
        <v/>
      </c>
      <c r="C1016" s="29">
        <f>IF('1 Data'!E1005&lt;=1.5,IF('1 Data'!F1005&lt;=1.5,IF('1 Data'!G1005&lt;=0.0003,1,2),IF('1 Data'!C1005&lt;=165000,3,4)),IF('1 Data'!G1005&lt;=0.0652,5,IF('1 Data'!G1005&lt;=0.716,6,7)))</f>
        <v/>
      </c>
      <c r="D1016" s="23">
        <f>INDEX($F$12:$F$18,C1016)</f>
        <v/>
      </c>
      <c r="E1016" s="27">
        <f>'1 Data'!I1005</f>
        <v/>
      </c>
      <c r="F1016" s="30">
        <f>COUNTIF($D$23:$D$1022,"&lt;"&amp;D1016)+(COUNTIF($D$23:$D$1022,"="&amp;D1016)+1)/2</f>
        <v/>
      </c>
    </row>
    <row r="1017">
      <c r="B1017" s="27">
        <f>'1 Data'!B1006</f>
        <v/>
      </c>
      <c r="C1017" s="29">
        <f>IF('1 Data'!E1006&lt;=1.5,IF('1 Data'!F1006&lt;=1.5,IF('1 Data'!G1006&lt;=0.0003,1,2),IF('1 Data'!C1006&lt;=165000,3,4)),IF('1 Data'!G1006&lt;=0.0652,5,IF('1 Data'!G1006&lt;=0.716,6,7)))</f>
        <v/>
      </c>
      <c r="D1017" s="23">
        <f>INDEX($F$12:$F$18,C1017)</f>
        <v/>
      </c>
      <c r="E1017" s="27">
        <f>'1 Data'!I1006</f>
        <v/>
      </c>
      <c r="F1017" s="30">
        <f>COUNTIF($D$23:$D$1022,"&lt;"&amp;D1017)+(COUNTIF($D$23:$D$1022,"="&amp;D1017)+1)/2</f>
        <v/>
      </c>
    </row>
    <row r="1018">
      <c r="B1018" s="27">
        <f>'1 Data'!B1007</f>
        <v/>
      </c>
      <c r="C1018" s="29">
        <f>IF('1 Data'!E1007&lt;=1.5,IF('1 Data'!F1007&lt;=1.5,IF('1 Data'!G1007&lt;=0.0003,1,2),IF('1 Data'!C1007&lt;=165000,3,4)),IF('1 Data'!G1007&lt;=0.0652,5,IF('1 Data'!G1007&lt;=0.716,6,7)))</f>
        <v/>
      </c>
      <c r="D1018" s="23">
        <f>INDEX($F$12:$F$18,C1018)</f>
        <v/>
      </c>
      <c r="E1018" s="27">
        <f>'1 Data'!I1007</f>
        <v/>
      </c>
      <c r="F1018" s="30">
        <f>COUNTIF($D$23:$D$1022,"&lt;"&amp;D1018)+(COUNTIF($D$23:$D$1022,"="&amp;D1018)+1)/2</f>
        <v/>
      </c>
    </row>
    <row r="1019">
      <c r="B1019" s="27">
        <f>'1 Data'!B1008</f>
        <v/>
      </c>
      <c r="C1019" s="29">
        <f>IF('1 Data'!E1008&lt;=1.5,IF('1 Data'!F1008&lt;=1.5,IF('1 Data'!G1008&lt;=0.0003,1,2),IF('1 Data'!C1008&lt;=165000,3,4)),IF('1 Data'!G1008&lt;=0.0652,5,IF('1 Data'!G1008&lt;=0.716,6,7)))</f>
        <v/>
      </c>
      <c r="D1019" s="23">
        <f>INDEX($F$12:$F$18,C1019)</f>
        <v/>
      </c>
      <c r="E1019" s="27">
        <f>'1 Data'!I1008</f>
        <v/>
      </c>
      <c r="F1019" s="30">
        <f>COUNTIF($D$23:$D$1022,"&lt;"&amp;D1019)+(COUNTIF($D$23:$D$1022,"="&amp;D1019)+1)/2</f>
        <v/>
      </c>
    </row>
    <row r="1020">
      <c r="B1020" s="27">
        <f>'1 Data'!B1009</f>
        <v/>
      </c>
      <c r="C1020" s="29">
        <f>IF('1 Data'!E1009&lt;=1.5,IF('1 Data'!F1009&lt;=1.5,IF('1 Data'!G1009&lt;=0.0003,1,2),IF('1 Data'!C1009&lt;=165000,3,4)),IF('1 Data'!G1009&lt;=0.0652,5,IF('1 Data'!G1009&lt;=0.716,6,7)))</f>
        <v/>
      </c>
      <c r="D1020" s="23">
        <f>INDEX($F$12:$F$18,C1020)</f>
        <v/>
      </c>
      <c r="E1020" s="27">
        <f>'1 Data'!I1009</f>
        <v/>
      </c>
      <c r="F1020" s="30">
        <f>COUNTIF($D$23:$D$1022,"&lt;"&amp;D1020)+(COUNTIF($D$23:$D$1022,"="&amp;D1020)+1)/2</f>
        <v/>
      </c>
    </row>
    <row r="1021">
      <c r="B1021" s="27">
        <f>'1 Data'!B1010</f>
        <v/>
      </c>
      <c r="C1021" s="29">
        <f>IF('1 Data'!E1010&lt;=1.5,IF('1 Data'!F1010&lt;=1.5,IF('1 Data'!G1010&lt;=0.0003,1,2),IF('1 Data'!C1010&lt;=165000,3,4)),IF('1 Data'!G1010&lt;=0.0652,5,IF('1 Data'!G1010&lt;=0.716,6,7)))</f>
        <v/>
      </c>
      <c r="D1021" s="23">
        <f>INDEX($F$12:$F$18,C1021)</f>
        <v/>
      </c>
      <c r="E1021" s="27">
        <f>'1 Data'!I1010</f>
        <v/>
      </c>
      <c r="F1021" s="30">
        <f>COUNTIF($D$23:$D$1022,"&lt;"&amp;D1021)+(COUNTIF($D$23:$D$1022,"="&amp;D1021)+1)/2</f>
        <v/>
      </c>
    </row>
    <row r="1022">
      <c r="B1022" s="27">
        <f>'1 Data'!B1011</f>
        <v/>
      </c>
      <c r="C1022" s="29">
        <f>IF('1 Data'!E1011&lt;=1.5,IF('1 Data'!F1011&lt;=1.5,IF('1 Data'!G1011&lt;=0.0003,1,2),IF('1 Data'!C1011&lt;=165000,3,4)),IF('1 Data'!G1011&lt;=0.0652,5,IF('1 Data'!G1011&lt;=0.716,6,7)))</f>
        <v/>
      </c>
      <c r="D1022" s="23">
        <f>INDEX($F$12:$F$18,C1022)</f>
        <v/>
      </c>
      <c r="E1022" s="27">
        <f>'1 Data'!I1011</f>
        <v/>
      </c>
      <c r="F1022" s="30">
        <f>COUNTIF($D$23:$D$1022,"&lt;"&amp;D1022)+(COUNTIF($D$23:$D$1022,"="&amp;D1022)+1)/2</f>
        <v/>
      </c>
    </row>
  </sheetData>
  <mergeCells count="6">
    <mergeCell ref="B3:G3"/>
    <mergeCell ref="B2:G2"/>
    <mergeCell ref="B5:G8"/>
    <mergeCell ref="B4:G4"/>
    <mergeCell ref="H12:P14"/>
    <mergeCell ref="H11:P1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2:G1024"/>
  <sheetViews>
    <sheetView showGridLines="0" workbookViewId="0">
      <pane xSplit="1" ySplit="22" topLeftCell="B23"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15" customWidth="1" min="4" max="4"/>
    <col width="6" customWidth="1" min="5" max="5"/>
    <col width="20" customWidth="1" min="6" max="6"/>
    <col width="16" customWidth="1" min="7" max="7"/>
  </cols>
  <sheetData>
    <row r="2" ht="28" customHeight="1">
      <c r="B2" s="1" t="inlineStr">
        <is>
          <t>Model 3 — XGBoost</t>
        </is>
      </c>
    </row>
    <row r="3">
      <c r="B3" s="2" t="inlineStr">
        <is>
          <t>200 small trees, each one correcting the mistakes of the trees before it.</t>
        </is>
      </c>
    </row>
    <row r="4" ht="4" customHeight="1">
      <c r="B4" s="3" t="inlineStr"/>
    </row>
    <row r="5" ht="15" customHeight="1">
      <c r="B5" s="4" t="inlineStr">
        <is>
          <t>Look at column C. Unlike the two sheets before this one, these probabilities are NOT Excel formulas. They are values computed in Python and pasted in.
That is not laziness. XGBoost built 200 trees of depth 3, which is up to 1,600 leaves. Every customer's score is the sum of 200 separate leaf values passed through a logistic curve. There is no single line you can print, no coefficient to point at, and no way to write it in a cell.
This is the trade in the Module 5 slide, made concrete. The model below is the most accurate of the three. It is also the only one you cannot hand to a customer and say 'here is the number that decided it'.</t>
        </is>
      </c>
    </row>
    <row r="6" ht="15" customHeight="1"/>
    <row r="7" ht="15" customHeight="1"/>
    <row r="8" ht="15" customHeight="1"/>
    <row r="11">
      <c r="F11" s="11" t="inlineStr">
        <is>
          <t>Variable</t>
        </is>
      </c>
      <c r="G11" s="11" t="inlineStr">
        <is>
          <t>Importance</t>
        </is>
      </c>
    </row>
    <row r="12">
      <c r="F12" s="13" t="inlineStr">
        <is>
          <t>PAY_0</t>
        </is>
      </c>
      <c r="G12" s="40" t="n">
        <v>0.6117</v>
      </c>
    </row>
    <row r="13">
      <c r="F13" s="13" t="inlineStr">
        <is>
          <t>PAY_2</t>
        </is>
      </c>
      <c r="G13" s="40" t="n">
        <v>0.2412</v>
      </c>
    </row>
    <row r="14">
      <c r="F14" s="13" t="inlineStr">
        <is>
          <t>LIMIT_BAL</t>
        </is>
      </c>
      <c r="G14" s="40" t="n">
        <v>0.0492</v>
      </c>
    </row>
    <row r="15">
      <c r="F15" s="13" t="inlineStr">
        <is>
          <t>UTILISATION</t>
        </is>
      </c>
      <c r="G15" s="40" t="n">
        <v>0.0439</v>
      </c>
    </row>
    <row r="16">
      <c r="F16" s="13" t="inlineStr">
        <is>
          <t>PAY_RATIO</t>
        </is>
      </c>
      <c r="G16" s="40" t="n">
        <v>0.033</v>
      </c>
    </row>
    <row r="17">
      <c r="F17" s="13" t="inlineStr">
        <is>
          <t>AGE</t>
        </is>
      </c>
      <c r="G17" s="40" t="n">
        <v>0.021</v>
      </c>
    </row>
    <row r="19">
      <c r="F19" s="41" t="inlineStr">
        <is>
          <t>Importance says which variables the 200 trees split on most. It does not say which way they pushed, and it says nothing about any single customer. For that you need SHAP.</t>
        </is>
      </c>
      <c r="G19" s="42" t="n"/>
    </row>
    <row r="20">
      <c r="F20" s="43" t="n"/>
      <c r="G20" s="44" t="n"/>
    </row>
    <row r="21">
      <c r="F21" s="45" t="n"/>
      <c r="G21" s="46" t="n"/>
    </row>
    <row r="22" ht="28" customHeight="1">
      <c r="B22" s="5" t="inlineStr">
        <is>
          <t>ID</t>
        </is>
      </c>
      <c r="C22" s="5" t="inlineStr">
        <is>
          <t>PD  (probability of default)</t>
        </is>
      </c>
      <c r="D22" s="5" t="inlineStr">
        <is>
          <t>Actually defaulted?</t>
        </is>
      </c>
      <c r="E22" s="5" t="inlineStr">
        <is>
          <t>Mid-rank</t>
        </is>
      </c>
    </row>
    <row r="23">
      <c r="B23" s="27">
        <f>'1 Data'!B12</f>
        <v/>
      </c>
      <c r="C23" s="47" t="n">
        <v>0.103659876</v>
      </c>
      <c r="D23" s="27">
        <f>'1 Data'!I12</f>
        <v/>
      </c>
      <c r="E23" s="30">
        <f>COUNTIF($C$23:$C$1022,"&lt;"&amp;C23)+(COUNTIF($C$23:$C$1022,"="&amp;C23)+1)/2</f>
        <v/>
      </c>
    </row>
    <row r="24">
      <c r="B24" s="27">
        <f>'1 Data'!B13</f>
        <v/>
      </c>
      <c r="C24" s="47" t="n">
        <v>0.057915352</v>
      </c>
      <c r="D24" s="27">
        <f>'1 Data'!I13</f>
        <v/>
      </c>
      <c r="E24" s="30">
        <f>COUNTIF($C$23:$C$1022,"&lt;"&amp;C24)+(COUNTIF($C$23:$C$1022,"="&amp;C24)+1)/2</f>
        <v/>
      </c>
    </row>
    <row r="25">
      <c r="B25" s="27">
        <f>'1 Data'!B14</f>
        <v/>
      </c>
      <c r="C25" s="47" t="n">
        <v>0.16130908</v>
      </c>
      <c r="D25" s="27">
        <f>'1 Data'!I14</f>
        <v/>
      </c>
      <c r="E25" s="30">
        <f>COUNTIF($C$23:$C$1022,"&lt;"&amp;C25)+(COUNTIF($C$23:$C$1022,"="&amp;C25)+1)/2</f>
        <v/>
      </c>
    </row>
    <row r="26">
      <c r="B26" s="27">
        <f>'1 Data'!B15</f>
        <v/>
      </c>
      <c r="C26" s="47" t="n">
        <v>0.24453694</v>
      </c>
      <c r="D26" s="27">
        <f>'1 Data'!I15</f>
        <v/>
      </c>
      <c r="E26" s="30">
        <f>COUNTIF($C$23:$C$1022,"&lt;"&amp;C26)+(COUNTIF($C$23:$C$1022,"="&amp;C26)+1)/2</f>
        <v/>
      </c>
    </row>
    <row r="27">
      <c r="B27" s="27">
        <f>'1 Data'!B16</f>
        <v/>
      </c>
      <c r="C27" s="47" t="n">
        <v>0.3061993</v>
      </c>
      <c r="D27" s="27">
        <f>'1 Data'!I16</f>
        <v/>
      </c>
      <c r="E27" s="30">
        <f>COUNTIF($C$23:$C$1022,"&lt;"&amp;C27)+(COUNTIF($C$23:$C$1022,"="&amp;C27)+1)/2</f>
        <v/>
      </c>
    </row>
    <row r="28">
      <c r="B28" s="27">
        <f>'1 Data'!B17</f>
        <v/>
      </c>
      <c r="C28" s="47" t="n">
        <v>0.05026396</v>
      </c>
      <c r="D28" s="27">
        <f>'1 Data'!I17</f>
        <v/>
      </c>
      <c r="E28" s="30">
        <f>COUNTIF($C$23:$C$1022,"&lt;"&amp;C28)+(COUNTIF($C$23:$C$1022,"="&amp;C28)+1)/2</f>
        <v/>
      </c>
    </row>
    <row r="29">
      <c r="B29" s="27">
        <f>'1 Data'!B18</f>
        <v/>
      </c>
      <c r="C29" s="47" t="n">
        <v>0.120016515</v>
      </c>
      <c r="D29" s="27">
        <f>'1 Data'!I18</f>
        <v/>
      </c>
      <c r="E29" s="30">
        <f>COUNTIF($C$23:$C$1022,"&lt;"&amp;C29)+(COUNTIF($C$23:$C$1022,"="&amp;C29)+1)/2</f>
        <v/>
      </c>
    </row>
    <row r="30">
      <c r="B30" s="27">
        <f>'1 Data'!B19</f>
        <v/>
      </c>
      <c r="C30" s="47" t="n">
        <v>0.10451058</v>
      </c>
      <c r="D30" s="27">
        <f>'1 Data'!I19</f>
        <v/>
      </c>
      <c r="E30" s="30">
        <f>COUNTIF($C$23:$C$1022,"&lt;"&amp;C30)+(COUNTIF($C$23:$C$1022,"="&amp;C30)+1)/2</f>
        <v/>
      </c>
    </row>
    <row r="31">
      <c r="B31" s="27">
        <f>'1 Data'!B20</f>
        <v/>
      </c>
      <c r="C31" s="47" t="n">
        <v>0.05585248</v>
      </c>
      <c r="D31" s="27">
        <f>'1 Data'!I20</f>
        <v/>
      </c>
      <c r="E31" s="30">
        <f>COUNTIF($C$23:$C$1022,"&lt;"&amp;C31)+(COUNTIF($C$23:$C$1022,"="&amp;C31)+1)/2</f>
        <v/>
      </c>
    </row>
    <row r="32">
      <c r="B32" s="27">
        <f>'1 Data'!B21</f>
        <v/>
      </c>
      <c r="C32" s="47" t="n">
        <v>0.10030016</v>
      </c>
      <c r="D32" s="27">
        <f>'1 Data'!I21</f>
        <v/>
      </c>
      <c r="E32" s="30">
        <f>COUNTIF($C$23:$C$1022,"&lt;"&amp;C32)+(COUNTIF($C$23:$C$1022,"="&amp;C32)+1)/2</f>
        <v/>
      </c>
    </row>
    <row r="33">
      <c r="B33" s="27">
        <f>'1 Data'!B22</f>
        <v/>
      </c>
      <c r="C33" s="47" t="n">
        <v>0.31261957</v>
      </c>
      <c r="D33" s="27">
        <f>'1 Data'!I22</f>
        <v/>
      </c>
      <c r="E33" s="30">
        <f>COUNTIF($C$23:$C$1022,"&lt;"&amp;C33)+(COUNTIF($C$23:$C$1022,"="&amp;C33)+1)/2</f>
        <v/>
      </c>
    </row>
    <row r="34">
      <c r="B34" s="27">
        <f>'1 Data'!B23</f>
        <v/>
      </c>
      <c r="C34" s="47" t="n">
        <v>0.74273837</v>
      </c>
      <c r="D34" s="27">
        <f>'1 Data'!I23</f>
        <v/>
      </c>
      <c r="E34" s="30">
        <f>COUNTIF($C$23:$C$1022,"&lt;"&amp;C34)+(COUNTIF($C$23:$C$1022,"="&amp;C34)+1)/2</f>
        <v/>
      </c>
    </row>
    <row r="35">
      <c r="B35" s="27">
        <f>'1 Data'!B24</f>
        <v/>
      </c>
      <c r="C35" s="47" t="n">
        <v>0.056297418</v>
      </c>
      <c r="D35" s="27">
        <f>'1 Data'!I24</f>
        <v/>
      </c>
      <c r="E35" s="30">
        <f>COUNTIF($C$23:$C$1022,"&lt;"&amp;C35)+(COUNTIF($C$23:$C$1022,"="&amp;C35)+1)/2</f>
        <v/>
      </c>
    </row>
    <row r="36">
      <c r="B36" s="27">
        <f>'1 Data'!B25</f>
        <v/>
      </c>
      <c r="C36" s="47" t="n">
        <v>0.34612653</v>
      </c>
      <c r="D36" s="27">
        <f>'1 Data'!I25</f>
        <v/>
      </c>
      <c r="E36" s="30">
        <f>COUNTIF($C$23:$C$1022,"&lt;"&amp;C36)+(COUNTIF($C$23:$C$1022,"="&amp;C36)+1)/2</f>
        <v/>
      </c>
    </row>
    <row r="37">
      <c r="B37" s="27">
        <f>'1 Data'!B26</f>
        <v/>
      </c>
      <c r="C37" s="47" t="n">
        <v>0.075929314</v>
      </c>
      <c r="D37" s="27">
        <f>'1 Data'!I26</f>
        <v/>
      </c>
      <c r="E37" s="30">
        <f>COUNTIF($C$23:$C$1022,"&lt;"&amp;C37)+(COUNTIF($C$23:$C$1022,"="&amp;C37)+1)/2</f>
        <v/>
      </c>
    </row>
    <row r="38">
      <c r="B38" s="27">
        <f>'1 Data'!B27</f>
        <v/>
      </c>
      <c r="C38" s="47" t="n">
        <v>0.15639496</v>
      </c>
      <c r="D38" s="27">
        <f>'1 Data'!I27</f>
        <v/>
      </c>
      <c r="E38" s="30">
        <f>COUNTIF($C$23:$C$1022,"&lt;"&amp;C38)+(COUNTIF($C$23:$C$1022,"="&amp;C38)+1)/2</f>
        <v/>
      </c>
    </row>
    <row r="39">
      <c r="B39" s="27">
        <f>'1 Data'!B28</f>
        <v/>
      </c>
      <c r="C39" s="47" t="n">
        <v>0.21709697</v>
      </c>
      <c r="D39" s="27">
        <f>'1 Data'!I28</f>
        <v/>
      </c>
      <c r="E39" s="30">
        <f>COUNTIF($C$23:$C$1022,"&lt;"&amp;C39)+(COUNTIF($C$23:$C$1022,"="&amp;C39)+1)/2</f>
        <v/>
      </c>
    </row>
    <row r="40">
      <c r="B40" s="27">
        <f>'1 Data'!B29</f>
        <v/>
      </c>
      <c r="C40" s="47" t="n">
        <v>0.24214494</v>
      </c>
      <c r="D40" s="27">
        <f>'1 Data'!I29</f>
        <v/>
      </c>
      <c r="E40" s="30">
        <f>COUNTIF($C$23:$C$1022,"&lt;"&amp;C40)+(COUNTIF($C$23:$C$1022,"="&amp;C40)+1)/2</f>
        <v/>
      </c>
    </row>
    <row r="41">
      <c r="B41" s="27">
        <f>'1 Data'!B30</f>
        <v/>
      </c>
      <c r="C41" s="47" t="n">
        <v>0.1262664</v>
      </c>
      <c r="D41" s="27">
        <f>'1 Data'!I30</f>
        <v/>
      </c>
      <c r="E41" s="30">
        <f>COUNTIF($C$23:$C$1022,"&lt;"&amp;C41)+(COUNTIF($C$23:$C$1022,"="&amp;C41)+1)/2</f>
        <v/>
      </c>
    </row>
    <row r="42">
      <c r="B42" s="27">
        <f>'1 Data'!B31</f>
        <v/>
      </c>
      <c r="C42" s="47" t="n">
        <v>0.2475738</v>
      </c>
      <c r="D42" s="27">
        <f>'1 Data'!I31</f>
        <v/>
      </c>
      <c r="E42" s="30">
        <f>COUNTIF($C$23:$C$1022,"&lt;"&amp;C42)+(COUNTIF($C$23:$C$1022,"="&amp;C42)+1)/2</f>
        <v/>
      </c>
    </row>
    <row r="43">
      <c r="B43" s="27">
        <f>'1 Data'!B32</f>
        <v/>
      </c>
      <c r="C43" s="47" t="n">
        <v>0.13315332</v>
      </c>
      <c r="D43" s="27">
        <f>'1 Data'!I32</f>
        <v/>
      </c>
      <c r="E43" s="30">
        <f>COUNTIF($C$23:$C$1022,"&lt;"&amp;C43)+(COUNTIF($C$23:$C$1022,"="&amp;C43)+1)/2</f>
        <v/>
      </c>
    </row>
    <row r="44">
      <c r="B44" s="27">
        <f>'1 Data'!B33</f>
        <v/>
      </c>
      <c r="C44" s="47" t="n">
        <v>0.18814787</v>
      </c>
      <c r="D44" s="27">
        <f>'1 Data'!I33</f>
        <v/>
      </c>
      <c r="E44" s="30">
        <f>COUNTIF($C$23:$C$1022,"&lt;"&amp;C44)+(COUNTIF($C$23:$C$1022,"="&amp;C44)+1)/2</f>
        <v/>
      </c>
    </row>
    <row r="45">
      <c r="B45" s="27">
        <f>'1 Data'!B34</f>
        <v/>
      </c>
      <c r="C45" s="47" t="n">
        <v>0.84040093</v>
      </c>
      <c r="D45" s="27">
        <f>'1 Data'!I34</f>
        <v/>
      </c>
      <c r="E45" s="30">
        <f>COUNTIF($C$23:$C$1022,"&lt;"&amp;C45)+(COUNTIF($C$23:$C$1022,"="&amp;C45)+1)/2</f>
        <v/>
      </c>
    </row>
    <row r="46">
      <c r="B46" s="27">
        <f>'1 Data'!B35</f>
        <v/>
      </c>
      <c r="C46" s="47" t="n">
        <v>0.1388194</v>
      </c>
      <c r="D46" s="27">
        <f>'1 Data'!I35</f>
        <v/>
      </c>
      <c r="E46" s="30">
        <f>COUNTIF($C$23:$C$1022,"&lt;"&amp;C46)+(COUNTIF($C$23:$C$1022,"="&amp;C46)+1)/2</f>
        <v/>
      </c>
    </row>
    <row r="47">
      <c r="B47" s="27">
        <f>'1 Data'!B36</f>
        <v/>
      </c>
      <c r="C47" s="47" t="n">
        <v>0.11283896</v>
      </c>
      <c r="D47" s="27">
        <f>'1 Data'!I36</f>
        <v/>
      </c>
      <c r="E47" s="30">
        <f>COUNTIF($C$23:$C$1022,"&lt;"&amp;C47)+(COUNTIF($C$23:$C$1022,"="&amp;C47)+1)/2</f>
        <v/>
      </c>
    </row>
    <row r="48">
      <c r="B48" s="27">
        <f>'1 Data'!B37</f>
        <v/>
      </c>
      <c r="C48" s="47" t="n">
        <v>0.41464728</v>
      </c>
      <c r="D48" s="27">
        <f>'1 Data'!I37</f>
        <v/>
      </c>
      <c r="E48" s="30">
        <f>COUNTIF($C$23:$C$1022,"&lt;"&amp;C48)+(COUNTIF($C$23:$C$1022,"="&amp;C48)+1)/2</f>
        <v/>
      </c>
    </row>
    <row r="49">
      <c r="B49" s="27">
        <f>'1 Data'!B38</f>
        <v/>
      </c>
      <c r="C49" s="47" t="n">
        <v>0.13188215</v>
      </c>
      <c r="D49" s="27">
        <f>'1 Data'!I38</f>
        <v/>
      </c>
      <c r="E49" s="30">
        <f>COUNTIF($C$23:$C$1022,"&lt;"&amp;C49)+(COUNTIF($C$23:$C$1022,"="&amp;C49)+1)/2</f>
        <v/>
      </c>
    </row>
    <row r="50">
      <c r="B50" s="27">
        <f>'1 Data'!B39</f>
        <v/>
      </c>
      <c r="C50" s="47" t="n">
        <v>0.123133235</v>
      </c>
      <c r="D50" s="27">
        <f>'1 Data'!I39</f>
        <v/>
      </c>
      <c r="E50" s="30">
        <f>COUNTIF($C$23:$C$1022,"&lt;"&amp;C50)+(COUNTIF($C$23:$C$1022,"="&amp;C50)+1)/2</f>
        <v/>
      </c>
    </row>
    <row r="51">
      <c r="B51" s="27">
        <f>'1 Data'!B40</f>
        <v/>
      </c>
      <c r="C51" s="47" t="n">
        <v>0.7395104</v>
      </c>
      <c r="D51" s="27">
        <f>'1 Data'!I40</f>
        <v/>
      </c>
      <c r="E51" s="30">
        <f>COUNTIF($C$23:$C$1022,"&lt;"&amp;C51)+(COUNTIF($C$23:$C$1022,"="&amp;C51)+1)/2</f>
        <v/>
      </c>
    </row>
    <row r="52">
      <c r="B52" s="27">
        <f>'1 Data'!B41</f>
        <v/>
      </c>
      <c r="C52" s="47" t="n">
        <v>0.21676113</v>
      </c>
      <c r="D52" s="27">
        <f>'1 Data'!I41</f>
        <v/>
      </c>
      <c r="E52" s="30">
        <f>COUNTIF($C$23:$C$1022,"&lt;"&amp;C52)+(COUNTIF($C$23:$C$1022,"="&amp;C52)+1)/2</f>
        <v/>
      </c>
    </row>
    <row r="53">
      <c r="B53" s="27">
        <f>'1 Data'!B42</f>
        <v/>
      </c>
      <c r="C53" s="47" t="n">
        <v>0.2075753</v>
      </c>
      <c r="D53" s="27">
        <f>'1 Data'!I42</f>
        <v/>
      </c>
      <c r="E53" s="30">
        <f>COUNTIF($C$23:$C$1022,"&lt;"&amp;C53)+(COUNTIF($C$23:$C$1022,"="&amp;C53)+1)/2</f>
        <v/>
      </c>
    </row>
    <row r="54">
      <c r="B54" s="27">
        <f>'1 Data'!B43</f>
        <v/>
      </c>
      <c r="C54" s="47" t="n">
        <v>0.08435695</v>
      </c>
      <c r="D54" s="27">
        <f>'1 Data'!I43</f>
        <v/>
      </c>
      <c r="E54" s="30">
        <f>COUNTIF($C$23:$C$1022,"&lt;"&amp;C54)+(COUNTIF($C$23:$C$1022,"="&amp;C54)+1)/2</f>
        <v/>
      </c>
    </row>
    <row r="55">
      <c r="B55" s="27">
        <f>'1 Data'!B44</f>
        <v/>
      </c>
      <c r="C55" s="47" t="n">
        <v>0.11641043</v>
      </c>
      <c r="D55" s="27">
        <f>'1 Data'!I44</f>
        <v/>
      </c>
      <c r="E55" s="30">
        <f>COUNTIF($C$23:$C$1022,"&lt;"&amp;C55)+(COUNTIF($C$23:$C$1022,"="&amp;C55)+1)/2</f>
        <v/>
      </c>
    </row>
    <row r="56">
      <c r="B56" s="27">
        <f>'1 Data'!B45</f>
        <v/>
      </c>
      <c r="C56" s="47" t="n">
        <v>0.11378474</v>
      </c>
      <c r="D56" s="27">
        <f>'1 Data'!I45</f>
        <v/>
      </c>
      <c r="E56" s="30">
        <f>COUNTIF($C$23:$C$1022,"&lt;"&amp;C56)+(COUNTIF($C$23:$C$1022,"="&amp;C56)+1)/2</f>
        <v/>
      </c>
    </row>
    <row r="57">
      <c r="B57" s="27">
        <f>'1 Data'!B46</f>
        <v/>
      </c>
      <c r="C57" s="47" t="n">
        <v>0.115860805</v>
      </c>
      <c r="D57" s="27">
        <f>'1 Data'!I46</f>
        <v/>
      </c>
      <c r="E57" s="30">
        <f>COUNTIF($C$23:$C$1022,"&lt;"&amp;C57)+(COUNTIF($C$23:$C$1022,"="&amp;C57)+1)/2</f>
        <v/>
      </c>
    </row>
    <row r="58">
      <c r="B58" s="27">
        <f>'1 Data'!B47</f>
        <v/>
      </c>
      <c r="C58" s="47" t="n">
        <v>0.13028827</v>
      </c>
      <c r="D58" s="27">
        <f>'1 Data'!I47</f>
        <v/>
      </c>
      <c r="E58" s="30">
        <f>COUNTIF($C$23:$C$1022,"&lt;"&amp;C58)+(COUNTIF($C$23:$C$1022,"="&amp;C58)+1)/2</f>
        <v/>
      </c>
    </row>
    <row r="59">
      <c r="B59" s="27">
        <f>'1 Data'!B48</f>
        <v/>
      </c>
      <c r="C59" s="47" t="n">
        <v>0.7450715</v>
      </c>
      <c r="D59" s="27">
        <f>'1 Data'!I48</f>
        <v/>
      </c>
      <c r="E59" s="30">
        <f>COUNTIF($C$23:$C$1022,"&lt;"&amp;C59)+(COUNTIF($C$23:$C$1022,"="&amp;C59)+1)/2</f>
        <v/>
      </c>
    </row>
    <row r="60">
      <c r="B60" s="27">
        <f>'1 Data'!B49</f>
        <v/>
      </c>
      <c r="C60" s="47" t="n">
        <v>0.21552888</v>
      </c>
      <c r="D60" s="27">
        <f>'1 Data'!I49</f>
        <v/>
      </c>
      <c r="E60" s="30">
        <f>COUNTIF($C$23:$C$1022,"&lt;"&amp;C60)+(COUNTIF($C$23:$C$1022,"="&amp;C60)+1)/2</f>
        <v/>
      </c>
    </row>
    <row r="61">
      <c r="B61" s="27">
        <f>'1 Data'!B50</f>
        <v/>
      </c>
      <c r="C61" s="47" t="n">
        <v>0.1687295</v>
      </c>
      <c r="D61" s="27">
        <f>'1 Data'!I50</f>
        <v/>
      </c>
      <c r="E61" s="30">
        <f>COUNTIF($C$23:$C$1022,"&lt;"&amp;C61)+(COUNTIF($C$23:$C$1022,"="&amp;C61)+1)/2</f>
        <v/>
      </c>
    </row>
    <row r="62">
      <c r="B62" s="27">
        <f>'1 Data'!B51</f>
        <v/>
      </c>
      <c r="C62" s="47" t="n">
        <v>0.681157</v>
      </c>
      <c r="D62" s="27">
        <f>'1 Data'!I51</f>
        <v/>
      </c>
      <c r="E62" s="30">
        <f>COUNTIF($C$23:$C$1022,"&lt;"&amp;C62)+(COUNTIF($C$23:$C$1022,"="&amp;C62)+1)/2</f>
        <v/>
      </c>
    </row>
    <row r="63">
      <c r="B63" s="27">
        <f>'1 Data'!B52</f>
        <v/>
      </c>
      <c r="C63" s="47" t="n">
        <v>0.05913455</v>
      </c>
      <c r="D63" s="27">
        <f>'1 Data'!I52</f>
        <v/>
      </c>
      <c r="E63" s="30">
        <f>COUNTIF($C$23:$C$1022,"&lt;"&amp;C63)+(COUNTIF($C$23:$C$1022,"="&amp;C63)+1)/2</f>
        <v/>
      </c>
    </row>
    <row r="64">
      <c r="B64" s="27">
        <f>'1 Data'!B53</f>
        <v/>
      </c>
      <c r="C64" s="47" t="n">
        <v>0.22758894</v>
      </c>
      <c r="D64" s="27">
        <f>'1 Data'!I53</f>
        <v/>
      </c>
      <c r="E64" s="30">
        <f>COUNTIF($C$23:$C$1022,"&lt;"&amp;C64)+(COUNTIF($C$23:$C$1022,"="&amp;C64)+1)/2</f>
        <v/>
      </c>
    </row>
    <row r="65">
      <c r="B65" s="27">
        <f>'1 Data'!B54</f>
        <v/>
      </c>
      <c r="C65" s="47" t="n">
        <v>0.67602</v>
      </c>
      <c r="D65" s="27">
        <f>'1 Data'!I54</f>
        <v/>
      </c>
      <c r="E65" s="30">
        <f>COUNTIF($C$23:$C$1022,"&lt;"&amp;C65)+(COUNTIF($C$23:$C$1022,"="&amp;C65)+1)/2</f>
        <v/>
      </c>
    </row>
    <row r="66">
      <c r="B66" s="27">
        <f>'1 Data'!B55</f>
        <v/>
      </c>
      <c r="C66" s="47" t="n">
        <v>0.1578082</v>
      </c>
      <c r="D66" s="27">
        <f>'1 Data'!I55</f>
        <v/>
      </c>
      <c r="E66" s="30">
        <f>COUNTIF($C$23:$C$1022,"&lt;"&amp;C66)+(COUNTIF($C$23:$C$1022,"="&amp;C66)+1)/2</f>
        <v/>
      </c>
    </row>
    <row r="67">
      <c r="B67" s="27">
        <f>'1 Data'!B56</f>
        <v/>
      </c>
      <c r="C67" s="47" t="n">
        <v>0.09635233999999999</v>
      </c>
      <c r="D67" s="27">
        <f>'1 Data'!I56</f>
        <v/>
      </c>
      <c r="E67" s="30">
        <f>COUNTIF($C$23:$C$1022,"&lt;"&amp;C67)+(COUNTIF($C$23:$C$1022,"="&amp;C67)+1)/2</f>
        <v/>
      </c>
    </row>
    <row r="68">
      <c r="B68" s="27">
        <f>'1 Data'!B57</f>
        <v/>
      </c>
      <c r="C68" s="47" t="n">
        <v>0.739501</v>
      </c>
      <c r="D68" s="27">
        <f>'1 Data'!I57</f>
        <v/>
      </c>
      <c r="E68" s="30">
        <f>COUNTIF($C$23:$C$1022,"&lt;"&amp;C68)+(COUNTIF($C$23:$C$1022,"="&amp;C68)+1)/2</f>
        <v/>
      </c>
    </row>
    <row r="69">
      <c r="B69" s="27">
        <f>'1 Data'!B58</f>
        <v/>
      </c>
      <c r="C69" s="47" t="n">
        <v>0.1143248</v>
      </c>
      <c r="D69" s="27">
        <f>'1 Data'!I58</f>
        <v/>
      </c>
      <c r="E69" s="30">
        <f>COUNTIF($C$23:$C$1022,"&lt;"&amp;C69)+(COUNTIF($C$23:$C$1022,"="&amp;C69)+1)/2</f>
        <v/>
      </c>
    </row>
    <row r="70">
      <c r="B70" s="27">
        <f>'1 Data'!B59</f>
        <v/>
      </c>
      <c r="C70" s="47" t="n">
        <v>0.14007004</v>
      </c>
      <c r="D70" s="27">
        <f>'1 Data'!I59</f>
        <v/>
      </c>
      <c r="E70" s="30">
        <f>COUNTIF($C$23:$C$1022,"&lt;"&amp;C70)+(COUNTIF($C$23:$C$1022,"="&amp;C70)+1)/2</f>
        <v/>
      </c>
    </row>
    <row r="71">
      <c r="B71" s="27">
        <f>'1 Data'!B60</f>
        <v/>
      </c>
      <c r="C71" s="47" t="n">
        <v>0.07131361999999999</v>
      </c>
      <c r="D71" s="27">
        <f>'1 Data'!I60</f>
        <v/>
      </c>
      <c r="E71" s="30">
        <f>COUNTIF($C$23:$C$1022,"&lt;"&amp;C71)+(COUNTIF($C$23:$C$1022,"="&amp;C71)+1)/2</f>
        <v/>
      </c>
    </row>
    <row r="72">
      <c r="B72" s="27">
        <f>'1 Data'!B61</f>
        <v/>
      </c>
      <c r="C72" s="47" t="n">
        <v>0.69282746</v>
      </c>
      <c r="D72" s="27">
        <f>'1 Data'!I61</f>
        <v/>
      </c>
      <c r="E72" s="30">
        <f>COUNTIF($C$23:$C$1022,"&lt;"&amp;C72)+(COUNTIF($C$23:$C$1022,"="&amp;C72)+1)/2</f>
        <v/>
      </c>
    </row>
    <row r="73">
      <c r="B73" s="27">
        <f>'1 Data'!B62</f>
        <v/>
      </c>
      <c r="C73" s="47" t="n">
        <v>0.10275139</v>
      </c>
      <c r="D73" s="27">
        <f>'1 Data'!I62</f>
        <v/>
      </c>
      <c r="E73" s="30">
        <f>COUNTIF($C$23:$C$1022,"&lt;"&amp;C73)+(COUNTIF($C$23:$C$1022,"="&amp;C73)+1)/2</f>
        <v/>
      </c>
    </row>
    <row r="74">
      <c r="B74" s="27">
        <f>'1 Data'!B63</f>
        <v/>
      </c>
      <c r="C74" s="47" t="n">
        <v>0.7938294</v>
      </c>
      <c r="D74" s="27">
        <f>'1 Data'!I63</f>
        <v/>
      </c>
      <c r="E74" s="30">
        <f>COUNTIF($C$23:$C$1022,"&lt;"&amp;C74)+(COUNTIF($C$23:$C$1022,"="&amp;C74)+1)/2</f>
        <v/>
      </c>
    </row>
    <row r="75">
      <c r="B75" s="27">
        <f>'1 Data'!B64</f>
        <v/>
      </c>
      <c r="C75" s="47" t="n">
        <v>0.8214707</v>
      </c>
      <c r="D75" s="27">
        <f>'1 Data'!I64</f>
        <v/>
      </c>
      <c r="E75" s="30">
        <f>COUNTIF($C$23:$C$1022,"&lt;"&amp;C75)+(COUNTIF($C$23:$C$1022,"="&amp;C75)+1)/2</f>
        <v/>
      </c>
    </row>
    <row r="76">
      <c r="B76" s="27">
        <f>'1 Data'!B65</f>
        <v/>
      </c>
      <c r="C76" s="47" t="n">
        <v>0.16277279</v>
      </c>
      <c r="D76" s="27">
        <f>'1 Data'!I65</f>
        <v/>
      </c>
      <c r="E76" s="30">
        <f>COUNTIF($C$23:$C$1022,"&lt;"&amp;C76)+(COUNTIF($C$23:$C$1022,"="&amp;C76)+1)/2</f>
        <v/>
      </c>
    </row>
    <row r="77">
      <c r="B77" s="27">
        <f>'1 Data'!B66</f>
        <v/>
      </c>
      <c r="C77" s="47" t="n">
        <v>0.17017336</v>
      </c>
      <c r="D77" s="27">
        <f>'1 Data'!I66</f>
        <v/>
      </c>
      <c r="E77" s="30">
        <f>COUNTIF($C$23:$C$1022,"&lt;"&amp;C77)+(COUNTIF($C$23:$C$1022,"="&amp;C77)+1)/2</f>
        <v/>
      </c>
    </row>
    <row r="78">
      <c r="B78" s="27">
        <f>'1 Data'!B67</f>
        <v/>
      </c>
      <c r="C78" s="47" t="n">
        <v>0.11812513</v>
      </c>
      <c r="D78" s="27">
        <f>'1 Data'!I67</f>
        <v/>
      </c>
      <c r="E78" s="30">
        <f>COUNTIF($C$23:$C$1022,"&lt;"&amp;C78)+(COUNTIF($C$23:$C$1022,"="&amp;C78)+1)/2</f>
        <v/>
      </c>
    </row>
    <row r="79">
      <c r="B79" s="27">
        <f>'1 Data'!B68</f>
        <v/>
      </c>
      <c r="C79" s="47" t="n">
        <v>0.06518652</v>
      </c>
      <c r="D79" s="27">
        <f>'1 Data'!I68</f>
        <v/>
      </c>
      <c r="E79" s="30">
        <f>COUNTIF($C$23:$C$1022,"&lt;"&amp;C79)+(COUNTIF($C$23:$C$1022,"="&amp;C79)+1)/2</f>
        <v/>
      </c>
    </row>
    <row r="80">
      <c r="B80" s="27">
        <f>'1 Data'!B69</f>
        <v/>
      </c>
      <c r="C80" s="47" t="n">
        <v>0.076597705</v>
      </c>
      <c r="D80" s="27">
        <f>'1 Data'!I69</f>
        <v/>
      </c>
      <c r="E80" s="30">
        <f>COUNTIF($C$23:$C$1022,"&lt;"&amp;C80)+(COUNTIF($C$23:$C$1022,"="&amp;C80)+1)/2</f>
        <v/>
      </c>
    </row>
    <row r="81">
      <c r="B81" s="27">
        <f>'1 Data'!B70</f>
        <v/>
      </c>
      <c r="C81" s="47" t="n">
        <v>0.18399934</v>
      </c>
      <c r="D81" s="27">
        <f>'1 Data'!I70</f>
        <v/>
      </c>
      <c r="E81" s="30">
        <f>COUNTIF($C$23:$C$1022,"&lt;"&amp;C81)+(COUNTIF($C$23:$C$1022,"="&amp;C81)+1)/2</f>
        <v/>
      </c>
    </row>
    <row r="82">
      <c r="B82" s="27">
        <f>'1 Data'!B71</f>
        <v/>
      </c>
      <c r="C82" s="47" t="n">
        <v>0.07749295</v>
      </c>
      <c r="D82" s="27">
        <f>'1 Data'!I71</f>
        <v/>
      </c>
      <c r="E82" s="30">
        <f>COUNTIF($C$23:$C$1022,"&lt;"&amp;C82)+(COUNTIF($C$23:$C$1022,"="&amp;C82)+1)/2</f>
        <v/>
      </c>
    </row>
    <row r="83">
      <c r="B83" s="27">
        <f>'1 Data'!B72</f>
        <v/>
      </c>
      <c r="C83" s="47" t="n">
        <v>0.16963571</v>
      </c>
      <c r="D83" s="27">
        <f>'1 Data'!I72</f>
        <v/>
      </c>
      <c r="E83" s="30">
        <f>COUNTIF($C$23:$C$1022,"&lt;"&amp;C83)+(COUNTIF($C$23:$C$1022,"="&amp;C83)+1)/2</f>
        <v/>
      </c>
    </row>
    <row r="84">
      <c r="B84" s="27">
        <f>'1 Data'!B73</f>
        <v/>
      </c>
      <c r="C84" s="47" t="n">
        <v>0.111280225</v>
      </c>
      <c r="D84" s="27">
        <f>'1 Data'!I73</f>
        <v/>
      </c>
      <c r="E84" s="30">
        <f>COUNTIF($C$23:$C$1022,"&lt;"&amp;C84)+(COUNTIF($C$23:$C$1022,"="&amp;C84)+1)/2</f>
        <v/>
      </c>
    </row>
    <row r="85">
      <c r="B85" s="27">
        <f>'1 Data'!B74</f>
        <v/>
      </c>
      <c r="C85" s="47" t="n">
        <v>0.15392815</v>
      </c>
      <c r="D85" s="27">
        <f>'1 Data'!I74</f>
        <v/>
      </c>
      <c r="E85" s="30">
        <f>COUNTIF($C$23:$C$1022,"&lt;"&amp;C85)+(COUNTIF($C$23:$C$1022,"="&amp;C85)+1)/2</f>
        <v/>
      </c>
    </row>
    <row r="86">
      <c r="B86" s="27">
        <f>'1 Data'!B75</f>
        <v/>
      </c>
      <c r="C86" s="47" t="n">
        <v>0.71790594</v>
      </c>
      <c r="D86" s="27">
        <f>'1 Data'!I75</f>
        <v/>
      </c>
      <c r="E86" s="30">
        <f>COUNTIF($C$23:$C$1022,"&lt;"&amp;C86)+(COUNTIF($C$23:$C$1022,"="&amp;C86)+1)/2</f>
        <v/>
      </c>
    </row>
    <row r="87">
      <c r="B87" s="27">
        <f>'1 Data'!B76</f>
        <v/>
      </c>
      <c r="C87" s="47" t="n">
        <v>0.13555448</v>
      </c>
      <c r="D87" s="27">
        <f>'1 Data'!I76</f>
        <v/>
      </c>
      <c r="E87" s="30">
        <f>COUNTIF($C$23:$C$1022,"&lt;"&amp;C87)+(COUNTIF($C$23:$C$1022,"="&amp;C87)+1)/2</f>
        <v/>
      </c>
    </row>
    <row r="88">
      <c r="B88" s="27">
        <f>'1 Data'!B77</f>
        <v/>
      </c>
      <c r="C88" s="47" t="n">
        <v>0.23639101</v>
      </c>
      <c r="D88" s="27">
        <f>'1 Data'!I77</f>
        <v/>
      </c>
      <c r="E88" s="30">
        <f>COUNTIF($C$23:$C$1022,"&lt;"&amp;C88)+(COUNTIF($C$23:$C$1022,"="&amp;C88)+1)/2</f>
        <v/>
      </c>
    </row>
    <row r="89">
      <c r="B89" s="27">
        <f>'1 Data'!B78</f>
        <v/>
      </c>
      <c r="C89" s="47" t="n">
        <v>0.13949746</v>
      </c>
      <c r="D89" s="27">
        <f>'1 Data'!I78</f>
        <v/>
      </c>
      <c r="E89" s="30">
        <f>COUNTIF($C$23:$C$1022,"&lt;"&amp;C89)+(COUNTIF($C$23:$C$1022,"="&amp;C89)+1)/2</f>
        <v/>
      </c>
    </row>
    <row r="90">
      <c r="B90" s="27">
        <f>'1 Data'!B79</f>
        <v/>
      </c>
      <c r="C90" s="47" t="n">
        <v>0.26189592</v>
      </c>
      <c r="D90" s="27">
        <f>'1 Data'!I79</f>
        <v/>
      </c>
      <c r="E90" s="30">
        <f>COUNTIF($C$23:$C$1022,"&lt;"&amp;C90)+(COUNTIF($C$23:$C$1022,"="&amp;C90)+1)/2</f>
        <v/>
      </c>
    </row>
    <row r="91">
      <c r="B91" s="27">
        <f>'1 Data'!B80</f>
        <v/>
      </c>
      <c r="C91" s="47" t="n">
        <v>0.69901454</v>
      </c>
      <c r="D91" s="27">
        <f>'1 Data'!I80</f>
        <v/>
      </c>
      <c r="E91" s="30">
        <f>COUNTIF($C$23:$C$1022,"&lt;"&amp;C91)+(COUNTIF($C$23:$C$1022,"="&amp;C91)+1)/2</f>
        <v/>
      </c>
    </row>
    <row r="92">
      <c r="B92" s="27">
        <f>'1 Data'!B81</f>
        <v/>
      </c>
      <c r="C92" s="47" t="n">
        <v>0.19050528</v>
      </c>
      <c r="D92" s="27">
        <f>'1 Data'!I81</f>
        <v/>
      </c>
      <c r="E92" s="30">
        <f>COUNTIF($C$23:$C$1022,"&lt;"&amp;C92)+(COUNTIF($C$23:$C$1022,"="&amp;C92)+1)/2</f>
        <v/>
      </c>
    </row>
    <row r="93">
      <c r="B93" s="27">
        <f>'1 Data'!B82</f>
        <v/>
      </c>
      <c r="C93" s="47" t="n">
        <v>0.06525259</v>
      </c>
      <c r="D93" s="27">
        <f>'1 Data'!I82</f>
        <v/>
      </c>
      <c r="E93" s="30">
        <f>COUNTIF($C$23:$C$1022,"&lt;"&amp;C93)+(COUNTIF($C$23:$C$1022,"="&amp;C93)+1)/2</f>
        <v/>
      </c>
    </row>
    <row r="94">
      <c r="B94" s="27">
        <f>'1 Data'!B83</f>
        <v/>
      </c>
      <c r="C94" s="47" t="n">
        <v>0.03909733</v>
      </c>
      <c r="D94" s="27">
        <f>'1 Data'!I83</f>
        <v/>
      </c>
      <c r="E94" s="30">
        <f>COUNTIF($C$23:$C$1022,"&lt;"&amp;C94)+(COUNTIF($C$23:$C$1022,"="&amp;C94)+1)/2</f>
        <v/>
      </c>
    </row>
    <row r="95">
      <c r="B95" s="27">
        <f>'1 Data'!B84</f>
        <v/>
      </c>
      <c r="C95" s="47" t="n">
        <v>0.74616</v>
      </c>
      <c r="D95" s="27">
        <f>'1 Data'!I84</f>
        <v/>
      </c>
      <c r="E95" s="30">
        <f>COUNTIF($C$23:$C$1022,"&lt;"&amp;C95)+(COUNTIF($C$23:$C$1022,"="&amp;C95)+1)/2</f>
        <v/>
      </c>
    </row>
    <row r="96">
      <c r="B96" s="27">
        <f>'1 Data'!B85</f>
        <v/>
      </c>
      <c r="C96" s="47" t="n">
        <v>0.26319557</v>
      </c>
      <c r="D96" s="27">
        <f>'1 Data'!I85</f>
        <v/>
      </c>
      <c r="E96" s="30">
        <f>COUNTIF($C$23:$C$1022,"&lt;"&amp;C96)+(COUNTIF($C$23:$C$1022,"="&amp;C96)+1)/2</f>
        <v/>
      </c>
    </row>
    <row r="97">
      <c r="B97" s="27">
        <f>'1 Data'!B86</f>
        <v/>
      </c>
      <c r="C97" s="47" t="n">
        <v>0.23311661</v>
      </c>
      <c r="D97" s="27">
        <f>'1 Data'!I86</f>
        <v/>
      </c>
      <c r="E97" s="30">
        <f>COUNTIF($C$23:$C$1022,"&lt;"&amp;C97)+(COUNTIF($C$23:$C$1022,"="&amp;C97)+1)/2</f>
        <v/>
      </c>
    </row>
    <row r="98">
      <c r="B98" s="27">
        <f>'1 Data'!B87</f>
        <v/>
      </c>
      <c r="C98" s="47" t="n">
        <v>0.18500313</v>
      </c>
      <c r="D98" s="27">
        <f>'1 Data'!I87</f>
        <v/>
      </c>
      <c r="E98" s="30">
        <f>COUNTIF($C$23:$C$1022,"&lt;"&amp;C98)+(COUNTIF($C$23:$C$1022,"="&amp;C98)+1)/2</f>
        <v/>
      </c>
    </row>
    <row r="99">
      <c r="B99" s="27">
        <f>'1 Data'!B88</f>
        <v/>
      </c>
      <c r="C99" s="47" t="n">
        <v>0.27131504</v>
      </c>
      <c r="D99" s="27">
        <f>'1 Data'!I88</f>
        <v/>
      </c>
      <c r="E99" s="30">
        <f>COUNTIF($C$23:$C$1022,"&lt;"&amp;C99)+(COUNTIF($C$23:$C$1022,"="&amp;C99)+1)/2</f>
        <v/>
      </c>
    </row>
    <row r="100">
      <c r="B100" s="27">
        <f>'1 Data'!B89</f>
        <v/>
      </c>
      <c r="C100" s="47" t="n">
        <v>0.101616755</v>
      </c>
      <c r="D100" s="27">
        <f>'1 Data'!I89</f>
        <v/>
      </c>
      <c r="E100" s="30">
        <f>COUNTIF($C$23:$C$1022,"&lt;"&amp;C100)+(COUNTIF($C$23:$C$1022,"="&amp;C100)+1)/2</f>
        <v/>
      </c>
    </row>
    <row r="101">
      <c r="B101" s="27">
        <f>'1 Data'!B90</f>
        <v/>
      </c>
      <c r="C101" s="47" t="n">
        <v>0.16172571</v>
      </c>
      <c r="D101" s="27">
        <f>'1 Data'!I90</f>
        <v/>
      </c>
      <c r="E101" s="30">
        <f>COUNTIF($C$23:$C$1022,"&lt;"&amp;C101)+(COUNTIF($C$23:$C$1022,"="&amp;C101)+1)/2</f>
        <v/>
      </c>
    </row>
    <row r="102">
      <c r="B102" s="27">
        <f>'1 Data'!B91</f>
        <v/>
      </c>
      <c r="C102" s="47" t="n">
        <v>0.20232219</v>
      </c>
      <c r="D102" s="27">
        <f>'1 Data'!I91</f>
        <v/>
      </c>
      <c r="E102" s="30">
        <f>COUNTIF($C$23:$C$1022,"&lt;"&amp;C102)+(COUNTIF($C$23:$C$1022,"="&amp;C102)+1)/2</f>
        <v/>
      </c>
    </row>
    <row r="103">
      <c r="B103" s="27">
        <f>'1 Data'!B92</f>
        <v/>
      </c>
      <c r="C103" s="47" t="n">
        <v>0.12901974</v>
      </c>
      <c r="D103" s="27">
        <f>'1 Data'!I92</f>
        <v/>
      </c>
      <c r="E103" s="30">
        <f>COUNTIF($C$23:$C$1022,"&lt;"&amp;C103)+(COUNTIF($C$23:$C$1022,"="&amp;C103)+1)/2</f>
        <v/>
      </c>
    </row>
    <row r="104">
      <c r="B104" s="27">
        <f>'1 Data'!B93</f>
        <v/>
      </c>
      <c r="C104" s="47" t="n">
        <v>0.24288529</v>
      </c>
      <c r="D104" s="27">
        <f>'1 Data'!I93</f>
        <v/>
      </c>
      <c r="E104" s="30">
        <f>COUNTIF($C$23:$C$1022,"&lt;"&amp;C104)+(COUNTIF($C$23:$C$1022,"="&amp;C104)+1)/2</f>
        <v/>
      </c>
    </row>
    <row r="105">
      <c r="B105" s="27">
        <f>'1 Data'!B94</f>
        <v/>
      </c>
      <c r="C105" s="47" t="n">
        <v>0.2473283</v>
      </c>
      <c r="D105" s="27">
        <f>'1 Data'!I94</f>
        <v/>
      </c>
      <c r="E105" s="30">
        <f>COUNTIF($C$23:$C$1022,"&lt;"&amp;C105)+(COUNTIF($C$23:$C$1022,"="&amp;C105)+1)/2</f>
        <v/>
      </c>
    </row>
    <row r="106">
      <c r="B106" s="27">
        <f>'1 Data'!B95</f>
        <v/>
      </c>
      <c r="C106" s="47" t="n">
        <v>0.49966696</v>
      </c>
      <c r="D106" s="27">
        <f>'1 Data'!I95</f>
        <v/>
      </c>
      <c r="E106" s="30">
        <f>COUNTIF($C$23:$C$1022,"&lt;"&amp;C106)+(COUNTIF($C$23:$C$1022,"="&amp;C106)+1)/2</f>
        <v/>
      </c>
    </row>
    <row r="107">
      <c r="B107" s="27">
        <f>'1 Data'!B96</f>
        <v/>
      </c>
      <c r="C107" s="47" t="n">
        <v>0.171889</v>
      </c>
      <c r="D107" s="27">
        <f>'1 Data'!I96</f>
        <v/>
      </c>
      <c r="E107" s="30">
        <f>COUNTIF($C$23:$C$1022,"&lt;"&amp;C107)+(COUNTIF($C$23:$C$1022,"="&amp;C107)+1)/2</f>
        <v/>
      </c>
    </row>
    <row r="108">
      <c r="B108" s="27">
        <f>'1 Data'!B97</f>
        <v/>
      </c>
      <c r="C108" s="47" t="n">
        <v>0.3166596</v>
      </c>
      <c r="D108" s="27">
        <f>'1 Data'!I97</f>
        <v/>
      </c>
      <c r="E108" s="30">
        <f>COUNTIF($C$23:$C$1022,"&lt;"&amp;C108)+(COUNTIF($C$23:$C$1022,"="&amp;C108)+1)/2</f>
        <v/>
      </c>
    </row>
    <row r="109">
      <c r="B109" s="27">
        <f>'1 Data'!B98</f>
        <v/>
      </c>
      <c r="C109" s="47" t="n">
        <v>0.37620783</v>
      </c>
      <c r="D109" s="27">
        <f>'1 Data'!I98</f>
        <v/>
      </c>
      <c r="E109" s="30">
        <f>COUNTIF($C$23:$C$1022,"&lt;"&amp;C109)+(COUNTIF($C$23:$C$1022,"="&amp;C109)+1)/2</f>
        <v/>
      </c>
    </row>
    <row r="110">
      <c r="B110" s="27">
        <f>'1 Data'!B99</f>
        <v/>
      </c>
      <c r="C110" s="47" t="n">
        <v>0.25285557</v>
      </c>
      <c r="D110" s="27">
        <f>'1 Data'!I99</f>
        <v/>
      </c>
      <c r="E110" s="30">
        <f>COUNTIF($C$23:$C$1022,"&lt;"&amp;C110)+(COUNTIF($C$23:$C$1022,"="&amp;C110)+1)/2</f>
        <v/>
      </c>
    </row>
    <row r="111">
      <c r="B111" s="27">
        <f>'1 Data'!B100</f>
        <v/>
      </c>
      <c r="C111" s="47" t="n">
        <v>0.16076489</v>
      </c>
      <c r="D111" s="27">
        <f>'1 Data'!I100</f>
        <v/>
      </c>
      <c r="E111" s="30">
        <f>COUNTIF($C$23:$C$1022,"&lt;"&amp;C111)+(COUNTIF($C$23:$C$1022,"="&amp;C111)+1)/2</f>
        <v/>
      </c>
    </row>
    <row r="112">
      <c r="B112" s="27">
        <f>'1 Data'!B101</f>
        <v/>
      </c>
      <c r="C112" s="47" t="n">
        <v>0.16237445</v>
      </c>
      <c r="D112" s="27">
        <f>'1 Data'!I101</f>
        <v/>
      </c>
      <c r="E112" s="30">
        <f>COUNTIF($C$23:$C$1022,"&lt;"&amp;C112)+(COUNTIF($C$23:$C$1022,"="&amp;C112)+1)/2</f>
        <v/>
      </c>
    </row>
    <row r="113">
      <c r="B113" s="27">
        <f>'1 Data'!B102</f>
        <v/>
      </c>
      <c r="C113" s="47" t="n">
        <v>0.07818496</v>
      </c>
      <c r="D113" s="27">
        <f>'1 Data'!I102</f>
        <v/>
      </c>
      <c r="E113" s="30">
        <f>COUNTIF($C$23:$C$1022,"&lt;"&amp;C113)+(COUNTIF($C$23:$C$1022,"="&amp;C113)+1)/2</f>
        <v/>
      </c>
    </row>
    <row r="114">
      <c r="B114" s="27">
        <f>'1 Data'!B103</f>
        <v/>
      </c>
      <c r="C114" s="47" t="n">
        <v>0.21081202</v>
      </c>
      <c r="D114" s="27">
        <f>'1 Data'!I103</f>
        <v/>
      </c>
      <c r="E114" s="30">
        <f>COUNTIF($C$23:$C$1022,"&lt;"&amp;C114)+(COUNTIF($C$23:$C$1022,"="&amp;C114)+1)/2</f>
        <v/>
      </c>
    </row>
    <row r="115">
      <c r="B115" s="27">
        <f>'1 Data'!B104</f>
        <v/>
      </c>
      <c r="C115" s="47" t="n">
        <v>0.08821426</v>
      </c>
      <c r="D115" s="27">
        <f>'1 Data'!I104</f>
        <v/>
      </c>
      <c r="E115" s="30">
        <f>COUNTIF($C$23:$C$1022,"&lt;"&amp;C115)+(COUNTIF($C$23:$C$1022,"="&amp;C115)+1)/2</f>
        <v/>
      </c>
    </row>
    <row r="116">
      <c r="B116" s="27">
        <f>'1 Data'!B105</f>
        <v/>
      </c>
      <c r="C116" s="47" t="n">
        <v>0.6303798</v>
      </c>
      <c r="D116" s="27">
        <f>'1 Data'!I105</f>
        <v/>
      </c>
      <c r="E116" s="30">
        <f>COUNTIF($C$23:$C$1022,"&lt;"&amp;C116)+(COUNTIF($C$23:$C$1022,"="&amp;C116)+1)/2</f>
        <v/>
      </c>
    </row>
    <row r="117">
      <c r="B117" s="27">
        <f>'1 Data'!B106</f>
        <v/>
      </c>
      <c r="C117" s="47" t="n">
        <v>0.12631139</v>
      </c>
      <c r="D117" s="27">
        <f>'1 Data'!I106</f>
        <v/>
      </c>
      <c r="E117" s="30">
        <f>COUNTIF($C$23:$C$1022,"&lt;"&amp;C117)+(COUNTIF($C$23:$C$1022,"="&amp;C117)+1)/2</f>
        <v/>
      </c>
    </row>
    <row r="118">
      <c r="B118" s="27">
        <f>'1 Data'!B107</f>
        <v/>
      </c>
      <c r="C118" s="47" t="n">
        <v>0.15252215</v>
      </c>
      <c r="D118" s="27">
        <f>'1 Data'!I107</f>
        <v/>
      </c>
      <c r="E118" s="30">
        <f>COUNTIF($C$23:$C$1022,"&lt;"&amp;C118)+(COUNTIF($C$23:$C$1022,"="&amp;C118)+1)/2</f>
        <v/>
      </c>
    </row>
    <row r="119">
      <c r="B119" s="27">
        <f>'1 Data'!B108</f>
        <v/>
      </c>
      <c r="C119" s="47" t="n">
        <v>0.07974604</v>
      </c>
      <c r="D119" s="27">
        <f>'1 Data'!I108</f>
        <v/>
      </c>
      <c r="E119" s="30">
        <f>COUNTIF($C$23:$C$1022,"&lt;"&amp;C119)+(COUNTIF($C$23:$C$1022,"="&amp;C119)+1)/2</f>
        <v/>
      </c>
    </row>
    <row r="120">
      <c r="B120" s="27">
        <f>'1 Data'!B109</f>
        <v/>
      </c>
      <c r="C120" s="47" t="n">
        <v>0.42446697</v>
      </c>
      <c r="D120" s="27">
        <f>'1 Data'!I109</f>
        <v/>
      </c>
      <c r="E120" s="30">
        <f>COUNTIF($C$23:$C$1022,"&lt;"&amp;C120)+(COUNTIF($C$23:$C$1022,"="&amp;C120)+1)/2</f>
        <v/>
      </c>
    </row>
    <row r="121">
      <c r="B121" s="27">
        <f>'1 Data'!B110</f>
        <v/>
      </c>
      <c r="C121" s="47" t="n">
        <v>0.087287776</v>
      </c>
      <c r="D121" s="27">
        <f>'1 Data'!I110</f>
        <v/>
      </c>
      <c r="E121" s="30">
        <f>COUNTIF($C$23:$C$1022,"&lt;"&amp;C121)+(COUNTIF($C$23:$C$1022,"="&amp;C121)+1)/2</f>
        <v/>
      </c>
    </row>
    <row r="122">
      <c r="B122" s="27">
        <f>'1 Data'!B111</f>
        <v/>
      </c>
      <c r="C122" s="47" t="n">
        <v>0.1508152</v>
      </c>
      <c r="D122" s="27">
        <f>'1 Data'!I111</f>
        <v/>
      </c>
      <c r="E122" s="30">
        <f>COUNTIF($C$23:$C$1022,"&lt;"&amp;C122)+(COUNTIF($C$23:$C$1022,"="&amp;C122)+1)/2</f>
        <v/>
      </c>
    </row>
    <row r="123">
      <c r="B123" s="27">
        <f>'1 Data'!B112</f>
        <v/>
      </c>
      <c r="C123" s="47" t="n">
        <v>0.05898425</v>
      </c>
      <c r="D123" s="27">
        <f>'1 Data'!I112</f>
        <v/>
      </c>
      <c r="E123" s="30">
        <f>COUNTIF($C$23:$C$1022,"&lt;"&amp;C123)+(COUNTIF($C$23:$C$1022,"="&amp;C123)+1)/2</f>
        <v/>
      </c>
    </row>
    <row r="124">
      <c r="B124" s="27">
        <f>'1 Data'!B113</f>
        <v/>
      </c>
      <c r="C124" s="47" t="n">
        <v>0.26484168</v>
      </c>
      <c r="D124" s="27">
        <f>'1 Data'!I113</f>
        <v/>
      </c>
      <c r="E124" s="30">
        <f>COUNTIF($C$23:$C$1022,"&lt;"&amp;C124)+(COUNTIF($C$23:$C$1022,"="&amp;C124)+1)/2</f>
        <v/>
      </c>
    </row>
    <row r="125">
      <c r="B125" s="27">
        <f>'1 Data'!B114</f>
        <v/>
      </c>
      <c r="C125" s="47" t="n">
        <v>0.1292295</v>
      </c>
      <c r="D125" s="27">
        <f>'1 Data'!I114</f>
        <v/>
      </c>
      <c r="E125" s="30">
        <f>COUNTIF($C$23:$C$1022,"&lt;"&amp;C125)+(COUNTIF($C$23:$C$1022,"="&amp;C125)+1)/2</f>
        <v/>
      </c>
    </row>
    <row r="126">
      <c r="B126" s="27">
        <f>'1 Data'!B115</f>
        <v/>
      </c>
      <c r="C126" s="47" t="n">
        <v>0.048396084</v>
      </c>
      <c r="D126" s="27">
        <f>'1 Data'!I115</f>
        <v/>
      </c>
      <c r="E126" s="30">
        <f>COUNTIF($C$23:$C$1022,"&lt;"&amp;C126)+(COUNTIF($C$23:$C$1022,"="&amp;C126)+1)/2</f>
        <v/>
      </c>
    </row>
    <row r="127">
      <c r="B127" s="27">
        <f>'1 Data'!B116</f>
        <v/>
      </c>
      <c r="C127" s="47" t="n">
        <v>0.05271912</v>
      </c>
      <c r="D127" s="27">
        <f>'1 Data'!I116</f>
        <v/>
      </c>
      <c r="E127" s="30">
        <f>COUNTIF($C$23:$C$1022,"&lt;"&amp;C127)+(COUNTIF($C$23:$C$1022,"="&amp;C127)+1)/2</f>
        <v/>
      </c>
    </row>
    <row r="128">
      <c r="B128" s="27">
        <f>'1 Data'!B117</f>
        <v/>
      </c>
      <c r="C128" s="47" t="n">
        <v>0.17729829</v>
      </c>
      <c r="D128" s="27">
        <f>'1 Data'!I117</f>
        <v/>
      </c>
      <c r="E128" s="30">
        <f>COUNTIF($C$23:$C$1022,"&lt;"&amp;C128)+(COUNTIF($C$23:$C$1022,"="&amp;C128)+1)/2</f>
        <v/>
      </c>
    </row>
    <row r="129">
      <c r="B129" s="27">
        <f>'1 Data'!B118</f>
        <v/>
      </c>
      <c r="C129" s="47" t="n">
        <v>0.16589065</v>
      </c>
      <c r="D129" s="27">
        <f>'1 Data'!I118</f>
        <v/>
      </c>
      <c r="E129" s="30">
        <f>COUNTIF($C$23:$C$1022,"&lt;"&amp;C129)+(COUNTIF($C$23:$C$1022,"="&amp;C129)+1)/2</f>
        <v/>
      </c>
    </row>
    <row r="130">
      <c r="B130" s="27">
        <f>'1 Data'!B119</f>
        <v/>
      </c>
      <c r="C130" s="47" t="n">
        <v>0.69706285</v>
      </c>
      <c r="D130" s="27">
        <f>'1 Data'!I119</f>
        <v/>
      </c>
      <c r="E130" s="30">
        <f>COUNTIF($C$23:$C$1022,"&lt;"&amp;C130)+(COUNTIF($C$23:$C$1022,"="&amp;C130)+1)/2</f>
        <v/>
      </c>
    </row>
    <row r="131">
      <c r="B131" s="27">
        <f>'1 Data'!B120</f>
        <v/>
      </c>
      <c r="C131" s="47" t="n">
        <v>0.15158372</v>
      </c>
      <c r="D131" s="27">
        <f>'1 Data'!I120</f>
        <v/>
      </c>
      <c r="E131" s="30">
        <f>COUNTIF($C$23:$C$1022,"&lt;"&amp;C131)+(COUNTIF($C$23:$C$1022,"="&amp;C131)+1)/2</f>
        <v/>
      </c>
    </row>
    <row r="132">
      <c r="B132" s="27">
        <f>'1 Data'!B121</f>
        <v/>
      </c>
      <c r="C132" s="47" t="n">
        <v>0.082009844</v>
      </c>
      <c r="D132" s="27">
        <f>'1 Data'!I121</f>
        <v/>
      </c>
      <c r="E132" s="30">
        <f>COUNTIF($C$23:$C$1022,"&lt;"&amp;C132)+(COUNTIF($C$23:$C$1022,"="&amp;C132)+1)/2</f>
        <v/>
      </c>
    </row>
    <row r="133">
      <c r="B133" s="27">
        <f>'1 Data'!B122</f>
        <v/>
      </c>
      <c r="C133" s="47" t="n">
        <v>0.11555891</v>
      </c>
      <c r="D133" s="27">
        <f>'1 Data'!I122</f>
        <v/>
      </c>
      <c r="E133" s="30">
        <f>COUNTIF($C$23:$C$1022,"&lt;"&amp;C133)+(COUNTIF($C$23:$C$1022,"="&amp;C133)+1)/2</f>
        <v/>
      </c>
    </row>
    <row r="134">
      <c r="B134" s="27">
        <f>'1 Data'!B123</f>
        <v/>
      </c>
      <c r="C134" s="47" t="n">
        <v>0.24690586</v>
      </c>
      <c r="D134" s="27">
        <f>'1 Data'!I123</f>
        <v/>
      </c>
      <c r="E134" s="30">
        <f>COUNTIF($C$23:$C$1022,"&lt;"&amp;C134)+(COUNTIF($C$23:$C$1022,"="&amp;C134)+1)/2</f>
        <v/>
      </c>
    </row>
    <row r="135">
      <c r="B135" s="27">
        <f>'1 Data'!B124</f>
        <v/>
      </c>
      <c r="C135" s="47" t="n">
        <v>0.18097743</v>
      </c>
      <c r="D135" s="27">
        <f>'1 Data'!I124</f>
        <v/>
      </c>
      <c r="E135" s="30">
        <f>COUNTIF($C$23:$C$1022,"&lt;"&amp;C135)+(COUNTIF($C$23:$C$1022,"="&amp;C135)+1)/2</f>
        <v/>
      </c>
    </row>
    <row r="136">
      <c r="B136" s="27">
        <f>'1 Data'!B125</f>
        <v/>
      </c>
      <c r="C136" s="47" t="n">
        <v>0.17736542</v>
      </c>
      <c r="D136" s="27">
        <f>'1 Data'!I125</f>
        <v/>
      </c>
      <c r="E136" s="30">
        <f>COUNTIF($C$23:$C$1022,"&lt;"&amp;C136)+(COUNTIF($C$23:$C$1022,"="&amp;C136)+1)/2</f>
        <v/>
      </c>
    </row>
    <row r="137">
      <c r="B137" s="27">
        <f>'1 Data'!B126</f>
        <v/>
      </c>
      <c r="C137" s="47" t="n">
        <v>0.23090701</v>
      </c>
      <c r="D137" s="27">
        <f>'1 Data'!I126</f>
        <v/>
      </c>
      <c r="E137" s="30">
        <f>COUNTIF($C$23:$C$1022,"&lt;"&amp;C137)+(COUNTIF($C$23:$C$1022,"="&amp;C137)+1)/2</f>
        <v/>
      </c>
    </row>
    <row r="138">
      <c r="B138" s="27">
        <f>'1 Data'!B127</f>
        <v/>
      </c>
      <c r="C138" s="47" t="n">
        <v>0.1171072</v>
      </c>
      <c r="D138" s="27">
        <f>'1 Data'!I127</f>
        <v/>
      </c>
      <c r="E138" s="30">
        <f>COUNTIF($C$23:$C$1022,"&lt;"&amp;C138)+(COUNTIF($C$23:$C$1022,"="&amp;C138)+1)/2</f>
        <v/>
      </c>
    </row>
    <row r="139">
      <c r="B139" s="27">
        <f>'1 Data'!B128</f>
        <v/>
      </c>
      <c r="C139" s="47" t="n">
        <v>0.45800915</v>
      </c>
      <c r="D139" s="27">
        <f>'1 Data'!I128</f>
        <v/>
      </c>
      <c r="E139" s="30">
        <f>COUNTIF($C$23:$C$1022,"&lt;"&amp;C139)+(COUNTIF($C$23:$C$1022,"="&amp;C139)+1)/2</f>
        <v/>
      </c>
    </row>
    <row r="140">
      <c r="B140" s="27">
        <f>'1 Data'!B129</f>
        <v/>
      </c>
      <c r="C140" s="47" t="n">
        <v>0.119104445</v>
      </c>
      <c r="D140" s="27">
        <f>'1 Data'!I129</f>
        <v/>
      </c>
      <c r="E140" s="30">
        <f>COUNTIF($C$23:$C$1022,"&lt;"&amp;C140)+(COUNTIF($C$23:$C$1022,"="&amp;C140)+1)/2</f>
        <v/>
      </c>
    </row>
    <row r="141">
      <c r="B141" s="27">
        <f>'1 Data'!B130</f>
        <v/>
      </c>
      <c r="C141" s="47" t="n">
        <v>0.14584456</v>
      </c>
      <c r="D141" s="27">
        <f>'1 Data'!I130</f>
        <v/>
      </c>
      <c r="E141" s="30">
        <f>COUNTIF($C$23:$C$1022,"&lt;"&amp;C141)+(COUNTIF($C$23:$C$1022,"="&amp;C141)+1)/2</f>
        <v/>
      </c>
    </row>
    <row r="142">
      <c r="B142" s="27">
        <f>'1 Data'!B131</f>
        <v/>
      </c>
      <c r="C142" s="47" t="n">
        <v>0.06978986399999999</v>
      </c>
      <c r="D142" s="27">
        <f>'1 Data'!I131</f>
        <v/>
      </c>
      <c r="E142" s="30">
        <f>COUNTIF($C$23:$C$1022,"&lt;"&amp;C142)+(COUNTIF($C$23:$C$1022,"="&amp;C142)+1)/2</f>
        <v/>
      </c>
    </row>
    <row r="143">
      <c r="B143" s="27">
        <f>'1 Data'!B132</f>
        <v/>
      </c>
      <c r="C143" s="47" t="n">
        <v>0.3198537</v>
      </c>
      <c r="D143" s="27">
        <f>'1 Data'!I132</f>
        <v/>
      </c>
      <c r="E143" s="30">
        <f>COUNTIF($C$23:$C$1022,"&lt;"&amp;C143)+(COUNTIF($C$23:$C$1022,"="&amp;C143)+1)/2</f>
        <v/>
      </c>
    </row>
    <row r="144">
      <c r="B144" s="27">
        <f>'1 Data'!B133</f>
        <v/>
      </c>
      <c r="C144" s="47" t="n">
        <v>0.17430262</v>
      </c>
      <c r="D144" s="27">
        <f>'1 Data'!I133</f>
        <v/>
      </c>
      <c r="E144" s="30">
        <f>COUNTIF($C$23:$C$1022,"&lt;"&amp;C144)+(COUNTIF($C$23:$C$1022,"="&amp;C144)+1)/2</f>
        <v/>
      </c>
    </row>
    <row r="145">
      <c r="B145" s="27">
        <f>'1 Data'!B134</f>
        <v/>
      </c>
      <c r="C145" s="47" t="n">
        <v>0.0937525</v>
      </c>
      <c r="D145" s="27">
        <f>'1 Data'!I134</f>
        <v/>
      </c>
      <c r="E145" s="30">
        <f>COUNTIF($C$23:$C$1022,"&lt;"&amp;C145)+(COUNTIF($C$23:$C$1022,"="&amp;C145)+1)/2</f>
        <v/>
      </c>
    </row>
    <row r="146">
      <c r="B146" s="27">
        <f>'1 Data'!B135</f>
        <v/>
      </c>
      <c r="C146" s="47" t="n">
        <v>0.22151761</v>
      </c>
      <c r="D146" s="27">
        <f>'1 Data'!I135</f>
        <v/>
      </c>
      <c r="E146" s="30">
        <f>COUNTIF($C$23:$C$1022,"&lt;"&amp;C146)+(COUNTIF($C$23:$C$1022,"="&amp;C146)+1)/2</f>
        <v/>
      </c>
    </row>
    <row r="147">
      <c r="B147" s="27">
        <f>'1 Data'!B136</f>
        <v/>
      </c>
      <c r="C147" s="47" t="n">
        <v>0.13954417</v>
      </c>
      <c r="D147" s="27">
        <f>'1 Data'!I136</f>
        <v/>
      </c>
      <c r="E147" s="30">
        <f>COUNTIF($C$23:$C$1022,"&lt;"&amp;C147)+(COUNTIF($C$23:$C$1022,"="&amp;C147)+1)/2</f>
        <v/>
      </c>
    </row>
    <row r="148">
      <c r="B148" s="27">
        <f>'1 Data'!B137</f>
        <v/>
      </c>
      <c r="C148" s="47" t="n">
        <v>0.18126054</v>
      </c>
      <c r="D148" s="27">
        <f>'1 Data'!I137</f>
        <v/>
      </c>
      <c r="E148" s="30">
        <f>COUNTIF($C$23:$C$1022,"&lt;"&amp;C148)+(COUNTIF($C$23:$C$1022,"="&amp;C148)+1)/2</f>
        <v/>
      </c>
    </row>
    <row r="149">
      <c r="B149" s="27">
        <f>'1 Data'!B138</f>
        <v/>
      </c>
      <c r="C149" s="47" t="n">
        <v>0.05653745</v>
      </c>
      <c r="D149" s="27">
        <f>'1 Data'!I138</f>
        <v/>
      </c>
      <c r="E149" s="30">
        <f>COUNTIF($C$23:$C$1022,"&lt;"&amp;C149)+(COUNTIF($C$23:$C$1022,"="&amp;C149)+1)/2</f>
        <v/>
      </c>
    </row>
    <row r="150">
      <c r="B150" s="27">
        <f>'1 Data'!B139</f>
        <v/>
      </c>
      <c r="C150" s="47" t="n">
        <v>0.3534021</v>
      </c>
      <c r="D150" s="27">
        <f>'1 Data'!I139</f>
        <v/>
      </c>
      <c r="E150" s="30">
        <f>COUNTIF($C$23:$C$1022,"&lt;"&amp;C150)+(COUNTIF($C$23:$C$1022,"="&amp;C150)+1)/2</f>
        <v/>
      </c>
    </row>
    <row r="151">
      <c r="B151" s="27">
        <f>'1 Data'!B140</f>
        <v/>
      </c>
      <c r="C151" s="47" t="n">
        <v>0.7213025</v>
      </c>
      <c r="D151" s="27">
        <f>'1 Data'!I140</f>
        <v/>
      </c>
      <c r="E151" s="30">
        <f>COUNTIF($C$23:$C$1022,"&lt;"&amp;C151)+(COUNTIF($C$23:$C$1022,"="&amp;C151)+1)/2</f>
        <v/>
      </c>
    </row>
    <row r="152">
      <c r="B152" s="27">
        <f>'1 Data'!B141</f>
        <v/>
      </c>
      <c r="C152" s="47" t="n">
        <v>0.25785437</v>
      </c>
      <c r="D152" s="27">
        <f>'1 Data'!I141</f>
        <v/>
      </c>
      <c r="E152" s="30">
        <f>COUNTIF($C$23:$C$1022,"&lt;"&amp;C152)+(COUNTIF($C$23:$C$1022,"="&amp;C152)+1)/2</f>
        <v/>
      </c>
    </row>
    <row r="153">
      <c r="B153" s="27">
        <f>'1 Data'!B142</f>
        <v/>
      </c>
      <c r="C153" s="47" t="n">
        <v>0.13333932</v>
      </c>
      <c r="D153" s="27">
        <f>'1 Data'!I142</f>
        <v/>
      </c>
      <c r="E153" s="30">
        <f>COUNTIF($C$23:$C$1022,"&lt;"&amp;C153)+(COUNTIF($C$23:$C$1022,"="&amp;C153)+1)/2</f>
        <v/>
      </c>
    </row>
    <row r="154">
      <c r="B154" s="27">
        <f>'1 Data'!B143</f>
        <v/>
      </c>
      <c r="C154" s="47" t="n">
        <v>0.30268452</v>
      </c>
      <c r="D154" s="27">
        <f>'1 Data'!I143</f>
        <v/>
      </c>
      <c r="E154" s="30">
        <f>COUNTIF($C$23:$C$1022,"&lt;"&amp;C154)+(COUNTIF($C$23:$C$1022,"="&amp;C154)+1)/2</f>
        <v/>
      </c>
    </row>
    <row r="155">
      <c r="B155" s="27">
        <f>'1 Data'!B144</f>
        <v/>
      </c>
      <c r="C155" s="47" t="n">
        <v>0.074607745</v>
      </c>
      <c r="D155" s="27">
        <f>'1 Data'!I144</f>
        <v/>
      </c>
      <c r="E155" s="30">
        <f>COUNTIF($C$23:$C$1022,"&lt;"&amp;C155)+(COUNTIF($C$23:$C$1022,"="&amp;C155)+1)/2</f>
        <v/>
      </c>
    </row>
    <row r="156">
      <c r="B156" s="27">
        <f>'1 Data'!B145</f>
        <v/>
      </c>
      <c r="C156" s="47" t="n">
        <v>0.14247921</v>
      </c>
      <c r="D156" s="27">
        <f>'1 Data'!I145</f>
        <v/>
      </c>
      <c r="E156" s="30">
        <f>COUNTIF($C$23:$C$1022,"&lt;"&amp;C156)+(COUNTIF($C$23:$C$1022,"="&amp;C156)+1)/2</f>
        <v/>
      </c>
    </row>
    <row r="157">
      <c r="B157" s="27">
        <f>'1 Data'!B146</f>
        <v/>
      </c>
      <c r="C157" s="47" t="n">
        <v>0.08371344</v>
      </c>
      <c r="D157" s="27">
        <f>'1 Data'!I146</f>
        <v/>
      </c>
      <c r="E157" s="30">
        <f>COUNTIF($C$23:$C$1022,"&lt;"&amp;C157)+(COUNTIF($C$23:$C$1022,"="&amp;C157)+1)/2</f>
        <v/>
      </c>
    </row>
    <row r="158">
      <c r="B158" s="27">
        <f>'1 Data'!B147</f>
        <v/>
      </c>
      <c r="C158" s="47" t="n">
        <v>0.26316452</v>
      </c>
      <c r="D158" s="27">
        <f>'1 Data'!I147</f>
        <v/>
      </c>
      <c r="E158" s="30">
        <f>COUNTIF($C$23:$C$1022,"&lt;"&amp;C158)+(COUNTIF($C$23:$C$1022,"="&amp;C158)+1)/2</f>
        <v/>
      </c>
    </row>
    <row r="159">
      <c r="B159" s="27">
        <f>'1 Data'!B148</f>
        <v/>
      </c>
      <c r="C159" s="47" t="n">
        <v>0.20625255</v>
      </c>
      <c r="D159" s="27">
        <f>'1 Data'!I148</f>
        <v/>
      </c>
      <c r="E159" s="30">
        <f>COUNTIF($C$23:$C$1022,"&lt;"&amp;C159)+(COUNTIF($C$23:$C$1022,"="&amp;C159)+1)/2</f>
        <v/>
      </c>
    </row>
    <row r="160">
      <c r="B160" s="27">
        <f>'1 Data'!B149</f>
        <v/>
      </c>
      <c r="C160" s="47" t="n">
        <v>0.061629795</v>
      </c>
      <c r="D160" s="27">
        <f>'1 Data'!I149</f>
        <v/>
      </c>
      <c r="E160" s="30">
        <f>COUNTIF($C$23:$C$1022,"&lt;"&amp;C160)+(COUNTIF($C$23:$C$1022,"="&amp;C160)+1)/2</f>
        <v/>
      </c>
    </row>
    <row r="161">
      <c r="B161" s="27">
        <f>'1 Data'!B150</f>
        <v/>
      </c>
      <c r="C161" s="47" t="n">
        <v>0.12574206</v>
      </c>
      <c r="D161" s="27">
        <f>'1 Data'!I150</f>
        <v/>
      </c>
      <c r="E161" s="30">
        <f>COUNTIF($C$23:$C$1022,"&lt;"&amp;C161)+(COUNTIF($C$23:$C$1022,"="&amp;C161)+1)/2</f>
        <v/>
      </c>
    </row>
    <row r="162">
      <c r="B162" s="27">
        <f>'1 Data'!B151</f>
        <v/>
      </c>
      <c r="C162" s="47" t="n">
        <v>0.19340773</v>
      </c>
      <c r="D162" s="27">
        <f>'1 Data'!I151</f>
        <v/>
      </c>
      <c r="E162" s="30">
        <f>COUNTIF($C$23:$C$1022,"&lt;"&amp;C162)+(COUNTIF($C$23:$C$1022,"="&amp;C162)+1)/2</f>
        <v/>
      </c>
    </row>
    <row r="163">
      <c r="B163" s="27">
        <f>'1 Data'!B152</f>
        <v/>
      </c>
      <c r="C163" s="47" t="n">
        <v>0.18087228</v>
      </c>
      <c r="D163" s="27">
        <f>'1 Data'!I152</f>
        <v/>
      </c>
      <c r="E163" s="30">
        <f>COUNTIF($C$23:$C$1022,"&lt;"&amp;C163)+(COUNTIF($C$23:$C$1022,"="&amp;C163)+1)/2</f>
        <v/>
      </c>
    </row>
    <row r="164">
      <c r="B164" s="27">
        <f>'1 Data'!B153</f>
        <v/>
      </c>
      <c r="C164" s="47" t="n">
        <v>0.101067476</v>
      </c>
      <c r="D164" s="27">
        <f>'1 Data'!I153</f>
        <v/>
      </c>
      <c r="E164" s="30">
        <f>COUNTIF($C$23:$C$1022,"&lt;"&amp;C164)+(COUNTIF($C$23:$C$1022,"="&amp;C164)+1)/2</f>
        <v/>
      </c>
    </row>
    <row r="165">
      <c r="B165" s="27">
        <f>'1 Data'!B154</f>
        <v/>
      </c>
      <c r="C165" s="47" t="n">
        <v>0.40770528</v>
      </c>
      <c r="D165" s="27">
        <f>'1 Data'!I154</f>
        <v/>
      </c>
      <c r="E165" s="30">
        <f>COUNTIF($C$23:$C$1022,"&lt;"&amp;C165)+(COUNTIF($C$23:$C$1022,"="&amp;C165)+1)/2</f>
        <v/>
      </c>
    </row>
    <row r="166">
      <c r="B166" s="27">
        <f>'1 Data'!B155</f>
        <v/>
      </c>
      <c r="C166" s="47" t="n">
        <v>0.40228748</v>
      </c>
      <c r="D166" s="27">
        <f>'1 Data'!I155</f>
        <v/>
      </c>
      <c r="E166" s="30">
        <f>COUNTIF($C$23:$C$1022,"&lt;"&amp;C166)+(COUNTIF($C$23:$C$1022,"="&amp;C166)+1)/2</f>
        <v/>
      </c>
    </row>
    <row r="167">
      <c r="B167" s="27">
        <f>'1 Data'!B156</f>
        <v/>
      </c>
      <c r="C167" s="47" t="n">
        <v>0.24396631</v>
      </c>
      <c r="D167" s="27">
        <f>'1 Data'!I156</f>
        <v/>
      </c>
      <c r="E167" s="30">
        <f>COUNTIF($C$23:$C$1022,"&lt;"&amp;C167)+(COUNTIF($C$23:$C$1022,"="&amp;C167)+1)/2</f>
        <v/>
      </c>
    </row>
    <row r="168">
      <c r="B168" s="27">
        <f>'1 Data'!B157</f>
        <v/>
      </c>
      <c r="C168" s="47" t="n">
        <v>0.13961451</v>
      </c>
      <c r="D168" s="27">
        <f>'1 Data'!I157</f>
        <v/>
      </c>
      <c r="E168" s="30">
        <f>COUNTIF($C$23:$C$1022,"&lt;"&amp;C168)+(COUNTIF($C$23:$C$1022,"="&amp;C168)+1)/2</f>
        <v/>
      </c>
    </row>
    <row r="169">
      <c r="B169" s="27">
        <f>'1 Data'!B158</f>
        <v/>
      </c>
      <c r="C169" s="47" t="n">
        <v>0.2525252</v>
      </c>
      <c r="D169" s="27">
        <f>'1 Data'!I158</f>
        <v/>
      </c>
      <c r="E169" s="30">
        <f>COUNTIF($C$23:$C$1022,"&lt;"&amp;C169)+(COUNTIF($C$23:$C$1022,"="&amp;C169)+1)/2</f>
        <v/>
      </c>
    </row>
    <row r="170">
      <c r="B170" s="27">
        <f>'1 Data'!B159</f>
        <v/>
      </c>
      <c r="C170" s="47" t="n">
        <v>0.26359105</v>
      </c>
      <c r="D170" s="27">
        <f>'1 Data'!I159</f>
        <v/>
      </c>
      <c r="E170" s="30">
        <f>COUNTIF($C$23:$C$1022,"&lt;"&amp;C170)+(COUNTIF($C$23:$C$1022,"="&amp;C170)+1)/2</f>
        <v/>
      </c>
    </row>
    <row r="171">
      <c r="B171" s="27">
        <f>'1 Data'!B160</f>
        <v/>
      </c>
      <c r="C171" s="47" t="n">
        <v>0.1570497</v>
      </c>
      <c r="D171" s="27">
        <f>'1 Data'!I160</f>
        <v/>
      </c>
      <c r="E171" s="30">
        <f>COUNTIF($C$23:$C$1022,"&lt;"&amp;C171)+(COUNTIF($C$23:$C$1022,"="&amp;C171)+1)/2</f>
        <v/>
      </c>
    </row>
    <row r="172">
      <c r="B172" s="27">
        <f>'1 Data'!B161</f>
        <v/>
      </c>
      <c r="C172" s="47" t="n">
        <v>0.09560328</v>
      </c>
      <c r="D172" s="27">
        <f>'1 Data'!I161</f>
        <v/>
      </c>
      <c r="E172" s="30">
        <f>COUNTIF($C$23:$C$1022,"&lt;"&amp;C172)+(COUNTIF($C$23:$C$1022,"="&amp;C172)+1)/2</f>
        <v/>
      </c>
    </row>
    <row r="173">
      <c r="B173" s="27">
        <f>'1 Data'!B162</f>
        <v/>
      </c>
      <c r="C173" s="47" t="n">
        <v>0.22351466</v>
      </c>
      <c r="D173" s="27">
        <f>'1 Data'!I162</f>
        <v/>
      </c>
      <c r="E173" s="30">
        <f>COUNTIF($C$23:$C$1022,"&lt;"&amp;C173)+(COUNTIF($C$23:$C$1022,"="&amp;C173)+1)/2</f>
        <v/>
      </c>
    </row>
    <row r="174">
      <c r="B174" s="27">
        <f>'1 Data'!B163</f>
        <v/>
      </c>
      <c r="C174" s="47" t="n">
        <v>0.7970908</v>
      </c>
      <c r="D174" s="27">
        <f>'1 Data'!I163</f>
        <v/>
      </c>
      <c r="E174" s="30">
        <f>COUNTIF($C$23:$C$1022,"&lt;"&amp;C174)+(COUNTIF($C$23:$C$1022,"="&amp;C174)+1)/2</f>
        <v/>
      </c>
    </row>
    <row r="175">
      <c r="B175" s="27">
        <f>'1 Data'!B164</f>
        <v/>
      </c>
      <c r="C175" s="47" t="n">
        <v>0.6595497</v>
      </c>
      <c r="D175" s="27">
        <f>'1 Data'!I164</f>
        <v/>
      </c>
      <c r="E175" s="30">
        <f>COUNTIF($C$23:$C$1022,"&lt;"&amp;C175)+(COUNTIF($C$23:$C$1022,"="&amp;C175)+1)/2</f>
        <v/>
      </c>
    </row>
    <row r="176">
      <c r="B176" s="27">
        <f>'1 Data'!B165</f>
        <v/>
      </c>
      <c r="C176" s="47" t="n">
        <v>0.033558354</v>
      </c>
      <c r="D176" s="27">
        <f>'1 Data'!I165</f>
        <v/>
      </c>
      <c r="E176" s="30">
        <f>COUNTIF($C$23:$C$1022,"&lt;"&amp;C176)+(COUNTIF($C$23:$C$1022,"="&amp;C176)+1)/2</f>
        <v/>
      </c>
    </row>
    <row r="177">
      <c r="B177" s="27">
        <f>'1 Data'!B166</f>
        <v/>
      </c>
      <c r="C177" s="47" t="n">
        <v>0.2896739</v>
      </c>
      <c r="D177" s="27">
        <f>'1 Data'!I166</f>
        <v/>
      </c>
      <c r="E177" s="30">
        <f>COUNTIF($C$23:$C$1022,"&lt;"&amp;C177)+(COUNTIF($C$23:$C$1022,"="&amp;C177)+1)/2</f>
        <v/>
      </c>
    </row>
    <row r="178">
      <c r="B178" s="27">
        <f>'1 Data'!B167</f>
        <v/>
      </c>
      <c r="C178" s="47" t="n">
        <v>0.20500484</v>
      </c>
      <c r="D178" s="27">
        <f>'1 Data'!I167</f>
        <v/>
      </c>
      <c r="E178" s="30">
        <f>COUNTIF($C$23:$C$1022,"&lt;"&amp;C178)+(COUNTIF($C$23:$C$1022,"="&amp;C178)+1)/2</f>
        <v/>
      </c>
    </row>
    <row r="179">
      <c r="B179" s="27">
        <f>'1 Data'!B168</f>
        <v/>
      </c>
      <c r="C179" s="47" t="n">
        <v>0.18144232</v>
      </c>
      <c r="D179" s="27">
        <f>'1 Data'!I168</f>
        <v/>
      </c>
      <c r="E179" s="30">
        <f>COUNTIF($C$23:$C$1022,"&lt;"&amp;C179)+(COUNTIF($C$23:$C$1022,"="&amp;C179)+1)/2</f>
        <v/>
      </c>
    </row>
    <row r="180">
      <c r="B180" s="27">
        <f>'1 Data'!B169</f>
        <v/>
      </c>
      <c r="C180" s="47" t="n">
        <v>0.18518957</v>
      </c>
      <c r="D180" s="27">
        <f>'1 Data'!I169</f>
        <v/>
      </c>
      <c r="E180" s="30">
        <f>COUNTIF($C$23:$C$1022,"&lt;"&amp;C180)+(COUNTIF($C$23:$C$1022,"="&amp;C180)+1)/2</f>
        <v/>
      </c>
    </row>
    <row r="181">
      <c r="B181" s="27">
        <f>'1 Data'!B170</f>
        <v/>
      </c>
      <c r="C181" s="47" t="n">
        <v>0.09887785</v>
      </c>
      <c r="D181" s="27">
        <f>'1 Data'!I170</f>
        <v/>
      </c>
      <c r="E181" s="30">
        <f>COUNTIF($C$23:$C$1022,"&lt;"&amp;C181)+(COUNTIF($C$23:$C$1022,"="&amp;C181)+1)/2</f>
        <v/>
      </c>
    </row>
    <row r="182">
      <c r="B182" s="27">
        <f>'1 Data'!B171</f>
        <v/>
      </c>
      <c r="C182" s="47" t="n">
        <v>0.14852196</v>
      </c>
      <c r="D182" s="27">
        <f>'1 Data'!I171</f>
        <v/>
      </c>
      <c r="E182" s="30">
        <f>COUNTIF($C$23:$C$1022,"&lt;"&amp;C182)+(COUNTIF($C$23:$C$1022,"="&amp;C182)+1)/2</f>
        <v/>
      </c>
    </row>
    <row r="183">
      <c r="B183" s="27">
        <f>'1 Data'!B172</f>
        <v/>
      </c>
      <c r="C183" s="47" t="n">
        <v>0.10560654</v>
      </c>
      <c r="D183" s="27">
        <f>'1 Data'!I172</f>
        <v/>
      </c>
      <c r="E183" s="30">
        <f>COUNTIF($C$23:$C$1022,"&lt;"&amp;C183)+(COUNTIF($C$23:$C$1022,"="&amp;C183)+1)/2</f>
        <v/>
      </c>
    </row>
    <row r="184">
      <c r="B184" s="27">
        <f>'1 Data'!B173</f>
        <v/>
      </c>
      <c r="C184" s="47" t="n">
        <v>0.122225076</v>
      </c>
      <c r="D184" s="27">
        <f>'1 Data'!I173</f>
        <v/>
      </c>
      <c r="E184" s="30">
        <f>COUNTIF($C$23:$C$1022,"&lt;"&amp;C184)+(COUNTIF($C$23:$C$1022,"="&amp;C184)+1)/2</f>
        <v/>
      </c>
    </row>
    <row r="185">
      <c r="B185" s="27">
        <f>'1 Data'!B174</f>
        <v/>
      </c>
      <c r="C185" s="47" t="n">
        <v>0.17251964</v>
      </c>
      <c r="D185" s="27">
        <f>'1 Data'!I174</f>
        <v/>
      </c>
      <c r="E185" s="30">
        <f>COUNTIF($C$23:$C$1022,"&lt;"&amp;C185)+(COUNTIF($C$23:$C$1022,"="&amp;C185)+1)/2</f>
        <v/>
      </c>
    </row>
    <row r="186">
      <c r="B186" s="27">
        <f>'1 Data'!B175</f>
        <v/>
      </c>
      <c r="C186" s="47" t="n">
        <v>0.6464838000000001</v>
      </c>
      <c r="D186" s="27">
        <f>'1 Data'!I175</f>
        <v/>
      </c>
      <c r="E186" s="30">
        <f>COUNTIF($C$23:$C$1022,"&lt;"&amp;C186)+(COUNTIF($C$23:$C$1022,"="&amp;C186)+1)/2</f>
        <v/>
      </c>
    </row>
    <row r="187">
      <c r="B187" s="27">
        <f>'1 Data'!B176</f>
        <v/>
      </c>
      <c r="C187" s="47" t="n">
        <v>0.18094191</v>
      </c>
      <c r="D187" s="27">
        <f>'1 Data'!I176</f>
        <v/>
      </c>
      <c r="E187" s="30">
        <f>COUNTIF($C$23:$C$1022,"&lt;"&amp;C187)+(COUNTIF($C$23:$C$1022,"="&amp;C187)+1)/2</f>
        <v/>
      </c>
    </row>
    <row r="188">
      <c r="B188" s="27">
        <f>'1 Data'!B177</f>
        <v/>
      </c>
      <c r="C188" s="47" t="n">
        <v>0.246235</v>
      </c>
      <c r="D188" s="27">
        <f>'1 Data'!I177</f>
        <v/>
      </c>
      <c r="E188" s="30">
        <f>COUNTIF($C$23:$C$1022,"&lt;"&amp;C188)+(COUNTIF($C$23:$C$1022,"="&amp;C188)+1)/2</f>
        <v/>
      </c>
    </row>
    <row r="189">
      <c r="B189" s="27">
        <f>'1 Data'!B178</f>
        <v/>
      </c>
      <c r="C189" s="47" t="n">
        <v>0.17450723</v>
      </c>
      <c r="D189" s="27">
        <f>'1 Data'!I178</f>
        <v/>
      </c>
      <c r="E189" s="30">
        <f>COUNTIF($C$23:$C$1022,"&lt;"&amp;C189)+(COUNTIF($C$23:$C$1022,"="&amp;C189)+1)/2</f>
        <v/>
      </c>
    </row>
    <row r="190">
      <c r="B190" s="27">
        <f>'1 Data'!B179</f>
        <v/>
      </c>
      <c r="C190" s="47" t="n">
        <v>0.13035606</v>
      </c>
      <c r="D190" s="27">
        <f>'1 Data'!I179</f>
        <v/>
      </c>
      <c r="E190" s="30">
        <f>COUNTIF($C$23:$C$1022,"&lt;"&amp;C190)+(COUNTIF($C$23:$C$1022,"="&amp;C190)+1)/2</f>
        <v/>
      </c>
    </row>
    <row r="191">
      <c r="B191" s="27">
        <f>'1 Data'!B180</f>
        <v/>
      </c>
      <c r="C191" s="47" t="n">
        <v>0.78771925</v>
      </c>
      <c r="D191" s="27">
        <f>'1 Data'!I180</f>
        <v/>
      </c>
      <c r="E191" s="30">
        <f>COUNTIF($C$23:$C$1022,"&lt;"&amp;C191)+(COUNTIF($C$23:$C$1022,"="&amp;C191)+1)/2</f>
        <v/>
      </c>
    </row>
    <row r="192">
      <c r="B192" s="27">
        <f>'1 Data'!B181</f>
        <v/>
      </c>
      <c r="C192" s="47" t="n">
        <v>0.12351362</v>
      </c>
      <c r="D192" s="27">
        <f>'1 Data'!I181</f>
        <v/>
      </c>
      <c r="E192" s="30">
        <f>COUNTIF($C$23:$C$1022,"&lt;"&amp;C192)+(COUNTIF($C$23:$C$1022,"="&amp;C192)+1)/2</f>
        <v/>
      </c>
    </row>
    <row r="193">
      <c r="B193" s="27">
        <f>'1 Data'!B182</f>
        <v/>
      </c>
      <c r="C193" s="47" t="n">
        <v>0.26903507</v>
      </c>
      <c r="D193" s="27">
        <f>'1 Data'!I182</f>
        <v/>
      </c>
      <c r="E193" s="30">
        <f>COUNTIF($C$23:$C$1022,"&lt;"&amp;C193)+(COUNTIF($C$23:$C$1022,"="&amp;C193)+1)/2</f>
        <v/>
      </c>
    </row>
    <row r="194">
      <c r="B194" s="27">
        <f>'1 Data'!B183</f>
        <v/>
      </c>
      <c r="C194" s="47" t="n">
        <v>0.46350744</v>
      </c>
      <c r="D194" s="27">
        <f>'1 Data'!I183</f>
        <v/>
      </c>
      <c r="E194" s="30">
        <f>COUNTIF($C$23:$C$1022,"&lt;"&amp;C194)+(COUNTIF($C$23:$C$1022,"="&amp;C194)+1)/2</f>
        <v/>
      </c>
    </row>
    <row r="195">
      <c r="B195" s="27">
        <f>'1 Data'!B184</f>
        <v/>
      </c>
      <c r="C195" s="47" t="n">
        <v>0.08399334999999999</v>
      </c>
      <c r="D195" s="27">
        <f>'1 Data'!I184</f>
        <v/>
      </c>
      <c r="E195" s="30">
        <f>COUNTIF($C$23:$C$1022,"&lt;"&amp;C195)+(COUNTIF($C$23:$C$1022,"="&amp;C195)+1)/2</f>
        <v/>
      </c>
    </row>
    <row r="196">
      <c r="B196" s="27">
        <f>'1 Data'!B185</f>
        <v/>
      </c>
      <c r="C196" s="47" t="n">
        <v>0.15996008</v>
      </c>
      <c r="D196" s="27">
        <f>'1 Data'!I185</f>
        <v/>
      </c>
      <c r="E196" s="30">
        <f>COUNTIF($C$23:$C$1022,"&lt;"&amp;C196)+(COUNTIF($C$23:$C$1022,"="&amp;C196)+1)/2</f>
        <v/>
      </c>
    </row>
    <row r="197">
      <c r="B197" s="27">
        <f>'1 Data'!B186</f>
        <v/>
      </c>
      <c r="C197" s="47" t="n">
        <v>0.07914425</v>
      </c>
      <c r="D197" s="27">
        <f>'1 Data'!I186</f>
        <v/>
      </c>
      <c r="E197" s="30">
        <f>COUNTIF($C$23:$C$1022,"&lt;"&amp;C197)+(COUNTIF($C$23:$C$1022,"="&amp;C197)+1)/2</f>
        <v/>
      </c>
    </row>
    <row r="198">
      <c r="B198" s="27">
        <f>'1 Data'!B187</f>
        <v/>
      </c>
      <c r="C198" s="47" t="n">
        <v>0.15775266</v>
      </c>
      <c r="D198" s="27">
        <f>'1 Data'!I187</f>
        <v/>
      </c>
      <c r="E198" s="30">
        <f>COUNTIF($C$23:$C$1022,"&lt;"&amp;C198)+(COUNTIF($C$23:$C$1022,"="&amp;C198)+1)/2</f>
        <v/>
      </c>
    </row>
    <row r="199">
      <c r="B199" s="27">
        <f>'1 Data'!B188</f>
        <v/>
      </c>
      <c r="C199" s="47" t="n">
        <v>0.15052055</v>
      </c>
      <c r="D199" s="27">
        <f>'1 Data'!I188</f>
        <v/>
      </c>
      <c r="E199" s="30">
        <f>COUNTIF($C$23:$C$1022,"&lt;"&amp;C199)+(COUNTIF($C$23:$C$1022,"="&amp;C199)+1)/2</f>
        <v/>
      </c>
    </row>
    <row r="200">
      <c r="B200" s="27">
        <f>'1 Data'!B189</f>
        <v/>
      </c>
      <c r="C200" s="47" t="n">
        <v>0.040294938</v>
      </c>
      <c r="D200" s="27">
        <f>'1 Data'!I189</f>
        <v/>
      </c>
      <c r="E200" s="30">
        <f>COUNTIF($C$23:$C$1022,"&lt;"&amp;C200)+(COUNTIF($C$23:$C$1022,"="&amp;C200)+1)/2</f>
        <v/>
      </c>
    </row>
    <row r="201">
      <c r="B201" s="27">
        <f>'1 Data'!B190</f>
        <v/>
      </c>
      <c r="C201" s="47" t="n">
        <v>0.24373613</v>
      </c>
      <c r="D201" s="27">
        <f>'1 Data'!I190</f>
        <v/>
      </c>
      <c r="E201" s="30">
        <f>COUNTIF($C$23:$C$1022,"&lt;"&amp;C201)+(COUNTIF($C$23:$C$1022,"="&amp;C201)+1)/2</f>
        <v/>
      </c>
    </row>
    <row r="202">
      <c r="B202" s="27">
        <f>'1 Data'!B191</f>
        <v/>
      </c>
      <c r="C202" s="47" t="n">
        <v>0.09005782</v>
      </c>
      <c r="D202" s="27">
        <f>'1 Data'!I191</f>
        <v/>
      </c>
      <c r="E202" s="30">
        <f>COUNTIF($C$23:$C$1022,"&lt;"&amp;C202)+(COUNTIF($C$23:$C$1022,"="&amp;C202)+1)/2</f>
        <v/>
      </c>
    </row>
    <row r="203">
      <c r="B203" s="27">
        <f>'1 Data'!B192</f>
        <v/>
      </c>
      <c r="C203" s="47" t="n">
        <v>0.16126654</v>
      </c>
      <c r="D203" s="27">
        <f>'1 Data'!I192</f>
        <v/>
      </c>
      <c r="E203" s="30">
        <f>COUNTIF($C$23:$C$1022,"&lt;"&amp;C203)+(COUNTIF($C$23:$C$1022,"="&amp;C203)+1)/2</f>
        <v/>
      </c>
    </row>
    <row r="204">
      <c r="B204" s="27">
        <f>'1 Data'!B193</f>
        <v/>
      </c>
      <c r="C204" s="47" t="n">
        <v>0.033407472</v>
      </c>
      <c r="D204" s="27">
        <f>'1 Data'!I193</f>
        <v/>
      </c>
      <c r="E204" s="30">
        <f>COUNTIF($C$23:$C$1022,"&lt;"&amp;C204)+(COUNTIF($C$23:$C$1022,"="&amp;C204)+1)/2</f>
        <v/>
      </c>
    </row>
    <row r="205">
      <c r="B205" s="27">
        <f>'1 Data'!B194</f>
        <v/>
      </c>
      <c r="C205" s="47" t="n">
        <v>0.2471232</v>
      </c>
      <c r="D205" s="27">
        <f>'1 Data'!I194</f>
        <v/>
      </c>
      <c r="E205" s="30">
        <f>COUNTIF($C$23:$C$1022,"&lt;"&amp;C205)+(COUNTIF($C$23:$C$1022,"="&amp;C205)+1)/2</f>
        <v/>
      </c>
    </row>
    <row r="206">
      <c r="B206" s="27">
        <f>'1 Data'!B195</f>
        <v/>
      </c>
      <c r="C206" s="47" t="n">
        <v>0.17157435</v>
      </c>
      <c r="D206" s="27">
        <f>'1 Data'!I195</f>
        <v/>
      </c>
      <c r="E206" s="30">
        <f>COUNTIF($C$23:$C$1022,"&lt;"&amp;C206)+(COUNTIF($C$23:$C$1022,"="&amp;C206)+1)/2</f>
        <v/>
      </c>
    </row>
    <row r="207">
      <c r="B207" s="27">
        <f>'1 Data'!B196</f>
        <v/>
      </c>
      <c r="C207" s="47" t="n">
        <v>0.78327864</v>
      </c>
      <c r="D207" s="27">
        <f>'1 Data'!I196</f>
        <v/>
      </c>
      <c r="E207" s="30">
        <f>COUNTIF($C$23:$C$1022,"&lt;"&amp;C207)+(COUNTIF($C$23:$C$1022,"="&amp;C207)+1)/2</f>
        <v/>
      </c>
    </row>
    <row r="208">
      <c r="B208" s="27">
        <f>'1 Data'!B197</f>
        <v/>
      </c>
      <c r="C208" s="47" t="n">
        <v>0.20091048</v>
      </c>
      <c r="D208" s="27">
        <f>'1 Data'!I197</f>
        <v/>
      </c>
      <c r="E208" s="30">
        <f>COUNTIF($C$23:$C$1022,"&lt;"&amp;C208)+(COUNTIF($C$23:$C$1022,"="&amp;C208)+1)/2</f>
        <v/>
      </c>
    </row>
    <row r="209">
      <c r="B209" s="27">
        <f>'1 Data'!B198</f>
        <v/>
      </c>
      <c r="C209" s="47" t="n">
        <v>0.14697286</v>
      </c>
      <c r="D209" s="27">
        <f>'1 Data'!I198</f>
        <v/>
      </c>
      <c r="E209" s="30">
        <f>COUNTIF($C$23:$C$1022,"&lt;"&amp;C209)+(COUNTIF($C$23:$C$1022,"="&amp;C209)+1)/2</f>
        <v/>
      </c>
    </row>
    <row r="210">
      <c r="B210" s="27">
        <f>'1 Data'!B199</f>
        <v/>
      </c>
      <c r="C210" s="47" t="n">
        <v>0.71531403</v>
      </c>
      <c r="D210" s="27">
        <f>'1 Data'!I199</f>
        <v/>
      </c>
      <c r="E210" s="30">
        <f>COUNTIF($C$23:$C$1022,"&lt;"&amp;C210)+(COUNTIF($C$23:$C$1022,"="&amp;C210)+1)/2</f>
        <v/>
      </c>
    </row>
    <row r="211">
      <c r="B211" s="27">
        <f>'1 Data'!B200</f>
        <v/>
      </c>
      <c r="C211" s="47" t="n">
        <v>0.1518975</v>
      </c>
      <c r="D211" s="27">
        <f>'1 Data'!I200</f>
        <v/>
      </c>
      <c r="E211" s="30">
        <f>COUNTIF($C$23:$C$1022,"&lt;"&amp;C211)+(COUNTIF($C$23:$C$1022,"="&amp;C211)+1)/2</f>
        <v/>
      </c>
    </row>
    <row r="212">
      <c r="B212" s="27">
        <f>'1 Data'!B201</f>
        <v/>
      </c>
      <c r="C212" s="47" t="n">
        <v>0.18588896</v>
      </c>
      <c r="D212" s="27">
        <f>'1 Data'!I201</f>
        <v/>
      </c>
      <c r="E212" s="30">
        <f>COUNTIF($C$23:$C$1022,"&lt;"&amp;C212)+(COUNTIF($C$23:$C$1022,"="&amp;C212)+1)/2</f>
        <v/>
      </c>
    </row>
    <row r="213">
      <c r="B213" s="27">
        <f>'1 Data'!B202</f>
        <v/>
      </c>
      <c r="C213" s="47" t="n">
        <v>0.13911988</v>
      </c>
      <c r="D213" s="27">
        <f>'1 Data'!I202</f>
        <v/>
      </c>
      <c r="E213" s="30">
        <f>COUNTIF($C$23:$C$1022,"&lt;"&amp;C213)+(COUNTIF($C$23:$C$1022,"="&amp;C213)+1)/2</f>
        <v/>
      </c>
    </row>
    <row r="214">
      <c r="B214" s="27">
        <f>'1 Data'!B203</f>
        <v/>
      </c>
      <c r="C214" s="47" t="n">
        <v>0.08223339</v>
      </c>
      <c r="D214" s="27">
        <f>'1 Data'!I203</f>
        <v/>
      </c>
      <c r="E214" s="30">
        <f>COUNTIF($C$23:$C$1022,"&lt;"&amp;C214)+(COUNTIF($C$23:$C$1022,"="&amp;C214)+1)/2</f>
        <v/>
      </c>
    </row>
    <row r="215">
      <c r="B215" s="27">
        <f>'1 Data'!B204</f>
        <v/>
      </c>
      <c r="C215" s="47" t="n">
        <v>0.1445533</v>
      </c>
      <c r="D215" s="27">
        <f>'1 Data'!I204</f>
        <v/>
      </c>
      <c r="E215" s="30">
        <f>COUNTIF($C$23:$C$1022,"&lt;"&amp;C215)+(COUNTIF($C$23:$C$1022,"="&amp;C215)+1)/2</f>
        <v/>
      </c>
    </row>
    <row r="216">
      <c r="B216" s="27">
        <f>'1 Data'!B205</f>
        <v/>
      </c>
      <c r="C216" s="47" t="n">
        <v>0.21409538</v>
      </c>
      <c r="D216" s="27">
        <f>'1 Data'!I205</f>
        <v/>
      </c>
      <c r="E216" s="30">
        <f>COUNTIF($C$23:$C$1022,"&lt;"&amp;C216)+(COUNTIF($C$23:$C$1022,"="&amp;C216)+1)/2</f>
        <v/>
      </c>
    </row>
    <row r="217">
      <c r="B217" s="27">
        <f>'1 Data'!B206</f>
        <v/>
      </c>
      <c r="C217" s="47" t="n">
        <v>0.119721584</v>
      </c>
      <c r="D217" s="27">
        <f>'1 Data'!I206</f>
        <v/>
      </c>
      <c r="E217" s="30">
        <f>COUNTIF($C$23:$C$1022,"&lt;"&amp;C217)+(COUNTIF($C$23:$C$1022,"="&amp;C217)+1)/2</f>
        <v/>
      </c>
    </row>
    <row r="218">
      <c r="B218" s="27">
        <f>'1 Data'!B207</f>
        <v/>
      </c>
      <c r="C218" s="47" t="n">
        <v>0.10277447</v>
      </c>
      <c r="D218" s="27">
        <f>'1 Data'!I207</f>
        <v/>
      </c>
      <c r="E218" s="30">
        <f>COUNTIF($C$23:$C$1022,"&lt;"&amp;C218)+(COUNTIF($C$23:$C$1022,"="&amp;C218)+1)/2</f>
        <v/>
      </c>
    </row>
    <row r="219">
      <c r="B219" s="27">
        <f>'1 Data'!B208</f>
        <v/>
      </c>
      <c r="C219" s="47" t="n">
        <v>0.12887767</v>
      </c>
      <c r="D219" s="27">
        <f>'1 Data'!I208</f>
        <v/>
      </c>
      <c r="E219" s="30">
        <f>COUNTIF($C$23:$C$1022,"&lt;"&amp;C219)+(COUNTIF($C$23:$C$1022,"="&amp;C219)+1)/2</f>
        <v/>
      </c>
    </row>
    <row r="220">
      <c r="B220" s="27">
        <f>'1 Data'!B209</f>
        <v/>
      </c>
      <c r="C220" s="47" t="n">
        <v>0.11415774</v>
      </c>
      <c r="D220" s="27">
        <f>'1 Data'!I209</f>
        <v/>
      </c>
      <c r="E220" s="30">
        <f>COUNTIF($C$23:$C$1022,"&lt;"&amp;C220)+(COUNTIF($C$23:$C$1022,"="&amp;C220)+1)/2</f>
        <v/>
      </c>
    </row>
    <row r="221">
      <c r="B221" s="27">
        <f>'1 Data'!B210</f>
        <v/>
      </c>
      <c r="C221" s="47" t="n">
        <v>0.14899446</v>
      </c>
      <c r="D221" s="27">
        <f>'1 Data'!I210</f>
        <v/>
      </c>
      <c r="E221" s="30">
        <f>COUNTIF($C$23:$C$1022,"&lt;"&amp;C221)+(COUNTIF($C$23:$C$1022,"="&amp;C221)+1)/2</f>
        <v/>
      </c>
    </row>
    <row r="222">
      <c r="B222" s="27">
        <f>'1 Data'!B211</f>
        <v/>
      </c>
      <c r="C222" s="47" t="n">
        <v>0.14862137</v>
      </c>
      <c r="D222" s="27">
        <f>'1 Data'!I211</f>
        <v/>
      </c>
      <c r="E222" s="30">
        <f>COUNTIF($C$23:$C$1022,"&lt;"&amp;C222)+(COUNTIF($C$23:$C$1022,"="&amp;C222)+1)/2</f>
        <v/>
      </c>
    </row>
    <row r="223">
      <c r="B223" s="27">
        <f>'1 Data'!B212</f>
        <v/>
      </c>
      <c r="C223" s="47" t="n">
        <v>0.03379356</v>
      </c>
      <c r="D223" s="27">
        <f>'1 Data'!I212</f>
        <v/>
      </c>
      <c r="E223" s="30">
        <f>COUNTIF($C$23:$C$1022,"&lt;"&amp;C223)+(COUNTIF($C$23:$C$1022,"="&amp;C223)+1)/2</f>
        <v/>
      </c>
    </row>
    <row r="224">
      <c r="B224" s="27">
        <f>'1 Data'!B213</f>
        <v/>
      </c>
      <c r="C224" s="47" t="n">
        <v>0.07709317</v>
      </c>
      <c r="D224" s="27">
        <f>'1 Data'!I213</f>
        <v/>
      </c>
      <c r="E224" s="30">
        <f>COUNTIF($C$23:$C$1022,"&lt;"&amp;C224)+(COUNTIF($C$23:$C$1022,"="&amp;C224)+1)/2</f>
        <v/>
      </c>
    </row>
    <row r="225">
      <c r="B225" s="27">
        <f>'1 Data'!B214</f>
        <v/>
      </c>
      <c r="C225" s="47" t="n">
        <v>0.7298011</v>
      </c>
      <c r="D225" s="27">
        <f>'1 Data'!I214</f>
        <v/>
      </c>
      <c r="E225" s="30">
        <f>COUNTIF($C$23:$C$1022,"&lt;"&amp;C225)+(COUNTIF($C$23:$C$1022,"="&amp;C225)+1)/2</f>
        <v/>
      </c>
    </row>
    <row r="226">
      <c r="B226" s="27">
        <f>'1 Data'!B215</f>
        <v/>
      </c>
      <c r="C226" s="47" t="n">
        <v>0.14775239</v>
      </c>
      <c r="D226" s="27">
        <f>'1 Data'!I215</f>
        <v/>
      </c>
      <c r="E226" s="30">
        <f>COUNTIF($C$23:$C$1022,"&lt;"&amp;C226)+(COUNTIF($C$23:$C$1022,"="&amp;C226)+1)/2</f>
        <v/>
      </c>
    </row>
    <row r="227">
      <c r="B227" s="27">
        <f>'1 Data'!B216</f>
        <v/>
      </c>
      <c r="C227" s="47" t="n">
        <v>0.22175068</v>
      </c>
      <c r="D227" s="27">
        <f>'1 Data'!I216</f>
        <v/>
      </c>
      <c r="E227" s="30">
        <f>COUNTIF($C$23:$C$1022,"&lt;"&amp;C227)+(COUNTIF($C$23:$C$1022,"="&amp;C227)+1)/2</f>
        <v/>
      </c>
    </row>
    <row r="228">
      <c r="B228" s="27">
        <f>'1 Data'!B217</f>
        <v/>
      </c>
      <c r="C228" s="47" t="n">
        <v>0.19547875</v>
      </c>
      <c r="D228" s="27">
        <f>'1 Data'!I217</f>
        <v/>
      </c>
      <c r="E228" s="30">
        <f>COUNTIF($C$23:$C$1022,"&lt;"&amp;C228)+(COUNTIF($C$23:$C$1022,"="&amp;C228)+1)/2</f>
        <v/>
      </c>
    </row>
    <row r="229">
      <c r="B229" s="27">
        <f>'1 Data'!B218</f>
        <v/>
      </c>
      <c r="C229" s="47" t="n">
        <v>0.18810596</v>
      </c>
      <c r="D229" s="27">
        <f>'1 Data'!I218</f>
        <v/>
      </c>
      <c r="E229" s="30">
        <f>COUNTIF($C$23:$C$1022,"&lt;"&amp;C229)+(COUNTIF($C$23:$C$1022,"="&amp;C229)+1)/2</f>
        <v/>
      </c>
    </row>
    <row r="230">
      <c r="B230" s="27">
        <f>'1 Data'!B219</f>
        <v/>
      </c>
      <c r="C230" s="47" t="n">
        <v>0.061336678</v>
      </c>
      <c r="D230" s="27">
        <f>'1 Data'!I219</f>
        <v/>
      </c>
      <c r="E230" s="30">
        <f>COUNTIF($C$23:$C$1022,"&lt;"&amp;C230)+(COUNTIF($C$23:$C$1022,"="&amp;C230)+1)/2</f>
        <v/>
      </c>
    </row>
    <row r="231">
      <c r="B231" s="27">
        <f>'1 Data'!B220</f>
        <v/>
      </c>
      <c r="C231" s="47" t="n">
        <v>0.72566503</v>
      </c>
      <c r="D231" s="27">
        <f>'1 Data'!I220</f>
        <v/>
      </c>
      <c r="E231" s="30">
        <f>COUNTIF($C$23:$C$1022,"&lt;"&amp;C231)+(COUNTIF($C$23:$C$1022,"="&amp;C231)+1)/2</f>
        <v/>
      </c>
    </row>
    <row r="232">
      <c r="B232" s="27">
        <f>'1 Data'!B221</f>
        <v/>
      </c>
      <c r="C232" s="47" t="n">
        <v>0.18462132</v>
      </c>
      <c r="D232" s="27">
        <f>'1 Data'!I221</f>
        <v/>
      </c>
      <c r="E232" s="30">
        <f>COUNTIF($C$23:$C$1022,"&lt;"&amp;C232)+(COUNTIF($C$23:$C$1022,"="&amp;C232)+1)/2</f>
        <v/>
      </c>
    </row>
    <row r="233">
      <c r="B233" s="27">
        <f>'1 Data'!B222</f>
        <v/>
      </c>
      <c r="C233" s="47" t="n">
        <v>0.78122383</v>
      </c>
      <c r="D233" s="27">
        <f>'1 Data'!I222</f>
        <v/>
      </c>
      <c r="E233" s="30">
        <f>COUNTIF($C$23:$C$1022,"&lt;"&amp;C233)+(COUNTIF($C$23:$C$1022,"="&amp;C233)+1)/2</f>
        <v/>
      </c>
    </row>
    <row r="234">
      <c r="B234" s="27">
        <f>'1 Data'!B223</f>
        <v/>
      </c>
      <c r="C234" s="47" t="n">
        <v>0.24453694</v>
      </c>
      <c r="D234" s="27">
        <f>'1 Data'!I223</f>
        <v/>
      </c>
      <c r="E234" s="30">
        <f>COUNTIF($C$23:$C$1022,"&lt;"&amp;C234)+(COUNTIF($C$23:$C$1022,"="&amp;C234)+1)/2</f>
        <v/>
      </c>
    </row>
    <row r="235">
      <c r="B235" s="27">
        <f>'1 Data'!B224</f>
        <v/>
      </c>
      <c r="C235" s="47" t="n">
        <v>0.049596146</v>
      </c>
      <c r="D235" s="27">
        <f>'1 Data'!I224</f>
        <v/>
      </c>
      <c r="E235" s="30">
        <f>COUNTIF($C$23:$C$1022,"&lt;"&amp;C235)+(COUNTIF($C$23:$C$1022,"="&amp;C235)+1)/2</f>
        <v/>
      </c>
    </row>
    <row r="236">
      <c r="B236" s="27">
        <f>'1 Data'!B225</f>
        <v/>
      </c>
      <c r="C236" s="47" t="n">
        <v>0.099839054</v>
      </c>
      <c r="D236" s="27">
        <f>'1 Data'!I225</f>
        <v/>
      </c>
      <c r="E236" s="30">
        <f>COUNTIF($C$23:$C$1022,"&lt;"&amp;C236)+(COUNTIF($C$23:$C$1022,"="&amp;C236)+1)/2</f>
        <v/>
      </c>
    </row>
    <row r="237">
      <c r="B237" s="27">
        <f>'1 Data'!B226</f>
        <v/>
      </c>
      <c r="C237" s="47" t="n">
        <v>0.036976542</v>
      </c>
      <c r="D237" s="27">
        <f>'1 Data'!I226</f>
        <v/>
      </c>
      <c r="E237" s="30">
        <f>COUNTIF($C$23:$C$1022,"&lt;"&amp;C237)+(COUNTIF($C$23:$C$1022,"="&amp;C237)+1)/2</f>
        <v/>
      </c>
    </row>
    <row r="238">
      <c r="B238" s="27">
        <f>'1 Data'!B227</f>
        <v/>
      </c>
      <c r="C238" s="47" t="n">
        <v>0.14725205</v>
      </c>
      <c r="D238" s="27">
        <f>'1 Data'!I227</f>
        <v/>
      </c>
      <c r="E238" s="30">
        <f>COUNTIF($C$23:$C$1022,"&lt;"&amp;C238)+(COUNTIF($C$23:$C$1022,"="&amp;C238)+1)/2</f>
        <v/>
      </c>
    </row>
    <row r="239">
      <c r="B239" s="27">
        <f>'1 Data'!B228</f>
        <v/>
      </c>
      <c r="C239" s="47" t="n">
        <v>0.13035432</v>
      </c>
      <c r="D239" s="27">
        <f>'1 Data'!I228</f>
        <v/>
      </c>
      <c r="E239" s="30">
        <f>COUNTIF($C$23:$C$1022,"&lt;"&amp;C239)+(COUNTIF($C$23:$C$1022,"="&amp;C239)+1)/2</f>
        <v/>
      </c>
    </row>
    <row r="240">
      <c r="B240" s="27">
        <f>'1 Data'!B229</f>
        <v/>
      </c>
      <c r="C240" s="47" t="n">
        <v>0.176512</v>
      </c>
      <c r="D240" s="27">
        <f>'1 Data'!I229</f>
        <v/>
      </c>
      <c r="E240" s="30">
        <f>COUNTIF($C$23:$C$1022,"&lt;"&amp;C240)+(COUNTIF($C$23:$C$1022,"="&amp;C240)+1)/2</f>
        <v/>
      </c>
    </row>
    <row r="241">
      <c r="B241" s="27">
        <f>'1 Data'!B230</f>
        <v/>
      </c>
      <c r="C241" s="47" t="n">
        <v>0.20921484</v>
      </c>
      <c r="D241" s="27">
        <f>'1 Data'!I230</f>
        <v/>
      </c>
      <c r="E241" s="30">
        <f>COUNTIF($C$23:$C$1022,"&lt;"&amp;C241)+(COUNTIF($C$23:$C$1022,"="&amp;C241)+1)/2</f>
        <v/>
      </c>
    </row>
    <row r="242">
      <c r="B242" s="27">
        <f>'1 Data'!B231</f>
        <v/>
      </c>
      <c r="C242" s="47" t="n">
        <v>0.056446448</v>
      </c>
      <c r="D242" s="27">
        <f>'1 Data'!I231</f>
        <v/>
      </c>
      <c r="E242" s="30">
        <f>COUNTIF($C$23:$C$1022,"&lt;"&amp;C242)+(COUNTIF($C$23:$C$1022,"="&amp;C242)+1)/2</f>
        <v/>
      </c>
    </row>
    <row r="243">
      <c r="B243" s="27">
        <f>'1 Data'!B232</f>
        <v/>
      </c>
      <c r="C243" s="47" t="n">
        <v>0.09228335</v>
      </c>
      <c r="D243" s="27">
        <f>'1 Data'!I232</f>
        <v/>
      </c>
      <c r="E243" s="30">
        <f>COUNTIF($C$23:$C$1022,"&lt;"&amp;C243)+(COUNTIF($C$23:$C$1022,"="&amp;C243)+1)/2</f>
        <v/>
      </c>
    </row>
    <row r="244">
      <c r="B244" s="27">
        <f>'1 Data'!B233</f>
        <v/>
      </c>
      <c r="C244" s="47" t="n">
        <v>0.077241816</v>
      </c>
      <c r="D244" s="27">
        <f>'1 Data'!I233</f>
        <v/>
      </c>
      <c r="E244" s="30">
        <f>COUNTIF($C$23:$C$1022,"&lt;"&amp;C244)+(COUNTIF($C$23:$C$1022,"="&amp;C244)+1)/2</f>
        <v/>
      </c>
    </row>
    <row r="245">
      <c r="B245" s="27">
        <f>'1 Data'!B234</f>
        <v/>
      </c>
      <c r="C245" s="47" t="n">
        <v>0.060105477</v>
      </c>
      <c r="D245" s="27">
        <f>'1 Data'!I234</f>
        <v/>
      </c>
      <c r="E245" s="30">
        <f>COUNTIF($C$23:$C$1022,"&lt;"&amp;C245)+(COUNTIF($C$23:$C$1022,"="&amp;C245)+1)/2</f>
        <v/>
      </c>
    </row>
    <row r="246">
      <c r="B246" s="27">
        <f>'1 Data'!B235</f>
        <v/>
      </c>
      <c r="C246" s="47" t="n">
        <v>0.16552502</v>
      </c>
      <c r="D246" s="27">
        <f>'1 Data'!I235</f>
        <v/>
      </c>
      <c r="E246" s="30">
        <f>COUNTIF($C$23:$C$1022,"&lt;"&amp;C246)+(COUNTIF($C$23:$C$1022,"="&amp;C246)+1)/2</f>
        <v/>
      </c>
    </row>
    <row r="247">
      <c r="B247" s="27">
        <f>'1 Data'!B236</f>
        <v/>
      </c>
      <c r="C247" s="47" t="n">
        <v>0.22232965</v>
      </c>
      <c r="D247" s="27">
        <f>'1 Data'!I236</f>
        <v/>
      </c>
      <c r="E247" s="30">
        <f>COUNTIF($C$23:$C$1022,"&lt;"&amp;C247)+(COUNTIF($C$23:$C$1022,"="&amp;C247)+1)/2</f>
        <v/>
      </c>
    </row>
    <row r="248">
      <c r="B248" s="27">
        <f>'1 Data'!B237</f>
        <v/>
      </c>
      <c r="C248" s="47" t="n">
        <v>0.24899791</v>
      </c>
      <c r="D248" s="27">
        <f>'1 Data'!I237</f>
        <v/>
      </c>
      <c r="E248" s="30">
        <f>COUNTIF($C$23:$C$1022,"&lt;"&amp;C248)+(COUNTIF($C$23:$C$1022,"="&amp;C248)+1)/2</f>
        <v/>
      </c>
    </row>
    <row r="249">
      <c r="B249" s="27">
        <f>'1 Data'!B238</f>
        <v/>
      </c>
      <c r="C249" s="47" t="n">
        <v>0.7597267599999999</v>
      </c>
      <c r="D249" s="27">
        <f>'1 Data'!I238</f>
        <v/>
      </c>
      <c r="E249" s="30">
        <f>COUNTIF($C$23:$C$1022,"&lt;"&amp;C249)+(COUNTIF($C$23:$C$1022,"="&amp;C249)+1)/2</f>
        <v/>
      </c>
    </row>
    <row r="250">
      <c r="B250" s="27">
        <f>'1 Data'!B239</f>
        <v/>
      </c>
      <c r="C250" s="47" t="n">
        <v>0.11867401</v>
      </c>
      <c r="D250" s="27">
        <f>'1 Data'!I239</f>
        <v/>
      </c>
      <c r="E250" s="30">
        <f>COUNTIF($C$23:$C$1022,"&lt;"&amp;C250)+(COUNTIF($C$23:$C$1022,"="&amp;C250)+1)/2</f>
        <v/>
      </c>
    </row>
    <row r="251">
      <c r="B251" s="27">
        <f>'1 Data'!B240</f>
        <v/>
      </c>
      <c r="C251" s="47" t="n">
        <v>0.16220948</v>
      </c>
      <c r="D251" s="27">
        <f>'1 Data'!I240</f>
        <v/>
      </c>
      <c r="E251" s="30">
        <f>COUNTIF($C$23:$C$1022,"&lt;"&amp;C251)+(COUNTIF($C$23:$C$1022,"="&amp;C251)+1)/2</f>
        <v/>
      </c>
    </row>
    <row r="252">
      <c r="B252" s="27">
        <f>'1 Data'!B241</f>
        <v/>
      </c>
      <c r="C252" s="47" t="n">
        <v>0.117924824</v>
      </c>
      <c r="D252" s="27">
        <f>'1 Data'!I241</f>
        <v/>
      </c>
      <c r="E252" s="30">
        <f>COUNTIF($C$23:$C$1022,"&lt;"&amp;C252)+(COUNTIF($C$23:$C$1022,"="&amp;C252)+1)/2</f>
        <v/>
      </c>
    </row>
    <row r="253">
      <c r="B253" s="27">
        <f>'1 Data'!B242</f>
        <v/>
      </c>
      <c r="C253" s="47" t="n">
        <v>0.32807603</v>
      </c>
      <c r="D253" s="27">
        <f>'1 Data'!I242</f>
        <v/>
      </c>
      <c r="E253" s="30">
        <f>COUNTIF($C$23:$C$1022,"&lt;"&amp;C253)+(COUNTIF($C$23:$C$1022,"="&amp;C253)+1)/2</f>
        <v/>
      </c>
    </row>
    <row r="254">
      <c r="B254" s="27">
        <f>'1 Data'!B243</f>
        <v/>
      </c>
      <c r="C254" s="47" t="n">
        <v>0.4970929</v>
      </c>
      <c r="D254" s="27">
        <f>'1 Data'!I243</f>
        <v/>
      </c>
      <c r="E254" s="30">
        <f>COUNTIF($C$23:$C$1022,"&lt;"&amp;C254)+(COUNTIF($C$23:$C$1022,"="&amp;C254)+1)/2</f>
        <v/>
      </c>
    </row>
    <row r="255">
      <c r="B255" s="27">
        <f>'1 Data'!B244</f>
        <v/>
      </c>
      <c r="C255" s="47" t="n">
        <v>0.23702669</v>
      </c>
      <c r="D255" s="27">
        <f>'1 Data'!I244</f>
        <v/>
      </c>
      <c r="E255" s="30">
        <f>COUNTIF($C$23:$C$1022,"&lt;"&amp;C255)+(COUNTIF($C$23:$C$1022,"="&amp;C255)+1)/2</f>
        <v/>
      </c>
    </row>
    <row r="256">
      <c r="B256" s="27">
        <f>'1 Data'!B245</f>
        <v/>
      </c>
      <c r="C256" s="47" t="n">
        <v>0.123203196</v>
      </c>
      <c r="D256" s="27">
        <f>'1 Data'!I245</f>
        <v/>
      </c>
      <c r="E256" s="30">
        <f>COUNTIF($C$23:$C$1022,"&lt;"&amp;C256)+(COUNTIF($C$23:$C$1022,"="&amp;C256)+1)/2</f>
        <v/>
      </c>
    </row>
    <row r="257">
      <c r="B257" s="27">
        <f>'1 Data'!B246</f>
        <v/>
      </c>
      <c r="C257" s="47" t="n">
        <v>0.19509748</v>
      </c>
      <c r="D257" s="27">
        <f>'1 Data'!I246</f>
        <v/>
      </c>
      <c r="E257" s="30">
        <f>COUNTIF($C$23:$C$1022,"&lt;"&amp;C257)+(COUNTIF($C$23:$C$1022,"="&amp;C257)+1)/2</f>
        <v/>
      </c>
    </row>
    <row r="258">
      <c r="B258" s="27">
        <f>'1 Data'!B247</f>
        <v/>
      </c>
      <c r="C258" s="47" t="n">
        <v>0.17085974</v>
      </c>
      <c r="D258" s="27">
        <f>'1 Data'!I247</f>
        <v/>
      </c>
      <c r="E258" s="30">
        <f>COUNTIF($C$23:$C$1022,"&lt;"&amp;C258)+(COUNTIF($C$23:$C$1022,"="&amp;C258)+1)/2</f>
        <v/>
      </c>
    </row>
    <row r="259">
      <c r="B259" s="27">
        <f>'1 Data'!B248</f>
        <v/>
      </c>
      <c r="C259" s="47" t="n">
        <v>0.2707216</v>
      </c>
      <c r="D259" s="27">
        <f>'1 Data'!I248</f>
        <v/>
      </c>
      <c r="E259" s="30">
        <f>COUNTIF($C$23:$C$1022,"&lt;"&amp;C259)+(COUNTIF($C$23:$C$1022,"="&amp;C259)+1)/2</f>
        <v/>
      </c>
    </row>
    <row r="260">
      <c r="B260" s="27">
        <f>'1 Data'!B249</f>
        <v/>
      </c>
      <c r="C260" s="47" t="n">
        <v>0.7059512</v>
      </c>
      <c r="D260" s="27">
        <f>'1 Data'!I249</f>
        <v/>
      </c>
      <c r="E260" s="30">
        <f>COUNTIF($C$23:$C$1022,"&lt;"&amp;C260)+(COUNTIF($C$23:$C$1022,"="&amp;C260)+1)/2</f>
        <v/>
      </c>
    </row>
    <row r="261">
      <c r="B261" s="27">
        <f>'1 Data'!B250</f>
        <v/>
      </c>
      <c r="C261" s="47" t="n">
        <v>0.16457528</v>
      </c>
      <c r="D261" s="27">
        <f>'1 Data'!I250</f>
        <v/>
      </c>
      <c r="E261" s="30">
        <f>COUNTIF($C$23:$C$1022,"&lt;"&amp;C261)+(COUNTIF($C$23:$C$1022,"="&amp;C261)+1)/2</f>
        <v/>
      </c>
    </row>
    <row r="262">
      <c r="B262" s="27">
        <f>'1 Data'!B251</f>
        <v/>
      </c>
      <c r="C262" s="47" t="n">
        <v>0.09261334</v>
      </c>
      <c r="D262" s="27">
        <f>'1 Data'!I251</f>
        <v/>
      </c>
      <c r="E262" s="30">
        <f>COUNTIF($C$23:$C$1022,"&lt;"&amp;C262)+(COUNTIF($C$23:$C$1022,"="&amp;C262)+1)/2</f>
        <v/>
      </c>
    </row>
    <row r="263">
      <c r="B263" s="27">
        <f>'1 Data'!B252</f>
        <v/>
      </c>
      <c r="C263" s="47" t="n">
        <v>0.30476198</v>
      </c>
      <c r="D263" s="27">
        <f>'1 Data'!I252</f>
        <v/>
      </c>
      <c r="E263" s="30">
        <f>COUNTIF($C$23:$C$1022,"&lt;"&amp;C263)+(COUNTIF($C$23:$C$1022,"="&amp;C263)+1)/2</f>
        <v/>
      </c>
    </row>
    <row r="264">
      <c r="B264" s="27">
        <f>'1 Data'!B253</f>
        <v/>
      </c>
      <c r="C264" s="47" t="n">
        <v>0.13562913</v>
      </c>
      <c r="D264" s="27">
        <f>'1 Data'!I253</f>
        <v/>
      </c>
      <c r="E264" s="30">
        <f>COUNTIF($C$23:$C$1022,"&lt;"&amp;C264)+(COUNTIF($C$23:$C$1022,"="&amp;C264)+1)/2</f>
        <v/>
      </c>
    </row>
    <row r="265">
      <c r="B265" s="27">
        <f>'1 Data'!B254</f>
        <v/>
      </c>
      <c r="C265" s="47" t="n">
        <v>0.82452834</v>
      </c>
      <c r="D265" s="27">
        <f>'1 Data'!I254</f>
        <v/>
      </c>
      <c r="E265" s="30">
        <f>COUNTIF($C$23:$C$1022,"&lt;"&amp;C265)+(COUNTIF($C$23:$C$1022,"="&amp;C265)+1)/2</f>
        <v/>
      </c>
    </row>
    <row r="266">
      <c r="B266" s="27">
        <f>'1 Data'!B255</f>
        <v/>
      </c>
      <c r="C266" s="47" t="n">
        <v>0.118155465</v>
      </c>
      <c r="D266" s="27">
        <f>'1 Data'!I255</f>
        <v/>
      </c>
      <c r="E266" s="30">
        <f>COUNTIF($C$23:$C$1022,"&lt;"&amp;C266)+(COUNTIF($C$23:$C$1022,"="&amp;C266)+1)/2</f>
        <v/>
      </c>
    </row>
    <row r="267">
      <c r="B267" s="27">
        <f>'1 Data'!B256</f>
        <v/>
      </c>
      <c r="C267" s="47" t="n">
        <v>0.06888603</v>
      </c>
      <c r="D267" s="27">
        <f>'1 Data'!I256</f>
        <v/>
      </c>
      <c r="E267" s="30">
        <f>COUNTIF($C$23:$C$1022,"&lt;"&amp;C267)+(COUNTIF($C$23:$C$1022,"="&amp;C267)+1)/2</f>
        <v/>
      </c>
    </row>
    <row r="268">
      <c r="B268" s="27">
        <f>'1 Data'!B257</f>
        <v/>
      </c>
      <c r="C268" s="47" t="n">
        <v>0.06374225</v>
      </c>
      <c r="D268" s="27">
        <f>'1 Data'!I257</f>
        <v/>
      </c>
      <c r="E268" s="30">
        <f>COUNTIF($C$23:$C$1022,"&lt;"&amp;C268)+(COUNTIF($C$23:$C$1022,"="&amp;C268)+1)/2</f>
        <v/>
      </c>
    </row>
    <row r="269">
      <c r="B269" s="27">
        <f>'1 Data'!B258</f>
        <v/>
      </c>
      <c r="C269" s="47" t="n">
        <v>0.14274797</v>
      </c>
      <c r="D269" s="27">
        <f>'1 Data'!I258</f>
        <v/>
      </c>
      <c r="E269" s="30">
        <f>COUNTIF($C$23:$C$1022,"&lt;"&amp;C269)+(COUNTIF($C$23:$C$1022,"="&amp;C269)+1)/2</f>
        <v/>
      </c>
    </row>
    <row r="270">
      <c r="B270" s="27">
        <f>'1 Data'!B259</f>
        <v/>
      </c>
      <c r="C270" s="47" t="n">
        <v>0.2263587</v>
      </c>
      <c r="D270" s="27">
        <f>'1 Data'!I259</f>
        <v/>
      </c>
      <c r="E270" s="30">
        <f>COUNTIF($C$23:$C$1022,"&lt;"&amp;C270)+(COUNTIF($C$23:$C$1022,"="&amp;C270)+1)/2</f>
        <v/>
      </c>
    </row>
    <row r="271">
      <c r="B271" s="27">
        <f>'1 Data'!B260</f>
        <v/>
      </c>
      <c r="C271" s="47" t="n">
        <v>0.11443676</v>
      </c>
      <c r="D271" s="27">
        <f>'1 Data'!I260</f>
        <v/>
      </c>
      <c r="E271" s="30">
        <f>COUNTIF($C$23:$C$1022,"&lt;"&amp;C271)+(COUNTIF($C$23:$C$1022,"="&amp;C271)+1)/2</f>
        <v/>
      </c>
    </row>
    <row r="272">
      <c r="B272" s="27">
        <f>'1 Data'!B261</f>
        <v/>
      </c>
      <c r="C272" s="47" t="n">
        <v>0.32542768</v>
      </c>
      <c r="D272" s="27">
        <f>'1 Data'!I261</f>
        <v/>
      </c>
      <c r="E272" s="30">
        <f>COUNTIF($C$23:$C$1022,"&lt;"&amp;C272)+(COUNTIF($C$23:$C$1022,"="&amp;C272)+1)/2</f>
        <v/>
      </c>
    </row>
    <row r="273">
      <c r="B273" s="27">
        <f>'1 Data'!B262</f>
        <v/>
      </c>
      <c r="C273" s="47" t="n">
        <v>0.8396914</v>
      </c>
      <c r="D273" s="27">
        <f>'1 Data'!I262</f>
        <v/>
      </c>
      <c r="E273" s="30">
        <f>COUNTIF($C$23:$C$1022,"&lt;"&amp;C273)+(COUNTIF($C$23:$C$1022,"="&amp;C273)+1)/2</f>
        <v/>
      </c>
    </row>
    <row r="274">
      <c r="B274" s="27">
        <f>'1 Data'!B263</f>
        <v/>
      </c>
      <c r="C274" s="47" t="n">
        <v>0.11769181</v>
      </c>
      <c r="D274" s="27">
        <f>'1 Data'!I263</f>
        <v/>
      </c>
      <c r="E274" s="30">
        <f>COUNTIF($C$23:$C$1022,"&lt;"&amp;C274)+(COUNTIF($C$23:$C$1022,"="&amp;C274)+1)/2</f>
        <v/>
      </c>
    </row>
    <row r="275">
      <c r="B275" s="27">
        <f>'1 Data'!B264</f>
        <v/>
      </c>
      <c r="C275" s="47" t="n">
        <v>0.65454686</v>
      </c>
      <c r="D275" s="27">
        <f>'1 Data'!I264</f>
        <v/>
      </c>
      <c r="E275" s="30">
        <f>COUNTIF($C$23:$C$1022,"&lt;"&amp;C275)+(COUNTIF($C$23:$C$1022,"="&amp;C275)+1)/2</f>
        <v/>
      </c>
    </row>
    <row r="276">
      <c r="B276" s="27">
        <f>'1 Data'!B265</f>
        <v/>
      </c>
      <c r="C276" s="47" t="n">
        <v>0.52422094</v>
      </c>
      <c r="D276" s="27">
        <f>'1 Data'!I265</f>
        <v/>
      </c>
      <c r="E276" s="30">
        <f>COUNTIF($C$23:$C$1022,"&lt;"&amp;C276)+(COUNTIF($C$23:$C$1022,"="&amp;C276)+1)/2</f>
        <v/>
      </c>
    </row>
    <row r="277">
      <c r="B277" s="27">
        <f>'1 Data'!B266</f>
        <v/>
      </c>
      <c r="C277" s="47" t="n">
        <v>0.72991675</v>
      </c>
      <c r="D277" s="27">
        <f>'1 Data'!I266</f>
        <v/>
      </c>
      <c r="E277" s="30">
        <f>COUNTIF($C$23:$C$1022,"&lt;"&amp;C277)+(COUNTIF($C$23:$C$1022,"="&amp;C277)+1)/2</f>
        <v/>
      </c>
    </row>
    <row r="278">
      <c r="B278" s="27">
        <f>'1 Data'!B267</f>
        <v/>
      </c>
      <c r="C278" s="47" t="n">
        <v>0.3599326</v>
      </c>
      <c r="D278" s="27">
        <f>'1 Data'!I267</f>
        <v/>
      </c>
      <c r="E278" s="30">
        <f>COUNTIF($C$23:$C$1022,"&lt;"&amp;C278)+(COUNTIF($C$23:$C$1022,"="&amp;C278)+1)/2</f>
        <v/>
      </c>
    </row>
    <row r="279">
      <c r="B279" s="27">
        <f>'1 Data'!B268</f>
        <v/>
      </c>
      <c r="C279" s="47" t="n">
        <v>0.08339025999999999</v>
      </c>
      <c r="D279" s="27">
        <f>'1 Data'!I268</f>
        <v/>
      </c>
      <c r="E279" s="30">
        <f>COUNTIF($C$23:$C$1022,"&lt;"&amp;C279)+(COUNTIF($C$23:$C$1022,"="&amp;C279)+1)/2</f>
        <v/>
      </c>
    </row>
    <row r="280">
      <c r="B280" s="27">
        <f>'1 Data'!B269</f>
        <v/>
      </c>
      <c r="C280" s="47" t="n">
        <v>0.16884711</v>
      </c>
      <c r="D280" s="27">
        <f>'1 Data'!I269</f>
        <v/>
      </c>
      <c r="E280" s="30">
        <f>COUNTIF($C$23:$C$1022,"&lt;"&amp;C280)+(COUNTIF($C$23:$C$1022,"="&amp;C280)+1)/2</f>
        <v/>
      </c>
    </row>
    <row r="281">
      <c r="B281" s="27">
        <f>'1 Data'!B270</f>
        <v/>
      </c>
      <c r="C281" s="47" t="n">
        <v>0.08240338</v>
      </c>
      <c r="D281" s="27">
        <f>'1 Data'!I270</f>
        <v/>
      </c>
      <c r="E281" s="30">
        <f>COUNTIF($C$23:$C$1022,"&lt;"&amp;C281)+(COUNTIF($C$23:$C$1022,"="&amp;C281)+1)/2</f>
        <v/>
      </c>
    </row>
    <row r="282">
      <c r="B282" s="27">
        <f>'1 Data'!B271</f>
        <v/>
      </c>
      <c r="C282" s="47" t="n">
        <v>0.266929</v>
      </c>
      <c r="D282" s="27">
        <f>'1 Data'!I271</f>
        <v/>
      </c>
      <c r="E282" s="30">
        <f>COUNTIF($C$23:$C$1022,"&lt;"&amp;C282)+(COUNTIF($C$23:$C$1022,"="&amp;C282)+1)/2</f>
        <v/>
      </c>
    </row>
    <row r="283">
      <c r="B283" s="27">
        <f>'1 Data'!B272</f>
        <v/>
      </c>
      <c r="C283" s="47" t="n">
        <v>0.11518851</v>
      </c>
      <c r="D283" s="27">
        <f>'1 Data'!I272</f>
        <v/>
      </c>
      <c r="E283" s="30">
        <f>COUNTIF($C$23:$C$1022,"&lt;"&amp;C283)+(COUNTIF($C$23:$C$1022,"="&amp;C283)+1)/2</f>
        <v/>
      </c>
    </row>
    <row r="284">
      <c r="B284" s="27">
        <f>'1 Data'!B273</f>
        <v/>
      </c>
      <c r="C284" s="47" t="n">
        <v>0.10135433</v>
      </c>
      <c r="D284" s="27">
        <f>'1 Data'!I273</f>
        <v/>
      </c>
      <c r="E284" s="30">
        <f>COUNTIF($C$23:$C$1022,"&lt;"&amp;C284)+(COUNTIF($C$23:$C$1022,"="&amp;C284)+1)/2</f>
        <v/>
      </c>
    </row>
    <row r="285">
      <c r="B285" s="27">
        <f>'1 Data'!B274</f>
        <v/>
      </c>
      <c r="C285" s="47" t="n">
        <v>0.11645208</v>
      </c>
      <c r="D285" s="27">
        <f>'1 Data'!I274</f>
        <v/>
      </c>
      <c r="E285" s="30">
        <f>COUNTIF($C$23:$C$1022,"&lt;"&amp;C285)+(COUNTIF($C$23:$C$1022,"="&amp;C285)+1)/2</f>
        <v/>
      </c>
    </row>
    <row r="286">
      <c r="B286" s="27">
        <f>'1 Data'!B275</f>
        <v/>
      </c>
      <c r="C286" s="47" t="n">
        <v>0.14194247</v>
      </c>
      <c r="D286" s="27">
        <f>'1 Data'!I275</f>
        <v/>
      </c>
      <c r="E286" s="30">
        <f>COUNTIF($C$23:$C$1022,"&lt;"&amp;C286)+(COUNTIF($C$23:$C$1022,"="&amp;C286)+1)/2</f>
        <v/>
      </c>
    </row>
    <row r="287">
      <c r="B287" s="27">
        <f>'1 Data'!B276</f>
        <v/>
      </c>
      <c r="C287" s="47" t="n">
        <v>0.096762165</v>
      </c>
      <c r="D287" s="27">
        <f>'1 Data'!I276</f>
        <v/>
      </c>
      <c r="E287" s="30">
        <f>COUNTIF($C$23:$C$1022,"&lt;"&amp;C287)+(COUNTIF($C$23:$C$1022,"="&amp;C287)+1)/2</f>
        <v/>
      </c>
    </row>
    <row r="288">
      <c r="B288" s="27">
        <f>'1 Data'!B277</f>
        <v/>
      </c>
      <c r="C288" s="47" t="n">
        <v>0.34273866</v>
      </c>
      <c r="D288" s="27">
        <f>'1 Data'!I277</f>
        <v/>
      </c>
      <c r="E288" s="30">
        <f>COUNTIF($C$23:$C$1022,"&lt;"&amp;C288)+(COUNTIF($C$23:$C$1022,"="&amp;C288)+1)/2</f>
        <v/>
      </c>
    </row>
    <row r="289">
      <c r="B289" s="27">
        <f>'1 Data'!B278</f>
        <v/>
      </c>
      <c r="C289" s="47" t="n">
        <v>0.6233216</v>
      </c>
      <c r="D289" s="27">
        <f>'1 Data'!I278</f>
        <v/>
      </c>
      <c r="E289" s="30">
        <f>COUNTIF($C$23:$C$1022,"&lt;"&amp;C289)+(COUNTIF($C$23:$C$1022,"="&amp;C289)+1)/2</f>
        <v/>
      </c>
    </row>
    <row r="290">
      <c r="B290" s="27">
        <f>'1 Data'!B279</f>
        <v/>
      </c>
      <c r="C290" s="47" t="n">
        <v>0.12653889</v>
      </c>
      <c r="D290" s="27">
        <f>'1 Data'!I279</f>
        <v/>
      </c>
      <c r="E290" s="30">
        <f>COUNTIF($C$23:$C$1022,"&lt;"&amp;C290)+(COUNTIF($C$23:$C$1022,"="&amp;C290)+1)/2</f>
        <v/>
      </c>
    </row>
    <row r="291">
      <c r="B291" s="27">
        <f>'1 Data'!B280</f>
        <v/>
      </c>
      <c r="C291" s="47" t="n">
        <v>0.18548341</v>
      </c>
      <c r="D291" s="27">
        <f>'1 Data'!I280</f>
        <v/>
      </c>
      <c r="E291" s="30">
        <f>COUNTIF($C$23:$C$1022,"&lt;"&amp;C291)+(COUNTIF($C$23:$C$1022,"="&amp;C291)+1)/2</f>
        <v/>
      </c>
    </row>
    <row r="292">
      <c r="B292" s="27">
        <f>'1 Data'!B281</f>
        <v/>
      </c>
      <c r="C292" s="47" t="n">
        <v>0.039175376</v>
      </c>
      <c r="D292" s="27">
        <f>'1 Data'!I281</f>
        <v/>
      </c>
      <c r="E292" s="30">
        <f>COUNTIF($C$23:$C$1022,"&lt;"&amp;C292)+(COUNTIF($C$23:$C$1022,"="&amp;C292)+1)/2</f>
        <v/>
      </c>
    </row>
    <row r="293">
      <c r="B293" s="27">
        <f>'1 Data'!B282</f>
        <v/>
      </c>
      <c r="C293" s="47" t="n">
        <v>0.048603855</v>
      </c>
      <c r="D293" s="27">
        <f>'1 Data'!I282</f>
        <v/>
      </c>
      <c r="E293" s="30">
        <f>COUNTIF($C$23:$C$1022,"&lt;"&amp;C293)+(COUNTIF($C$23:$C$1022,"="&amp;C293)+1)/2</f>
        <v/>
      </c>
    </row>
    <row r="294">
      <c r="B294" s="27">
        <f>'1 Data'!B283</f>
        <v/>
      </c>
      <c r="C294" s="47" t="n">
        <v>0.2286643</v>
      </c>
      <c r="D294" s="27">
        <f>'1 Data'!I283</f>
        <v/>
      </c>
      <c r="E294" s="30">
        <f>COUNTIF($C$23:$C$1022,"&lt;"&amp;C294)+(COUNTIF($C$23:$C$1022,"="&amp;C294)+1)/2</f>
        <v/>
      </c>
    </row>
    <row r="295">
      <c r="B295" s="27">
        <f>'1 Data'!B284</f>
        <v/>
      </c>
      <c r="C295" s="47" t="n">
        <v>0.06061566</v>
      </c>
      <c r="D295" s="27">
        <f>'1 Data'!I284</f>
        <v/>
      </c>
      <c r="E295" s="30">
        <f>COUNTIF($C$23:$C$1022,"&lt;"&amp;C295)+(COUNTIF($C$23:$C$1022,"="&amp;C295)+1)/2</f>
        <v/>
      </c>
    </row>
    <row r="296">
      <c r="B296" s="27">
        <f>'1 Data'!B285</f>
        <v/>
      </c>
      <c r="C296" s="47" t="n">
        <v>0.3345737</v>
      </c>
      <c r="D296" s="27">
        <f>'1 Data'!I285</f>
        <v/>
      </c>
      <c r="E296" s="30">
        <f>COUNTIF($C$23:$C$1022,"&lt;"&amp;C296)+(COUNTIF($C$23:$C$1022,"="&amp;C296)+1)/2</f>
        <v/>
      </c>
    </row>
    <row r="297">
      <c r="B297" s="27">
        <f>'1 Data'!B286</f>
        <v/>
      </c>
      <c r="C297" s="47" t="n">
        <v>0.054359462</v>
      </c>
      <c r="D297" s="27">
        <f>'1 Data'!I286</f>
        <v/>
      </c>
      <c r="E297" s="30">
        <f>COUNTIF($C$23:$C$1022,"&lt;"&amp;C297)+(COUNTIF($C$23:$C$1022,"="&amp;C297)+1)/2</f>
        <v/>
      </c>
    </row>
    <row r="298">
      <c r="B298" s="27">
        <f>'1 Data'!B287</f>
        <v/>
      </c>
      <c r="C298" s="47" t="n">
        <v>0.070257194</v>
      </c>
      <c r="D298" s="27">
        <f>'1 Data'!I287</f>
        <v/>
      </c>
      <c r="E298" s="30">
        <f>COUNTIF($C$23:$C$1022,"&lt;"&amp;C298)+(COUNTIF($C$23:$C$1022,"="&amp;C298)+1)/2</f>
        <v/>
      </c>
    </row>
    <row r="299">
      <c r="B299" s="27">
        <f>'1 Data'!B288</f>
        <v/>
      </c>
      <c r="C299" s="47" t="n">
        <v>0.3711296</v>
      </c>
      <c r="D299" s="27">
        <f>'1 Data'!I288</f>
        <v/>
      </c>
      <c r="E299" s="30">
        <f>COUNTIF($C$23:$C$1022,"&lt;"&amp;C299)+(COUNTIF($C$23:$C$1022,"="&amp;C299)+1)/2</f>
        <v/>
      </c>
    </row>
    <row r="300">
      <c r="B300" s="27">
        <f>'1 Data'!B289</f>
        <v/>
      </c>
      <c r="C300" s="47" t="n">
        <v>0.16997209</v>
      </c>
      <c r="D300" s="27">
        <f>'1 Data'!I289</f>
        <v/>
      </c>
      <c r="E300" s="30">
        <f>COUNTIF($C$23:$C$1022,"&lt;"&amp;C300)+(COUNTIF($C$23:$C$1022,"="&amp;C300)+1)/2</f>
        <v/>
      </c>
    </row>
    <row r="301">
      <c r="B301" s="27">
        <f>'1 Data'!B290</f>
        <v/>
      </c>
      <c r="C301" s="47" t="n">
        <v>0.19403332</v>
      </c>
      <c r="D301" s="27">
        <f>'1 Data'!I290</f>
        <v/>
      </c>
      <c r="E301" s="30">
        <f>COUNTIF($C$23:$C$1022,"&lt;"&amp;C301)+(COUNTIF($C$23:$C$1022,"="&amp;C301)+1)/2</f>
        <v/>
      </c>
    </row>
    <row r="302">
      <c r="B302" s="27">
        <f>'1 Data'!B291</f>
        <v/>
      </c>
      <c r="C302" s="47" t="n">
        <v>0.063228995</v>
      </c>
      <c r="D302" s="27">
        <f>'1 Data'!I291</f>
        <v/>
      </c>
      <c r="E302" s="30">
        <f>COUNTIF($C$23:$C$1022,"&lt;"&amp;C302)+(COUNTIF($C$23:$C$1022,"="&amp;C302)+1)/2</f>
        <v/>
      </c>
    </row>
    <row r="303">
      <c r="B303" s="27">
        <f>'1 Data'!B292</f>
        <v/>
      </c>
      <c r="C303" s="47" t="n">
        <v>0.67136973</v>
      </c>
      <c r="D303" s="27">
        <f>'1 Data'!I292</f>
        <v/>
      </c>
      <c r="E303" s="30">
        <f>COUNTIF($C$23:$C$1022,"&lt;"&amp;C303)+(COUNTIF($C$23:$C$1022,"="&amp;C303)+1)/2</f>
        <v/>
      </c>
    </row>
    <row r="304">
      <c r="B304" s="27">
        <f>'1 Data'!B293</f>
        <v/>
      </c>
      <c r="C304" s="47" t="n">
        <v>0.54988825</v>
      </c>
      <c r="D304" s="27">
        <f>'1 Data'!I293</f>
        <v/>
      </c>
      <c r="E304" s="30">
        <f>COUNTIF($C$23:$C$1022,"&lt;"&amp;C304)+(COUNTIF($C$23:$C$1022,"="&amp;C304)+1)/2</f>
        <v/>
      </c>
    </row>
    <row r="305">
      <c r="B305" s="27">
        <f>'1 Data'!B294</f>
        <v/>
      </c>
      <c r="C305" s="47" t="n">
        <v>0.05834813</v>
      </c>
      <c r="D305" s="27">
        <f>'1 Data'!I294</f>
        <v/>
      </c>
      <c r="E305" s="30">
        <f>COUNTIF($C$23:$C$1022,"&lt;"&amp;C305)+(COUNTIF($C$23:$C$1022,"="&amp;C305)+1)/2</f>
        <v/>
      </c>
    </row>
    <row r="306">
      <c r="B306" s="27">
        <f>'1 Data'!B295</f>
        <v/>
      </c>
      <c r="C306" s="47" t="n">
        <v>0.43767688</v>
      </c>
      <c r="D306" s="27">
        <f>'1 Data'!I295</f>
        <v/>
      </c>
      <c r="E306" s="30">
        <f>COUNTIF($C$23:$C$1022,"&lt;"&amp;C306)+(COUNTIF($C$23:$C$1022,"="&amp;C306)+1)/2</f>
        <v/>
      </c>
    </row>
    <row r="307">
      <c r="B307" s="27">
        <f>'1 Data'!B296</f>
        <v/>
      </c>
      <c r="C307" s="47" t="n">
        <v>0.1638334</v>
      </c>
      <c r="D307" s="27">
        <f>'1 Data'!I296</f>
        <v/>
      </c>
      <c r="E307" s="30">
        <f>COUNTIF($C$23:$C$1022,"&lt;"&amp;C307)+(COUNTIF($C$23:$C$1022,"="&amp;C307)+1)/2</f>
        <v/>
      </c>
    </row>
    <row r="308">
      <c r="B308" s="27">
        <f>'1 Data'!B297</f>
        <v/>
      </c>
      <c r="C308" s="47" t="n">
        <v>0.094853826</v>
      </c>
      <c r="D308" s="27">
        <f>'1 Data'!I297</f>
        <v/>
      </c>
      <c r="E308" s="30">
        <f>COUNTIF($C$23:$C$1022,"&lt;"&amp;C308)+(COUNTIF($C$23:$C$1022,"="&amp;C308)+1)/2</f>
        <v/>
      </c>
    </row>
    <row r="309">
      <c r="B309" s="27">
        <f>'1 Data'!B298</f>
        <v/>
      </c>
      <c r="C309" s="47" t="n">
        <v>0.11054922</v>
      </c>
      <c r="D309" s="27">
        <f>'1 Data'!I298</f>
        <v/>
      </c>
      <c r="E309" s="30">
        <f>COUNTIF($C$23:$C$1022,"&lt;"&amp;C309)+(COUNTIF($C$23:$C$1022,"="&amp;C309)+1)/2</f>
        <v/>
      </c>
    </row>
    <row r="310">
      <c r="B310" s="27">
        <f>'1 Data'!B299</f>
        <v/>
      </c>
      <c r="C310" s="47" t="n">
        <v>0.082575075</v>
      </c>
      <c r="D310" s="27">
        <f>'1 Data'!I299</f>
        <v/>
      </c>
      <c r="E310" s="30">
        <f>COUNTIF($C$23:$C$1022,"&lt;"&amp;C310)+(COUNTIF($C$23:$C$1022,"="&amp;C310)+1)/2</f>
        <v/>
      </c>
    </row>
    <row r="311">
      <c r="B311" s="27">
        <f>'1 Data'!B300</f>
        <v/>
      </c>
      <c r="C311" s="47" t="n">
        <v>0.034854658</v>
      </c>
      <c r="D311" s="27">
        <f>'1 Data'!I300</f>
        <v/>
      </c>
      <c r="E311" s="30">
        <f>COUNTIF($C$23:$C$1022,"&lt;"&amp;C311)+(COUNTIF($C$23:$C$1022,"="&amp;C311)+1)/2</f>
        <v/>
      </c>
    </row>
    <row r="312">
      <c r="B312" s="27">
        <f>'1 Data'!B301</f>
        <v/>
      </c>
      <c r="C312" s="47" t="n">
        <v>0.12733041</v>
      </c>
      <c r="D312" s="27">
        <f>'1 Data'!I301</f>
        <v/>
      </c>
      <c r="E312" s="30">
        <f>COUNTIF($C$23:$C$1022,"&lt;"&amp;C312)+(COUNTIF($C$23:$C$1022,"="&amp;C312)+1)/2</f>
        <v/>
      </c>
    </row>
    <row r="313">
      <c r="B313" s="27">
        <f>'1 Data'!B302</f>
        <v/>
      </c>
      <c r="C313" s="47" t="n">
        <v>0.14046666</v>
      </c>
      <c r="D313" s="27">
        <f>'1 Data'!I302</f>
        <v/>
      </c>
      <c r="E313" s="30">
        <f>COUNTIF($C$23:$C$1022,"&lt;"&amp;C313)+(COUNTIF($C$23:$C$1022,"="&amp;C313)+1)/2</f>
        <v/>
      </c>
    </row>
    <row r="314">
      <c r="B314" s="27">
        <f>'1 Data'!B303</f>
        <v/>
      </c>
      <c r="C314" s="47" t="n">
        <v>0.18042201</v>
      </c>
      <c r="D314" s="27">
        <f>'1 Data'!I303</f>
        <v/>
      </c>
      <c r="E314" s="30">
        <f>COUNTIF($C$23:$C$1022,"&lt;"&amp;C314)+(COUNTIF($C$23:$C$1022,"="&amp;C314)+1)/2</f>
        <v/>
      </c>
    </row>
    <row r="315">
      <c r="B315" s="27">
        <f>'1 Data'!B304</f>
        <v/>
      </c>
      <c r="C315" s="47" t="n">
        <v>0.10254061</v>
      </c>
      <c r="D315" s="27">
        <f>'1 Data'!I304</f>
        <v/>
      </c>
      <c r="E315" s="30">
        <f>COUNTIF($C$23:$C$1022,"&lt;"&amp;C315)+(COUNTIF($C$23:$C$1022,"="&amp;C315)+1)/2</f>
        <v/>
      </c>
    </row>
    <row r="316">
      <c r="B316" s="27">
        <f>'1 Data'!B305</f>
        <v/>
      </c>
      <c r="C316" s="47" t="n">
        <v>0.07208477000000001</v>
      </c>
      <c r="D316" s="27">
        <f>'1 Data'!I305</f>
        <v/>
      </c>
      <c r="E316" s="30">
        <f>COUNTIF($C$23:$C$1022,"&lt;"&amp;C316)+(COUNTIF($C$23:$C$1022,"="&amp;C316)+1)/2</f>
        <v/>
      </c>
    </row>
    <row r="317">
      <c r="B317" s="27">
        <f>'1 Data'!B306</f>
        <v/>
      </c>
      <c r="C317" s="47" t="n">
        <v>0.10563919</v>
      </c>
      <c r="D317" s="27">
        <f>'1 Data'!I306</f>
        <v/>
      </c>
      <c r="E317" s="30">
        <f>COUNTIF($C$23:$C$1022,"&lt;"&amp;C317)+(COUNTIF($C$23:$C$1022,"="&amp;C317)+1)/2</f>
        <v/>
      </c>
    </row>
    <row r="318">
      <c r="B318" s="27">
        <f>'1 Data'!B307</f>
        <v/>
      </c>
      <c r="C318" s="47" t="n">
        <v>0.072866455</v>
      </c>
      <c r="D318" s="27">
        <f>'1 Data'!I307</f>
        <v/>
      </c>
      <c r="E318" s="30">
        <f>COUNTIF($C$23:$C$1022,"&lt;"&amp;C318)+(COUNTIF($C$23:$C$1022,"="&amp;C318)+1)/2</f>
        <v/>
      </c>
    </row>
    <row r="319">
      <c r="B319" s="27">
        <f>'1 Data'!B308</f>
        <v/>
      </c>
      <c r="C319" s="47" t="n">
        <v>0.2776923</v>
      </c>
      <c r="D319" s="27">
        <f>'1 Data'!I308</f>
        <v/>
      </c>
      <c r="E319" s="30">
        <f>COUNTIF($C$23:$C$1022,"&lt;"&amp;C319)+(COUNTIF($C$23:$C$1022,"="&amp;C319)+1)/2</f>
        <v/>
      </c>
    </row>
    <row r="320">
      <c r="B320" s="27">
        <f>'1 Data'!B309</f>
        <v/>
      </c>
      <c r="C320" s="47" t="n">
        <v>0.14960498</v>
      </c>
      <c r="D320" s="27">
        <f>'1 Data'!I309</f>
        <v/>
      </c>
      <c r="E320" s="30">
        <f>COUNTIF($C$23:$C$1022,"&lt;"&amp;C320)+(COUNTIF($C$23:$C$1022,"="&amp;C320)+1)/2</f>
        <v/>
      </c>
    </row>
    <row r="321">
      <c r="B321" s="27">
        <f>'1 Data'!B310</f>
        <v/>
      </c>
      <c r="C321" s="47" t="n">
        <v>0.1372163</v>
      </c>
      <c r="D321" s="27">
        <f>'1 Data'!I310</f>
        <v/>
      </c>
      <c r="E321" s="30">
        <f>COUNTIF($C$23:$C$1022,"&lt;"&amp;C321)+(COUNTIF($C$23:$C$1022,"="&amp;C321)+1)/2</f>
        <v/>
      </c>
    </row>
    <row r="322">
      <c r="B322" s="27">
        <f>'1 Data'!B311</f>
        <v/>
      </c>
      <c r="C322" s="47" t="n">
        <v>0.7181043</v>
      </c>
      <c r="D322" s="27">
        <f>'1 Data'!I311</f>
        <v/>
      </c>
      <c r="E322" s="30">
        <f>COUNTIF($C$23:$C$1022,"&lt;"&amp;C322)+(COUNTIF($C$23:$C$1022,"="&amp;C322)+1)/2</f>
        <v/>
      </c>
    </row>
    <row r="323">
      <c r="B323" s="27">
        <f>'1 Data'!B312</f>
        <v/>
      </c>
      <c r="C323" s="47" t="n">
        <v>0.036027804</v>
      </c>
      <c r="D323" s="27">
        <f>'1 Data'!I312</f>
        <v/>
      </c>
      <c r="E323" s="30">
        <f>COUNTIF($C$23:$C$1022,"&lt;"&amp;C323)+(COUNTIF($C$23:$C$1022,"="&amp;C323)+1)/2</f>
        <v/>
      </c>
    </row>
    <row r="324">
      <c r="B324" s="27">
        <f>'1 Data'!B313</f>
        <v/>
      </c>
      <c r="C324" s="47" t="n">
        <v>0.16836327</v>
      </c>
      <c r="D324" s="27">
        <f>'1 Data'!I313</f>
        <v/>
      </c>
      <c r="E324" s="30">
        <f>COUNTIF($C$23:$C$1022,"&lt;"&amp;C324)+(COUNTIF($C$23:$C$1022,"="&amp;C324)+1)/2</f>
        <v/>
      </c>
    </row>
    <row r="325">
      <c r="B325" s="27">
        <f>'1 Data'!B314</f>
        <v/>
      </c>
      <c r="C325" s="47" t="n">
        <v>0.28733617</v>
      </c>
      <c r="D325" s="27">
        <f>'1 Data'!I314</f>
        <v/>
      </c>
      <c r="E325" s="30">
        <f>COUNTIF($C$23:$C$1022,"&lt;"&amp;C325)+(COUNTIF($C$23:$C$1022,"="&amp;C325)+1)/2</f>
        <v/>
      </c>
    </row>
    <row r="326">
      <c r="B326" s="27">
        <f>'1 Data'!B315</f>
        <v/>
      </c>
      <c r="C326" s="47" t="n">
        <v>0.24319227</v>
      </c>
      <c r="D326" s="27">
        <f>'1 Data'!I315</f>
        <v/>
      </c>
      <c r="E326" s="30">
        <f>COUNTIF($C$23:$C$1022,"&lt;"&amp;C326)+(COUNTIF($C$23:$C$1022,"="&amp;C326)+1)/2</f>
        <v/>
      </c>
    </row>
    <row r="327">
      <c r="B327" s="27">
        <f>'1 Data'!B316</f>
        <v/>
      </c>
      <c r="C327" s="47" t="n">
        <v>0.055978186</v>
      </c>
      <c r="D327" s="27">
        <f>'1 Data'!I316</f>
        <v/>
      </c>
      <c r="E327" s="30">
        <f>COUNTIF($C$23:$C$1022,"&lt;"&amp;C327)+(COUNTIF($C$23:$C$1022,"="&amp;C327)+1)/2</f>
        <v/>
      </c>
    </row>
    <row r="328">
      <c r="B328" s="27">
        <f>'1 Data'!B317</f>
        <v/>
      </c>
      <c r="C328" s="47" t="n">
        <v>0.24642813</v>
      </c>
      <c r="D328" s="27">
        <f>'1 Data'!I317</f>
        <v/>
      </c>
      <c r="E328" s="30">
        <f>COUNTIF($C$23:$C$1022,"&lt;"&amp;C328)+(COUNTIF($C$23:$C$1022,"="&amp;C328)+1)/2</f>
        <v/>
      </c>
    </row>
    <row r="329">
      <c r="B329" s="27">
        <f>'1 Data'!B318</f>
        <v/>
      </c>
      <c r="C329" s="47" t="n">
        <v>0.13267893</v>
      </c>
      <c r="D329" s="27">
        <f>'1 Data'!I318</f>
        <v/>
      </c>
      <c r="E329" s="30">
        <f>COUNTIF($C$23:$C$1022,"&lt;"&amp;C329)+(COUNTIF($C$23:$C$1022,"="&amp;C329)+1)/2</f>
        <v/>
      </c>
    </row>
    <row r="330">
      <c r="B330" s="27">
        <f>'1 Data'!B319</f>
        <v/>
      </c>
      <c r="C330" s="47" t="n">
        <v>0.4980722</v>
      </c>
      <c r="D330" s="27">
        <f>'1 Data'!I319</f>
        <v/>
      </c>
      <c r="E330" s="30">
        <f>COUNTIF($C$23:$C$1022,"&lt;"&amp;C330)+(COUNTIF($C$23:$C$1022,"="&amp;C330)+1)/2</f>
        <v/>
      </c>
    </row>
    <row r="331">
      <c r="B331" s="27">
        <f>'1 Data'!B320</f>
        <v/>
      </c>
      <c r="C331" s="47" t="n">
        <v>0.14710256</v>
      </c>
      <c r="D331" s="27">
        <f>'1 Data'!I320</f>
        <v/>
      </c>
      <c r="E331" s="30">
        <f>COUNTIF($C$23:$C$1022,"&lt;"&amp;C331)+(COUNTIF($C$23:$C$1022,"="&amp;C331)+1)/2</f>
        <v/>
      </c>
    </row>
    <row r="332">
      <c r="B332" s="27">
        <f>'1 Data'!B321</f>
        <v/>
      </c>
      <c r="C332" s="47" t="n">
        <v>0.17545955</v>
      </c>
      <c r="D332" s="27">
        <f>'1 Data'!I321</f>
        <v/>
      </c>
      <c r="E332" s="30">
        <f>COUNTIF($C$23:$C$1022,"&lt;"&amp;C332)+(COUNTIF($C$23:$C$1022,"="&amp;C332)+1)/2</f>
        <v/>
      </c>
    </row>
    <row r="333">
      <c r="B333" s="27">
        <f>'1 Data'!B322</f>
        <v/>
      </c>
      <c r="C333" s="47" t="n">
        <v>0.1553407</v>
      </c>
      <c r="D333" s="27">
        <f>'1 Data'!I322</f>
        <v/>
      </c>
      <c r="E333" s="30">
        <f>COUNTIF($C$23:$C$1022,"&lt;"&amp;C333)+(COUNTIF($C$23:$C$1022,"="&amp;C333)+1)/2</f>
        <v/>
      </c>
    </row>
    <row r="334">
      <c r="B334" s="27">
        <f>'1 Data'!B323</f>
        <v/>
      </c>
      <c r="C334" s="47" t="n">
        <v>0.16835223</v>
      </c>
      <c r="D334" s="27">
        <f>'1 Data'!I323</f>
        <v/>
      </c>
      <c r="E334" s="30">
        <f>COUNTIF($C$23:$C$1022,"&lt;"&amp;C334)+(COUNTIF($C$23:$C$1022,"="&amp;C334)+1)/2</f>
        <v/>
      </c>
    </row>
    <row r="335">
      <c r="B335" s="27">
        <f>'1 Data'!B324</f>
        <v/>
      </c>
      <c r="C335" s="47" t="n">
        <v>0.1939385</v>
      </c>
      <c r="D335" s="27">
        <f>'1 Data'!I324</f>
        <v/>
      </c>
      <c r="E335" s="30">
        <f>COUNTIF($C$23:$C$1022,"&lt;"&amp;C335)+(COUNTIF($C$23:$C$1022,"="&amp;C335)+1)/2</f>
        <v/>
      </c>
    </row>
    <row r="336">
      <c r="B336" s="27">
        <f>'1 Data'!B325</f>
        <v/>
      </c>
      <c r="C336" s="47" t="n">
        <v>0.16014375</v>
      </c>
      <c r="D336" s="27">
        <f>'1 Data'!I325</f>
        <v/>
      </c>
      <c r="E336" s="30">
        <f>COUNTIF($C$23:$C$1022,"&lt;"&amp;C336)+(COUNTIF($C$23:$C$1022,"="&amp;C336)+1)/2</f>
        <v/>
      </c>
    </row>
    <row r="337">
      <c r="B337" s="27">
        <f>'1 Data'!B326</f>
        <v/>
      </c>
      <c r="C337" s="47" t="n">
        <v>0.18530312</v>
      </c>
      <c r="D337" s="27">
        <f>'1 Data'!I326</f>
        <v/>
      </c>
      <c r="E337" s="30">
        <f>COUNTIF($C$23:$C$1022,"&lt;"&amp;C337)+(COUNTIF($C$23:$C$1022,"="&amp;C337)+1)/2</f>
        <v/>
      </c>
    </row>
    <row r="338">
      <c r="B338" s="27">
        <f>'1 Data'!B327</f>
        <v/>
      </c>
      <c r="C338" s="47" t="n">
        <v>0.056915496</v>
      </c>
      <c r="D338" s="27">
        <f>'1 Data'!I327</f>
        <v/>
      </c>
      <c r="E338" s="30">
        <f>COUNTIF($C$23:$C$1022,"&lt;"&amp;C338)+(COUNTIF($C$23:$C$1022,"="&amp;C338)+1)/2</f>
        <v/>
      </c>
    </row>
    <row r="339">
      <c r="B339" s="27">
        <f>'1 Data'!B328</f>
        <v/>
      </c>
      <c r="C339" s="47" t="n">
        <v>0.20669305</v>
      </c>
      <c r="D339" s="27">
        <f>'1 Data'!I328</f>
        <v/>
      </c>
      <c r="E339" s="30">
        <f>COUNTIF($C$23:$C$1022,"&lt;"&amp;C339)+(COUNTIF($C$23:$C$1022,"="&amp;C339)+1)/2</f>
        <v/>
      </c>
    </row>
    <row r="340">
      <c r="B340" s="27">
        <f>'1 Data'!B329</f>
        <v/>
      </c>
      <c r="C340" s="47" t="n">
        <v>0.110884905</v>
      </c>
      <c r="D340" s="27">
        <f>'1 Data'!I329</f>
        <v/>
      </c>
      <c r="E340" s="30">
        <f>COUNTIF($C$23:$C$1022,"&lt;"&amp;C340)+(COUNTIF($C$23:$C$1022,"="&amp;C340)+1)/2</f>
        <v/>
      </c>
    </row>
    <row r="341">
      <c r="B341" s="27">
        <f>'1 Data'!B330</f>
        <v/>
      </c>
      <c r="C341" s="47" t="n">
        <v>0.6913676</v>
      </c>
      <c r="D341" s="27">
        <f>'1 Data'!I330</f>
        <v/>
      </c>
      <c r="E341" s="30">
        <f>COUNTIF($C$23:$C$1022,"&lt;"&amp;C341)+(COUNTIF($C$23:$C$1022,"="&amp;C341)+1)/2</f>
        <v/>
      </c>
    </row>
    <row r="342">
      <c r="B342" s="27">
        <f>'1 Data'!B331</f>
        <v/>
      </c>
      <c r="C342" s="47" t="n">
        <v>0.06314962</v>
      </c>
      <c r="D342" s="27">
        <f>'1 Data'!I331</f>
        <v/>
      </c>
      <c r="E342" s="30">
        <f>COUNTIF($C$23:$C$1022,"&lt;"&amp;C342)+(COUNTIF($C$23:$C$1022,"="&amp;C342)+1)/2</f>
        <v/>
      </c>
    </row>
    <row r="343">
      <c r="B343" s="27">
        <f>'1 Data'!B332</f>
        <v/>
      </c>
      <c r="C343" s="47" t="n">
        <v>0.36388817</v>
      </c>
      <c r="D343" s="27">
        <f>'1 Data'!I332</f>
        <v/>
      </c>
      <c r="E343" s="30">
        <f>COUNTIF($C$23:$C$1022,"&lt;"&amp;C343)+(COUNTIF($C$23:$C$1022,"="&amp;C343)+1)/2</f>
        <v/>
      </c>
    </row>
    <row r="344">
      <c r="B344" s="27">
        <f>'1 Data'!B333</f>
        <v/>
      </c>
      <c r="C344" s="47" t="n">
        <v>0.15756617</v>
      </c>
      <c r="D344" s="27">
        <f>'1 Data'!I333</f>
        <v/>
      </c>
      <c r="E344" s="30">
        <f>COUNTIF($C$23:$C$1022,"&lt;"&amp;C344)+(COUNTIF($C$23:$C$1022,"="&amp;C344)+1)/2</f>
        <v/>
      </c>
    </row>
    <row r="345">
      <c r="B345" s="27">
        <f>'1 Data'!B334</f>
        <v/>
      </c>
      <c r="C345" s="47" t="n">
        <v>0.14948289</v>
      </c>
      <c r="D345" s="27">
        <f>'1 Data'!I334</f>
        <v/>
      </c>
      <c r="E345" s="30">
        <f>COUNTIF($C$23:$C$1022,"&lt;"&amp;C345)+(COUNTIF($C$23:$C$1022,"="&amp;C345)+1)/2</f>
        <v/>
      </c>
    </row>
    <row r="346">
      <c r="B346" s="27">
        <f>'1 Data'!B335</f>
        <v/>
      </c>
      <c r="C346" s="47" t="n">
        <v>0.082264476</v>
      </c>
      <c r="D346" s="27">
        <f>'1 Data'!I335</f>
        <v/>
      </c>
      <c r="E346" s="30">
        <f>COUNTIF($C$23:$C$1022,"&lt;"&amp;C346)+(COUNTIF($C$23:$C$1022,"="&amp;C346)+1)/2</f>
        <v/>
      </c>
    </row>
    <row r="347">
      <c r="B347" s="27">
        <f>'1 Data'!B336</f>
        <v/>
      </c>
      <c r="C347" s="47" t="n">
        <v>0.24740964</v>
      </c>
      <c r="D347" s="27">
        <f>'1 Data'!I336</f>
        <v/>
      </c>
      <c r="E347" s="30">
        <f>COUNTIF($C$23:$C$1022,"&lt;"&amp;C347)+(COUNTIF($C$23:$C$1022,"="&amp;C347)+1)/2</f>
        <v/>
      </c>
    </row>
    <row r="348">
      <c r="B348" s="27">
        <f>'1 Data'!B337</f>
        <v/>
      </c>
      <c r="C348" s="47" t="n">
        <v>0.26784256</v>
      </c>
      <c r="D348" s="27">
        <f>'1 Data'!I337</f>
        <v/>
      </c>
      <c r="E348" s="30">
        <f>COUNTIF($C$23:$C$1022,"&lt;"&amp;C348)+(COUNTIF($C$23:$C$1022,"="&amp;C348)+1)/2</f>
        <v/>
      </c>
    </row>
    <row r="349">
      <c r="B349" s="27">
        <f>'1 Data'!B338</f>
        <v/>
      </c>
      <c r="C349" s="47" t="n">
        <v>0.15869808</v>
      </c>
      <c r="D349" s="27">
        <f>'1 Data'!I338</f>
        <v/>
      </c>
      <c r="E349" s="30">
        <f>COUNTIF($C$23:$C$1022,"&lt;"&amp;C349)+(COUNTIF($C$23:$C$1022,"="&amp;C349)+1)/2</f>
        <v/>
      </c>
    </row>
    <row r="350">
      <c r="B350" s="27">
        <f>'1 Data'!B339</f>
        <v/>
      </c>
      <c r="C350" s="47" t="n">
        <v>0.13204294</v>
      </c>
      <c r="D350" s="27">
        <f>'1 Data'!I339</f>
        <v/>
      </c>
      <c r="E350" s="30">
        <f>COUNTIF($C$23:$C$1022,"&lt;"&amp;C350)+(COUNTIF($C$23:$C$1022,"="&amp;C350)+1)/2</f>
        <v/>
      </c>
    </row>
    <row r="351">
      <c r="B351" s="27">
        <f>'1 Data'!B340</f>
        <v/>
      </c>
      <c r="C351" s="47" t="n">
        <v>0.110756494</v>
      </c>
      <c r="D351" s="27">
        <f>'1 Data'!I340</f>
        <v/>
      </c>
      <c r="E351" s="30">
        <f>COUNTIF($C$23:$C$1022,"&lt;"&amp;C351)+(COUNTIF($C$23:$C$1022,"="&amp;C351)+1)/2</f>
        <v/>
      </c>
    </row>
    <row r="352">
      <c r="B352" s="27">
        <f>'1 Data'!B341</f>
        <v/>
      </c>
      <c r="C352" s="47" t="n">
        <v>0.76333785</v>
      </c>
      <c r="D352" s="27">
        <f>'1 Data'!I341</f>
        <v/>
      </c>
      <c r="E352" s="30">
        <f>COUNTIF($C$23:$C$1022,"&lt;"&amp;C352)+(COUNTIF($C$23:$C$1022,"="&amp;C352)+1)/2</f>
        <v/>
      </c>
    </row>
    <row r="353">
      <c r="B353" s="27">
        <f>'1 Data'!B342</f>
        <v/>
      </c>
      <c r="C353" s="47" t="n">
        <v>0.24799807</v>
      </c>
      <c r="D353" s="27">
        <f>'1 Data'!I342</f>
        <v/>
      </c>
      <c r="E353" s="30">
        <f>COUNTIF($C$23:$C$1022,"&lt;"&amp;C353)+(COUNTIF($C$23:$C$1022,"="&amp;C353)+1)/2</f>
        <v/>
      </c>
    </row>
    <row r="354">
      <c r="B354" s="27">
        <f>'1 Data'!B343</f>
        <v/>
      </c>
      <c r="C354" s="47" t="n">
        <v>0.106022745</v>
      </c>
      <c r="D354" s="27">
        <f>'1 Data'!I343</f>
        <v/>
      </c>
      <c r="E354" s="30">
        <f>COUNTIF($C$23:$C$1022,"&lt;"&amp;C354)+(COUNTIF($C$23:$C$1022,"="&amp;C354)+1)/2</f>
        <v/>
      </c>
    </row>
    <row r="355">
      <c r="B355" s="27">
        <f>'1 Data'!B344</f>
        <v/>
      </c>
      <c r="C355" s="47" t="n">
        <v>0.19162472</v>
      </c>
      <c r="D355" s="27">
        <f>'1 Data'!I344</f>
        <v/>
      </c>
      <c r="E355" s="30">
        <f>COUNTIF($C$23:$C$1022,"&lt;"&amp;C355)+(COUNTIF($C$23:$C$1022,"="&amp;C355)+1)/2</f>
        <v/>
      </c>
    </row>
    <row r="356">
      <c r="B356" s="27">
        <f>'1 Data'!B345</f>
        <v/>
      </c>
      <c r="C356" s="47" t="n">
        <v>0.12785985</v>
      </c>
      <c r="D356" s="27">
        <f>'1 Data'!I345</f>
        <v/>
      </c>
      <c r="E356" s="30">
        <f>COUNTIF($C$23:$C$1022,"&lt;"&amp;C356)+(COUNTIF($C$23:$C$1022,"="&amp;C356)+1)/2</f>
        <v/>
      </c>
    </row>
    <row r="357">
      <c r="B357" s="27">
        <f>'1 Data'!B346</f>
        <v/>
      </c>
      <c r="C357" s="47" t="n">
        <v>0.12761062</v>
      </c>
      <c r="D357" s="27">
        <f>'1 Data'!I346</f>
        <v/>
      </c>
      <c r="E357" s="30">
        <f>COUNTIF($C$23:$C$1022,"&lt;"&amp;C357)+(COUNTIF($C$23:$C$1022,"="&amp;C357)+1)/2</f>
        <v/>
      </c>
    </row>
    <row r="358">
      <c r="B358" s="27">
        <f>'1 Data'!B347</f>
        <v/>
      </c>
      <c r="C358" s="47" t="n">
        <v>0.1609437</v>
      </c>
      <c r="D358" s="27">
        <f>'1 Data'!I347</f>
        <v/>
      </c>
      <c r="E358" s="30">
        <f>COUNTIF($C$23:$C$1022,"&lt;"&amp;C358)+(COUNTIF($C$23:$C$1022,"="&amp;C358)+1)/2</f>
        <v/>
      </c>
    </row>
    <row r="359">
      <c r="B359" s="27">
        <f>'1 Data'!B348</f>
        <v/>
      </c>
      <c r="C359" s="47" t="n">
        <v>0.18950471</v>
      </c>
      <c r="D359" s="27">
        <f>'1 Data'!I348</f>
        <v/>
      </c>
      <c r="E359" s="30">
        <f>COUNTIF($C$23:$C$1022,"&lt;"&amp;C359)+(COUNTIF($C$23:$C$1022,"="&amp;C359)+1)/2</f>
        <v/>
      </c>
    </row>
    <row r="360">
      <c r="B360" s="27">
        <f>'1 Data'!B349</f>
        <v/>
      </c>
      <c r="C360" s="47" t="n">
        <v>0.15459894</v>
      </c>
      <c r="D360" s="27">
        <f>'1 Data'!I349</f>
        <v/>
      </c>
      <c r="E360" s="30">
        <f>COUNTIF($C$23:$C$1022,"&lt;"&amp;C360)+(COUNTIF($C$23:$C$1022,"="&amp;C360)+1)/2</f>
        <v/>
      </c>
    </row>
    <row r="361">
      <c r="B361" s="27">
        <f>'1 Data'!B350</f>
        <v/>
      </c>
      <c r="C361" s="47" t="n">
        <v>0.1114302</v>
      </c>
      <c r="D361" s="27">
        <f>'1 Data'!I350</f>
        <v/>
      </c>
      <c r="E361" s="30">
        <f>COUNTIF($C$23:$C$1022,"&lt;"&amp;C361)+(COUNTIF($C$23:$C$1022,"="&amp;C361)+1)/2</f>
        <v/>
      </c>
    </row>
    <row r="362">
      <c r="B362" s="27">
        <f>'1 Data'!B351</f>
        <v/>
      </c>
      <c r="C362" s="47" t="n">
        <v>0.57042736</v>
      </c>
      <c r="D362" s="27">
        <f>'1 Data'!I351</f>
        <v/>
      </c>
      <c r="E362" s="30">
        <f>COUNTIF($C$23:$C$1022,"&lt;"&amp;C362)+(COUNTIF($C$23:$C$1022,"="&amp;C362)+1)/2</f>
        <v/>
      </c>
    </row>
    <row r="363">
      <c r="B363" s="27">
        <f>'1 Data'!B352</f>
        <v/>
      </c>
      <c r="C363" s="47" t="n">
        <v>0.1769208</v>
      </c>
      <c r="D363" s="27">
        <f>'1 Data'!I352</f>
        <v/>
      </c>
      <c r="E363" s="30">
        <f>COUNTIF($C$23:$C$1022,"&lt;"&amp;C363)+(COUNTIF($C$23:$C$1022,"="&amp;C363)+1)/2</f>
        <v/>
      </c>
    </row>
    <row r="364">
      <c r="B364" s="27">
        <f>'1 Data'!B353</f>
        <v/>
      </c>
      <c r="C364" s="47" t="n">
        <v>0.72749513</v>
      </c>
      <c r="D364" s="27">
        <f>'1 Data'!I353</f>
        <v/>
      </c>
      <c r="E364" s="30">
        <f>COUNTIF($C$23:$C$1022,"&lt;"&amp;C364)+(COUNTIF($C$23:$C$1022,"="&amp;C364)+1)/2</f>
        <v/>
      </c>
    </row>
    <row r="365">
      <c r="B365" s="27">
        <f>'1 Data'!B354</f>
        <v/>
      </c>
      <c r="C365" s="47" t="n">
        <v>0.08010763999999999</v>
      </c>
      <c r="D365" s="27">
        <f>'1 Data'!I354</f>
        <v/>
      </c>
      <c r="E365" s="30">
        <f>COUNTIF($C$23:$C$1022,"&lt;"&amp;C365)+(COUNTIF($C$23:$C$1022,"="&amp;C365)+1)/2</f>
        <v/>
      </c>
    </row>
    <row r="366">
      <c r="B366" s="27">
        <f>'1 Data'!B355</f>
        <v/>
      </c>
      <c r="C366" s="47" t="n">
        <v>0.08883494</v>
      </c>
      <c r="D366" s="27">
        <f>'1 Data'!I355</f>
        <v/>
      </c>
      <c r="E366" s="30">
        <f>COUNTIF($C$23:$C$1022,"&lt;"&amp;C366)+(COUNTIF($C$23:$C$1022,"="&amp;C366)+1)/2</f>
        <v/>
      </c>
    </row>
    <row r="367">
      <c r="B367" s="27">
        <f>'1 Data'!B356</f>
        <v/>
      </c>
      <c r="C367" s="47" t="n">
        <v>0.101016305</v>
      </c>
      <c r="D367" s="27">
        <f>'1 Data'!I356</f>
        <v/>
      </c>
      <c r="E367" s="30">
        <f>COUNTIF($C$23:$C$1022,"&lt;"&amp;C367)+(COUNTIF($C$23:$C$1022,"="&amp;C367)+1)/2</f>
        <v/>
      </c>
    </row>
    <row r="368">
      <c r="B368" s="27">
        <f>'1 Data'!B357</f>
        <v/>
      </c>
      <c r="C368" s="47" t="n">
        <v>0.1929104</v>
      </c>
      <c r="D368" s="27">
        <f>'1 Data'!I357</f>
        <v/>
      </c>
      <c r="E368" s="30">
        <f>COUNTIF($C$23:$C$1022,"&lt;"&amp;C368)+(COUNTIF($C$23:$C$1022,"="&amp;C368)+1)/2</f>
        <v/>
      </c>
    </row>
    <row r="369">
      <c r="B369" s="27">
        <f>'1 Data'!B358</f>
        <v/>
      </c>
      <c r="C369" s="47" t="n">
        <v>0.05971357</v>
      </c>
      <c r="D369" s="27">
        <f>'1 Data'!I358</f>
        <v/>
      </c>
      <c r="E369" s="30">
        <f>COUNTIF($C$23:$C$1022,"&lt;"&amp;C369)+(COUNTIF($C$23:$C$1022,"="&amp;C369)+1)/2</f>
        <v/>
      </c>
    </row>
    <row r="370">
      <c r="B370" s="27">
        <f>'1 Data'!B359</f>
        <v/>
      </c>
      <c r="C370" s="47" t="n">
        <v>0.0608087</v>
      </c>
      <c r="D370" s="27">
        <f>'1 Data'!I359</f>
        <v/>
      </c>
      <c r="E370" s="30">
        <f>COUNTIF($C$23:$C$1022,"&lt;"&amp;C370)+(COUNTIF($C$23:$C$1022,"="&amp;C370)+1)/2</f>
        <v/>
      </c>
    </row>
    <row r="371">
      <c r="B371" s="27">
        <f>'1 Data'!B360</f>
        <v/>
      </c>
      <c r="C371" s="47" t="n">
        <v>0.08657437599999999</v>
      </c>
      <c r="D371" s="27">
        <f>'1 Data'!I360</f>
        <v/>
      </c>
      <c r="E371" s="30">
        <f>COUNTIF($C$23:$C$1022,"&lt;"&amp;C371)+(COUNTIF($C$23:$C$1022,"="&amp;C371)+1)/2</f>
        <v/>
      </c>
    </row>
    <row r="372">
      <c r="B372" s="27">
        <f>'1 Data'!B361</f>
        <v/>
      </c>
      <c r="C372" s="47" t="n">
        <v>0.30328003</v>
      </c>
      <c r="D372" s="27">
        <f>'1 Data'!I361</f>
        <v/>
      </c>
      <c r="E372" s="30">
        <f>COUNTIF($C$23:$C$1022,"&lt;"&amp;C372)+(COUNTIF($C$23:$C$1022,"="&amp;C372)+1)/2</f>
        <v/>
      </c>
    </row>
    <row r="373">
      <c r="B373" s="27">
        <f>'1 Data'!B362</f>
        <v/>
      </c>
      <c r="C373" s="47" t="n">
        <v>0.07606323</v>
      </c>
      <c r="D373" s="27">
        <f>'1 Data'!I362</f>
        <v/>
      </c>
      <c r="E373" s="30">
        <f>COUNTIF($C$23:$C$1022,"&lt;"&amp;C373)+(COUNTIF($C$23:$C$1022,"="&amp;C373)+1)/2</f>
        <v/>
      </c>
    </row>
    <row r="374">
      <c r="B374" s="27">
        <f>'1 Data'!B363</f>
        <v/>
      </c>
      <c r="C374" s="47" t="n">
        <v>0.44772133</v>
      </c>
      <c r="D374" s="27">
        <f>'1 Data'!I363</f>
        <v/>
      </c>
      <c r="E374" s="30">
        <f>COUNTIF($C$23:$C$1022,"&lt;"&amp;C374)+(COUNTIF($C$23:$C$1022,"="&amp;C374)+1)/2</f>
        <v/>
      </c>
    </row>
    <row r="375">
      <c r="B375" s="27">
        <f>'1 Data'!B364</f>
        <v/>
      </c>
      <c r="C375" s="47" t="n">
        <v>0.24511033</v>
      </c>
      <c r="D375" s="27">
        <f>'1 Data'!I364</f>
        <v/>
      </c>
      <c r="E375" s="30">
        <f>COUNTIF($C$23:$C$1022,"&lt;"&amp;C375)+(COUNTIF($C$23:$C$1022,"="&amp;C375)+1)/2</f>
        <v/>
      </c>
    </row>
    <row r="376">
      <c r="B376" s="27">
        <f>'1 Data'!B365</f>
        <v/>
      </c>
      <c r="C376" s="47" t="n">
        <v>0.6612563</v>
      </c>
      <c r="D376" s="27">
        <f>'1 Data'!I365</f>
        <v/>
      </c>
      <c r="E376" s="30">
        <f>COUNTIF($C$23:$C$1022,"&lt;"&amp;C376)+(COUNTIF($C$23:$C$1022,"="&amp;C376)+1)/2</f>
        <v/>
      </c>
    </row>
    <row r="377">
      <c r="B377" s="27">
        <f>'1 Data'!B366</f>
        <v/>
      </c>
      <c r="C377" s="47" t="n">
        <v>0.15831445</v>
      </c>
      <c r="D377" s="27">
        <f>'1 Data'!I366</f>
        <v/>
      </c>
      <c r="E377" s="30">
        <f>COUNTIF($C$23:$C$1022,"&lt;"&amp;C377)+(COUNTIF($C$23:$C$1022,"="&amp;C377)+1)/2</f>
        <v/>
      </c>
    </row>
    <row r="378">
      <c r="B378" s="27">
        <f>'1 Data'!B367</f>
        <v/>
      </c>
      <c r="C378" s="47" t="n">
        <v>0.048700713</v>
      </c>
      <c r="D378" s="27">
        <f>'1 Data'!I367</f>
        <v/>
      </c>
      <c r="E378" s="30">
        <f>COUNTIF($C$23:$C$1022,"&lt;"&amp;C378)+(COUNTIF($C$23:$C$1022,"="&amp;C378)+1)/2</f>
        <v/>
      </c>
    </row>
    <row r="379">
      <c r="B379" s="27">
        <f>'1 Data'!B368</f>
        <v/>
      </c>
      <c r="C379" s="47" t="n">
        <v>0.7658142999999999</v>
      </c>
      <c r="D379" s="27">
        <f>'1 Data'!I368</f>
        <v/>
      </c>
      <c r="E379" s="30">
        <f>COUNTIF($C$23:$C$1022,"&lt;"&amp;C379)+(COUNTIF($C$23:$C$1022,"="&amp;C379)+1)/2</f>
        <v/>
      </c>
    </row>
    <row r="380">
      <c r="B380" s="27">
        <f>'1 Data'!B369</f>
        <v/>
      </c>
      <c r="C380" s="47" t="n">
        <v>0.16717118</v>
      </c>
      <c r="D380" s="27">
        <f>'1 Data'!I369</f>
        <v/>
      </c>
      <c r="E380" s="30">
        <f>COUNTIF($C$23:$C$1022,"&lt;"&amp;C380)+(COUNTIF($C$23:$C$1022,"="&amp;C380)+1)/2</f>
        <v/>
      </c>
    </row>
    <row r="381">
      <c r="B381" s="27">
        <f>'1 Data'!B370</f>
        <v/>
      </c>
      <c r="C381" s="47" t="n">
        <v>0.5672994</v>
      </c>
      <c r="D381" s="27">
        <f>'1 Data'!I370</f>
        <v/>
      </c>
      <c r="E381" s="30">
        <f>COUNTIF($C$23:$C$1022,"&lt;"&amp;C381)+(COUNTIF($C$23:$C$1022,"="&amp;C381)+1)/2</f>
        <v/>
      </c>
    </row>
    <row r="382">
      <c r="B382" s="27">
        <f>'1 Data'!B371</f>
        <v/>
      </c>
      <c r="C382" s="47" t="n">
        <v>0.80304354</v>
      </c>
      <c r="D382" s="27">
        <f>'1 Data'!I371</f>
        <v/>
      </c>
      <c r="E382" s="30">
        <f>COUNTIF($C$23:$C$1022,"&lt;"&amp;C382)+(COUNTIF($C$23:$C$1022,"="&amp;C382)+1)/2</f>
        <v/>
      </c>
    </row>
    <row r="383">
      <c r="B383" s="27">
        <f>'1 Data'!B372</f>
        <v/>
      </c>
      <c r="C383" s="47" t="n">
        <v>0.2587266</v>
      </c>
      <c r="D383" s="27">
        <f>'1 Data'!I372</f>
        <v/>
      </c>
      <c r="E383" s="30">
        <f>COUNTIF($C$23:$C$1022,"&lt;"&amp;C383)+(COUNTIF($C$23:$C$1022,"="&amp;C383)+1)/2</f>
        <v/>
      </c>
    </row>
    <row r="384">
      <c r="B384" s="27">
        <f>'1 Data'!B373</f>
        <v/>
      </c>
      <c r="C384" s="47" t="n">
        <v>0.06013357</v>
      </c>
      <c r="D384" s="27">
        <f>'1 Data'!I373</f>
        <v/>
      </c>
      <c r="E384" s="30">
        <f>COUNTIF($C$23:$C$1022,"&lt;"&amp;C384)+(COUNTIF($C$23:$C$1022,"="&amp;C384)+1)/2</f>
        <v/>
      </c>
    </row>
    <row r="385">
      <c r="B385" s="27">
        <f>'1 Data'!B374</f>
        <v/>
      </c>
      <c r="C385" s="47" t="n">
        <v>0.09878882999999999</v>
      </c>
      <c r="D385" s="27">
        <f>'1 Data'!I374</f>
        <v/>
      </c>
      <c r="E385" s="30">
        <f>COUNTIF($C$23:$C$1022,"&lt;"&amp;C385)+(COUNTIF($C$23:$C$1022,"="&amp;C385)+1)/2</f>
        <v/>
      </c>
    </row>
    <row r="386">
      <c r="B386" s="27">
        <f>'1 Data'!B375</f>
        <v/>
      </c>
      <c r="C386" s="47" t="n">
        <v>0.03541096</v>
      </c>
      <c r="D386" s="27">
        <f>'1 Data'!I375</f>
        <v/>
      </c>
      <c r="E386" s="30">
        <f>COUNTIF($C$23:$C$1022,"&lt;"&amp;C386)+(COUNTIF($C$23:$C$1022,"="&amp;C386)+1)/2</f>
        <v/>
      </c>
    </row>
    <row r="387">
      <c r="B387" s="27">
        <f>'1 Data'!B376</f>
        <v/>
      </c>
      <c r="C387" s="47" t="n">
        <v>0.19282268</v>
      </c>
      <c r="D387" s="27">
        <f>'1 Data'!I376</f>
        <v/>
      </c>
      <c r="E387" s="30">
        <f>COUNTIF($C$23:$C$1022,"&lt;"&amp;C387)+(COUNTIF($C$23:$C$1022,"="&amp;C387)+1)/2</f>
        <v/>
      </c>
    </row>
    <row r="388">
      <c r="B388" s="27">
        <f>'1 Data'!B377</f>
        <v/>
      </c>
      <c r="C388" s="47" t="n">
        <v>0.11173599</v>
      </c>
      <c r="D388" s="27">
        <f>'1 Data'!I377</f>
        <v/>
      </c>
      <c r="E388" s="30">
        <f>COUNTIF($C$23:$C$1022,"&lt;"&amp;C388)+(COUNTIF($C$23:$C$1022,"="&amp;C388)+1)/2</f>
        <v/>
      </c>
    </row>
    <row r="389">
      <c r="B389" s="27">
        <f>'1 Data'!B378</f>
        <v/>
      </c>
      <c r="C389" s="47" t="n">
        <v>0.12141649</v>
      </c>
      <c r="D389" s="27">
        <f>'1 Data'!I378</f>
        <v/>
      </c>
      <c r="E389" s="30">
        <f>COUNTIF($C$23:$C$1022,"&lt;"&amp;C389)+(COUNTIF($C$23:$C$1022,"="&amp;C389)+1)/2</f>
        <v/>
      </c>
    </row>
    <row r="390">
      <c r="B390" s="27">
        <f>'1 Data'!B379</f>
        <v/>
      </c>
      <c r="C390" s="47" t="n">
        <v>0.060014915</v>
      </c>
      <c r="D390" s="27">
        <f>'1 Data'!I379</f>
        <v/>
      </c>
      <c r="E390" s="30">
        <f>COUNTIF($C$23:$C$1022,"&lt;"&amp;C390)+(COUNTIF($C$23:$C$1022,"="&amp;C390)+1)/2</f>
        <v/>
      </c>
    </row>
    <row r="391">
      <c r="B391" s="27">
        <f>'1 Data'!B380</f>
        <v/>
      </c>
      <c r="C391" s="47" t="n">
        <v>0.25152287</v>
      </c>
      <c r="D391" s="27">
        <f>'1 Data'!I380</f>
        <v/>
      </c>
      <c r="E391" s="30">
        <f>COUNTIF($C$23:$C$1022,"&lt;"&amp;C391)+(COUNTIF($C$23:$C$1022,"="&amp;C391)+1)/2</f>
        <v/>
      </c>
    </row>
    <row r="392">
      <c r="B392" s="27">
        <f>'1 Data'!B381</f>
        <v/>
      </c>
      <c r="C392" s="47" t="n">
        <v>0.17876446</v>
      </c>
      <c r="D392" s="27">
        <f>'1 Data'!I381</f>
        <v/>
      </c>
      <c r="E392" s="30">
        <f>COUNTIF($C$23:$C$1022,"&lt;"&amp;C392)+(COUNTIF($C$23:$C$1022,"="&amp;C392)+1)/2</f>
        <v/>
      </c>
    </row>
    <row r="393">
      <c r="B393" s="27">
        <f>'1 Data'!B382</f>
        <v/>
      </c>
      <c r="C393" s="47" t="n">
        <v>0.13941032</v>
      </c>
      <c r="D393" s="27">
        <f>'1 Data'!I382</f>
        <v/>
      </c>
      <c r="E393" s="30">
        <f>COUNTIF($C$23:$C$1022,"&lt;"&amp;C393)+(COUNTIF($C$23:$C$1022,"="&amp;C393)+1)/2</f>
        <v/>
      </c>
    </row>
    <row r="394">
      <c r="B394" s="27">
        <f>'1 Data'!B383</f>
        <v/>
      </c>
      <c r="C394" s="47" t="n">
        <v>0.11948519</v>
      </c>
      <c r="D394" s="27">
        <f>'1 Data'!I383</f>
        <v/>
      </c>
      <c r="E394" s="30">
        <f>COUNTIF($C$23:$C$1022,"&lt;"&amp;C394)+(COUNTIF($C$23:$C$1022,"="&amp;C394)+1)/2</f>
        <v/>
      </c>
    </row>
    <row r="395">
      <c r="B395" s="27">
        <f>'1 Data'!B384</f>
        <v/>
      </c>
      <c r="C395" s="47" t="n">
        <v>0.06959039</v>
      </c>
      <c r="D395" s="27">
        <f>'1 Data'!I384</f>
        <v/>
      </c>
      <c r="E395" s="30">
        <f>COUNTIF($C$23:$C$1022,"&lt;"&amp;C395)+(COUNTIF($C$23:$C$1022,"="&amp;C395)+1)/2</f>
        <v/>
      </c>
    </row>
    <row r="396">
      <c r="B396" s="27">
        <f>'1 Data'!B385</f>
        <v/>
      </c>
      <c r="C396" s="47" t="n">
        <v>0.08382205</v>
      </c>
      <c r="D396" s="27">
        <f>'1 Data'!I385</f>
        <v/>
      </c>
      <c r="E396" s="30">
        <f>COUNTIF($C$23:$C$1022,"&lt;"&amp;C396)+(COUNTIF($C$23:$C$1022,"="&amp;C396)+1)/2</f>
        <v/>
      </c>
    </row>
    <row r="397">
      <c r="B397" s="27">
        <f>'1 Data'!B386</f>
        <v/>
      </c>
      <c r="C397" s="47" t="n">
        <v>0.18462889</v>
      </c>
      <c r="D397" s="27">
        <f>'1 Data'!I386</f>
        <v/>
      </c>
      <c r="E397" s="30">
        <f>COUNTIF($C$23:$C$1022,"&lt;"&amp;C397)+(COUNTIF($C$23:$C$1022,"="&amp;C397)+1)/2</f>
        <v/>
      </c>
    </row>
    <row r="398">
      <c r="B398" s="27">
        <f>'1 Data'!B387</f>
        <v/>
      </c>
      <c r="C398" s="47" t="n">
        <v>0.24422204</v>
      </c>
      <c r="D398" s="27">
        <f>'1 Data'!I387</f>
        <v/>
      </c>
      <c r="E398" s="30">
        <f>COUNTIF($C$23:$C$1022,"&lt;"&amp;C398)+(COUNTIF($C$23:$C$1022,"="&amp;C398)+1)/2</f>
        <v/>
      </c>
    </row>
    <row r="399">
      <c r="B399" s="27">
        <f>'1 Data'!B388</f>
        <v/>
      </c>
      <c r="C399" s="47" t="n">
        <v>0.17478423</v>
      </c>
      <c r="D399" s="27">
        <f>'1 Data'!I388</f>
        <v/>
      </c>
      <c r="E399" s="30">
        <f>COUNTIF($C$23:$C$1022,"&lt;"&amp;C399)+(COUNTIF($C$23:$C$1022,"="&amp;C399)+1)/2</f>
        <v/>
      </c>
    </row>
    <row r="400">
      <c r="B400" s="27">
        <f>'1 Data'!B389</f>
        <v/>
      </c>
      <c r="C400" s="47" t="n">
        <v>0.04929776</v>
      </c>
      <c r="D400" s="27">
        <f>'1 Data'!I389</f>
        <v/>
      </c>
      <c r="E400" s="30">
        <f>COUNTIF($C$23:$C$1022,"&lt;"&amp;C400)+(COUNTIF($C$23:$C$1022,"="&amp;C400)+1)/2</f>
        <v/>
      </c>
    </row>
    <row r="401">
      <c r="B401" s="27">
        <f>'1 Data'!B390</f>
        <v/>
      </c>
      <c r="C401" s="47" t="n">
        <v>0.49693954</v>
      </c>
      <c r="D401" s="27">
        <f>'1 Data'!I390</f>
        <v/>
      </c>
      <c r="E401" s="30">
        <f>COUNTIF($C$23:$C$1022,"&lt;"&amp;C401)+(COUNTIF($C$23:$C$1022,"="&amp;C401)+1)/2</f>
        <v/>
      </c>
    </row>
    <row r="402">
      <c r="B402" s="27">
        <f>'1 Data'!B391</f>
        <v/>
      </c>
      <c r="C402" s="47" t="n">
        <v>0.2326825</v>
      </c>
      <c r="D402" s="27">
        <f>'1 Data'!I391</f>
        <v/>
      </c>
      <c r="E402" s="30">
        <f>COUNTIF($C$23:$C$1022,"&lt;"&amp;C402)+(COUNTIF($C$23:$C$1022,"="&amp;C402)+1)/2</f>
        <v/>
      </c>
    </row>
    <row r="403">
      <c r="B403" s="27">
        <f>'1 Data'!B392</f>
        <v/>
      </c>
      <c r="C403" s="47" t="n">
        <v>0.15850665</v>
      </c>
      <c r="D403" s="27">
        <f>'1 Data'!I392</f>
        <v/>
      </c>
      <c r="E403" s="30">
        <f>COUNTIF($C$23:$C$1022,"&lt;"&amp;C403)+(COUNTIF($C$23:$C$1022,"="&amp;C403)+1)/2</f>
        <v/>
      </c>
    </row>
    <row r="404">
      <c r="B404" s="27">
        <f>'1 Data'!B393</f>
        <v/>
      </c>
      <c r="C404" s="47" t="n">
        <v>0.13932467</v>
      </c>
      <c r="D404" s="27">
        <f>'1 Data'!I393</f>
        <v/>
      </c>
      <c r="E404" s="30">
        <f>COUNTIF($C$23:$C$1022,"&lt;"&amp;C404)+(COUNTIF($C$23:$C$1022,"="&amp;C404)+1)/2</f>
        <v/>
      </c>
    </row>
    <row r="405">
      <c r="B405" s="27">
        <f>'1 Data'!B394</f>
        <v/>
      </c>
      <c r="C405" s="47" t="n">
        <v>0.07165659000000001</v>
      </c>
      <c r="D405" s="27">
        <f>'1 Data'!I394</f>
        <v/>
      </c>
      <c r="E405" s="30">
        <f>COUNTIF($C$23:$C$1022,"&lt;"&amp;C405)+(COUNTIF($C$23:$C$1022,"="&amp;C405)+1)/2</f>
        <v/>
      </c>
    </row>
    <row r="406">
      <c r="B406" s="27">
        <f>'1 Data'!B395</f>
        <v/>
      </c>
      <c r="C406" s="47" t="n">
        <v>0.15731116</v>
      </c>
      <c r="D406" s="27">
        <f>'1 Data'!I395</f>
        <v/>
      </c>
      <c r="E406" s="30">
        <f>COUNTIF($C$23:$C$1022,"&lt;"&amp;C406)+(COUNTIF($C$23:$C$1022,"="&amp;C406)+1)/2</f>
        <v/>
      </c>
    </row>
    <row r="407">
      <c r="B407" s="27">
        <f>'1 Data'!B396</f>
        <v/>
      </c>
      <c r="C407" s="47" t="n">
        <v>0.1505613</v>
      </c>
      <c r="D407" s="27">
        <f>'1 Data'!I396</f>
        <v/>
      </c>
      <c r="E407" s="30">
        <f>COUNTIF($C$23:$C$1022,"&lt;"&amp;C407)+(COUNTIF($C$23:$C$1022,"="&amp;C407)+1)/2</f>
        <v/>
      </c>
    </row>
    <row r="408">
      <c r="B408" s="27">
        <f>'1 Data'!B397</f>
        <v/>
      </c>
      <c r="C408" s="47" t="n">
        <v>0.4084254</v>
      </c>
      <c r="D408" s="27">
        <f>'1 Data'!I397</f>
        <v/>
      </c>
      <c r="E408" s="30">
        <f>COUNTIF($C$23:$C$1022,"&lt;"&amp;C408)+(COUNTIF($C$23:$C$1022,"="&amp;C408)+1)/2</f>
        <v/>
      </c>
    </row>
    <row r="409">
      <c r="B409" s="27">
        <f>'1 Data'!B398</f>
        <v/>
      </c>
      <c r="C409" s="47" t="n">
        <v>0.2047681</v>
      </c>
      <c r="D409" s="27">
        <f>'1 Data'!I398</f>
        <v/>
      </c>
      <c r="E409" s="30">
        <f>COUNTIF($C$23:$C$1022,"&lt;"&amp;C409)+(COUNTIF($C$23:$C$1022,"="&amp;C409)+1)/2</f>
        <v/>
      </c>
    </row>
    <row r="410">
      <c r="B410" s="27">
        <f>'1 Data'!B399</f>
        <v/>
      </c>
      <c r="C410" s="47" t="n">
        <v>0.19610459</v>
      </c>
      <c r="D410" s="27">
        <f>'1 Data'!I399</f>
        <v/>
      </c>
      <c r="E410" s="30">
        <f>COUNTIF($C$23:$C$1022,"&lt;"&amp;C410)+(COUNTIF($C$23:$C$1022,"="&amp;C410)+1)/2</f>
        <v/>
      </c>
    </row>
    <row r="411">
      <c r="B411" s="27">
        <f>'1 Data'!B400</f>
        <v/>
      </c>
      <c r="C411" s="47" t="n">
        <v>0.11349704</v>
      </c>
      <c r="D411" s="27">
        <f>'1 Data'!I400</f>
        <v/>
      </c>
      <c r="E411" s="30">
        <f>COUNTIF($C$23:$C$1022,"&lt;"&amp;C411)+(COUNTIF($C$23:$C$1022,"="&amp;C411)+1)/2</f>
        <v/>
      </c>
    </row>
    <row r="412">
      <c r="B412" s="27">
        <f>'1 Data'!B401</f>
        <v/>
      </c>
      <c r="C412" s="47" t="n">
        <v>0.42207313</v>
      </c>
      <c r="D412" s="27">
        <f>'1 Data'!I401</f>
        <v/>
      </c>
      <c r="E412" s="30">
        <f>COUNTIF($C$23:$C$1022,"&lt;"&amp;C412)+(COUNTIF($C$23:$C$1022,"="&amp;C412)+1)/2</f>
        <v/>
      </c>
    </row>
    <row r="413">
      <c r="B413" s="27">
        <f>'1 Data'!B402</f>
        <v/>
      </c>
      <c r="C413" s="47" t="n">
        <v>0.1852695</v>
      </c>
      <c r="D413" s="27">
        <f>'1 Data'!I402</f>
        <v/>
      </c>
      <c r="E413" s="30">
        <f>COUNTIF($C$23:$C$1022,"&lt;"&amp;C413)+(COUNTIF($C$23:$C$1022,"="&amp;C413)+1)/2</f>
        <v/>
      </c>
    </row>
    <row r="414">
      <c r="B414" s="27">
        <f>'1 Data'!B403</f>
        <v/>
      </c>
      <c r="C414" s="47" t="n">
        <v>0.124465406</v>
      </c>
      <c r="D414" s="27">
        <f>'1 Data'!I403</f>
        <v/>
      </c>
      <c r="E414" s="30">
        <f>COUNTIF($C$23:$C$1022,"&lt;"&amp;C414)+(COUNTIF($C$23:$C$1022,"="&amp;C414)+1)/2</f>
        <v/>
      </c>
    </row>
    <row r="415">
      <c r="B415" s="27">
        <f>'1 Data'!B404</f>
        <v/>
      </c>
      <c r="C415" s="47" t="n">
        <v>0.12378602</v>
      </c>
      <c r="D415" s="27">
        <f>'1 Data'!I404</f>
        <v/>
      </c>
      <c r="E415" s="30">
        <f>COUNTIF($C$23:$C$1022,"&lt;"&amp;C415)+(COUNTIF($C$23:$C$1022,"="&amp;C415)+1)/2</f>
        <v/>
      </c>
    </row>
    <row r="416">
      <c r="B416" s="27">
        <f>'1 Data'!B405</f>
        <v/>
      </c>
      <c r="C416" s="47" t="n">
        <v>0.13128315</v>
      </c>
      <c r="D416" s="27">
        <f>'1 Data'!I405</f>
        <v/>
      </c>
      <c r="E416" s="30">
        <f>COUNTIF($C$23:$C$1022,"&lt;"&amp;C416)+(COUNTIF($C$23:$C$1022,"="&amp;C416)+1)/2</f>
        <v/>
      </c>
    </row>
    <row r="417">
      <c r="B417" s="27">
        <f>'1 Data'!B406</f>
        <v/>
      </c>
      <c r="C417" s="47" t="n">
        <v>0.22430465</v>
      </c>
      <c r="D417" s="27">
        <f>'1 Data'!I406</f>
        <v/>
      </c>
      <c r="E417" s="30">
        <f>COUNTIF($C$23:$C$1022,"&lt;"&amp;C417)+(COUNTIF($C$23:$C$1022,"="&amp;C417)+1)/2</f>
        <v/>
      </c>
    </row>
    <row r="418">
      <c r="B418" s="27">
        <f>'1 Data'!B407</f>
        <v/>
      </c>
      <c r="C418" s="47" t="n">
        <v>0.10910308</v>
      </c>
      <c r="D418" s="27">
        <f>'1 Data'!I407</f>
        <v/>
      </c>
      <c r="E418" s="30">
        <f>COUNTIF($C$23:$C$1022,"&lt;"&amp;C418)+(COUNTIF($C$23:$C$1022,"="&amp;C418)+1)/2</f>
        <v/>
      </c>
    </row>
    <row r="419">
      <c r="B419" s="27">
        <f>'1 Data'!B408</f>
        <v/>
      </c>
      <c r="C419" s="47" t="n">
        <v>0.08096539</v>
      </c>
      <c r="D419" s="27">
        <f>'1 Data'!I408</f>
        <v/>
      </c>
      <c r="E419" s="30">
        <f>COUNTIF($C$23:$C$1022,"&lt;"&amp;C419)+(COUNTIF($C$23:$C$1022,"="&amp;C419)+1)/2</f>
        <v/>
      </c>
    </row>
    <row r="420">
      <c r="B420" s="27">
        <f>'1 Data'!B409</f>
        <v/>
      </c>
      <c r="C420" s="47" t="n">
        <v>0.40202898</v>
      </c>
      <c r="D420" s="27">
        <f>'1 Data'!I409</f>
        <v/>
      </c>
      <c r="E420" s="30">
        <f>COUNTIF($C$23:$C$1022,"&lt;"&amp;C420)+(COUNTIF($C$23:$C$1022,"="&amp;C420)+1)/2</f>
        <v/>
      </c>
    </row>
    <row r="421">
      <c r="B421" s="27">
        <f>'1 Data'!B410</f>
        <v/>
      </c>
      <c r="C421" s="47" t="n">
        <v>0.15850665</v>
      </c>
      <c r="D421" s="27">
        <f>'1 Data'!I410</f>
        <v/>
      </c>
      <c r="E421" s="30">
        <f>COUNTIF($C$23:$C$1022,"&lt;"&amp;C421)+(COUNTIF($C$23:$C$1022,"="&amp;C421)+1)/2</f>
        <v/>
      </c>
    </row>
    <row r="422">
      <c r="B422" s="27">
        <f>'1 Data'!B411</f>
        <v/>
      </c>
      <c r="C422" s="47" t="n">
        <v>0.13411567</v>
      </c>
      <c r="D422" s="27">
        <f>'1 Data'!I411</f>
        <v/>
      </c>
      <c r="E422" s="30">
        <f>COUNTIF($C$23:$C$1022,"&lt;"&amp;C422)+(COUNTIF($C$23:$C$1022,"="&amp;C422)+1)/2</f>
        <v/>
      </c>
    </row>
    <row r="423">
      <c r="B423" s="27">
        <f>'1 Data'!B412</f>
        <v/>
      </c>
      <c r="C423" s="47" t="n">
        <v>0.12679686</v>
      </c>
      <c r="D423" s="27">
        <f>'1 Data'!I412</f>
        <v/>
      </c>
      <c r="E423" s="30">
        <f>COUNTIF($C$23:$C$1022,"&lt;"&amp;C423)+(COUNTIF($C$23:$C$1022,"="&amp;C423)+1)/2</f>
        <v/>
      </c>
    </row>
    <row r="424">
      <c r="B424" s="27">
        <f>'1 Data'!B413</f>
        <v/>
      </c>
      <c r="C424" s="47" t="n">
        <v>0.27116114</v>
      </c>
      <c r="D424" s="27">
        <f>'1 Data'!I413</f>
        <v/>
      </c>
      <c r="E424" s="30">
        <f>COUNTIF($C$23:$C$1022,"&lt;"&amp;C424)+(COUNTIF($C$23:$C$1022,"="&amp;C424)+1)/2</f>
        <v/>
      </c>
    </row>
    <row r="425">
      <c r="B425" s="27">
        <f>'1 Data'!B414</f>
        <v/>
      </c>
      <c r="C425" s="47" t="n">
        <v>0.23874725</v>
      </c>
      <c r="D425" s="27">
        <f>'1 Data'!I414</f>
        <v/>
      </c>
      <c r="E425" s="30">
        <f>COUNTIF($C$23:$C$1022,"&lt;"&amp;C425)+(COUNTIF($C$23:$C$1022,"="&amp;C425)+1)/2</f>
        <v/>
      </c>
    </row>
    <row r="426">
      <c r="B426" s="27">
        <f>'1 Data'!B415</f>
        <v/>
      </c>
      <c r="C426" s="47" t="n">
        <v>0.20518748</v>
      </c>
      <c r="D426" s="27">
        <f>'1 Data'!I415</f>
        <v/>
      </c>
      <c r="E426" s="30">
        <f>COUNTIF($C$23:$C$1022,"&lt;"&amp;C426)+(COUNTIF($C$23:$C$1022,"="&amp;C426)+1)/2</f>
        <v/>
      </c>
    </row>
    <row r="427">
      <c r="B427" s="27">
        <f>'1 Data'!B416</f>
        <v/>
      </c>
      <c r="C427" s="47" t="n">
        <v>0.45257846</v>
      </c>
      <c r="D427" s="27">
        <f>'1 Data'!I416</f>
        <v/>
      </c>
      <c r="E427" s="30">
        <f>COUNTIF($C$23:$C$1022,"&lt;"&amp;C427)+(COUNTIF($C$23:$C$1022,"="&amp;C427)+1)/2</f>
        <v/>
      </c>
    </row>
    <row r="428">
      <c r="B428" s="27">
        <f>'1 Data'!B417</f>
        <v/>
      </c>
      <c r="C428" s="47" t="n">
        <v>0.49319595</v>
      </c>
      <c r="D428" s="27">
        <f>'1 Data'!I417</f>
        <v/>
      </c>
      <c r="E428" s="30">
        <f>COUNTIF($C$23:$C$1022,"&lt;"&amp;C428)+(COUNTIF($C$23:$C$1022,"="&amp;C428)+1)/2</f>
        <v/>
      </c>
    </row>
    <row r="429">
      <c r="B429" s="27">
        <f>'1 Data'!B418</f>
        <v/>
      </c>
      <c r="C429" s="47" t="n">
        <v>0.371877</v>
      </c>
      <c r="D429" s="27">
        <f>'1 Data'!I418</f>
        <v/>
      </c>
      <c r="E429" s="30">
        <f>COUNTIF($C$23:$C$1022,"&lt;"&amp;C429)+(COUNTIF($C$23:$C$1022,"="&amp;C429)+1)/2</f>
        <v/>
      </c>
    </row>
    <row r="430">
      <c r="B430" s="27">
        <f>'1 Data'!B419</f>
        <v/>
      </c>
      <c r="C430" s="47" t="n">
        <v>0.33373672</v>
      </c>
      <c r="D430" s="27">
        <f>'1 Data'!I419</f>
        <v/>
      </c>
      <c r="E430" s="30">
        <f>COUNTIF($C$23:$C$1022,"&lt;"&amp;C430)+(COUNTIF($C$23:$C$1022,"="&amp;C430)+1)/2</f>
        <v/>
      </c>
    </row>
    <row r="431">
      <c r="B431" s="27">
        <f>'1 Data'!B420</f>
        <v/>
      </c>
      <c r="C431" s="47" t="n">
        <v>0.5086127</v>
      </c>
      <c r="D431" s="27">
        <f>'1 Data'!I420</f>
        <v/>
      </c>
      <c r="E431" s="30">
        <f>COUNTIF($C$23:$C$1022,"&lt;"&amp;C431)+(COUNTIF($C$23:$C$1022,"="&amp;C431)+1)/2</f>
        <v/>
      </c>
    </row>
    <row r="432">
      <c r="B432" s="27">
        <f>'1 Data'!B421</f>
        <v/>
      </c>
      <c r="C432" s="47" t="n">
        <v>0.6924927</v>
      </c>
      <c r="D432" s="27">
        <f>'1 Data'!I421</f>
        <v/>
      </c>
      <c r="E432" s="30">
        <f>COUNTIF($C$23:$C$1022,"&lt;"&amp;C432)+(COUNTIF($C$23:$C$1022,"="&amp;C432)+1)/2</f>
        <v/>
      </c>
    </row>
    <row r="433">
      <c r="B433" s="27">
        <f>'1 Data'!B422</f>
        <v/>
      </c>
      <c r="C433" s="47" t="n">
        <v>0.20808212</v>
      </c>
      <c r="D433" s="27">
        <f>'1 Data'!I422</f>
        <v/>
      </c>
      <c r="E433" s="30">
        <f>COUNTIF($C$23:$C$1022,"&lt;"&amp;C433)+(COUNTIF($C$23:$C$1022,"="&amp;C433)+1)/2</f>
        <v/>
      </c>
    </row>
    <row r="434">
      <c r="B434" s="27">
        <f>'1 Data'!B423</f>
        <v/>
      </c>
      <c r="C434" s="47" t="n">
        <v>0.16678187</v>
      </c>
      <c r="D434" s="27">
        <f>'1 Data'!I423</f>
        <v/>
      </c>
      <c r="E434" s="30">
        <f>COUNTIF($C$23:$C$1022,"&lt;"&amp;C434)+(COUNTIF($C$23:$C$1022,"="&amp;C434)+1)/2</f>
        <v/>
      </c>
    </row>
    <row r="435">
      <c r="B435" s="27">
        <f>'1 Data'!B424</f>
        <v/>
      </c>
      <c r="C435" s="47" t="n">
        <v>0.061198115</v>
      </c>
      <c r="D435" s="27">
        <f>'1 Data'!I424</f>
        <v/>
      </c>
      <c r="E435" s="30">
        <f>COUNTIF($C$23:$C$1022,"&lt;"&amp;C435)+(COUNTIF($C$23:$C$1022,"="&amp;C435)+1)/2</f>
        <v/>
      </c>
    </row>
    <row r="436">
      <c r="B436" s="27">
        <f>'1 Data'!B425</f>
        <v/>
      </c>
      <c r="C436" s="47" t="n">
        <v>0.16226919</v>
      </c>
      <c r="D436" s="27">
        <f>'1 Data'!I425</f>
        <v/>
      </c>
      <c r="E436" s="30">
        <f>COUNTIF($C$23:$C$1022,"&lt;"&amp;C436)+(COUNTIF($C$23:$C$1022,"="&amp;C436)+1)/2</f>
        <v/>
      </c>
    </row>
    <row r="437">
      <c r="B437" s="27">
        <f>'1 Data'!B426</f>
        <v/>
      </c>
      <c r="C437" s="47" t="n">
        <v>0.06439557</v>
      </c>
      <c r="D437" s="27">
        <f>'1 Data'!I426</f>
        <v/>
      </c>
      <c r="E437" s="30">
        <f>COUNTIF($C$23:$C$1022,"&lt;"&amp;C437)+(COUNTIF($C$23:$C$1022,"="&amp;C437)+1)/2</f>
        <v/>
      </c>
    </row>
    <row r="438">
      <c r="B438" s="27">
        <f>'1 Data'!B427</f>
        <v/>
      </c>
      <c r="C438" s="47" t="n">
        <v>0.12988603</v>
      </c>
      <c r="D438" s="27">
        <f>'1 Data'!I427</f>
        <v/>
      </c>
      <c r="E438" s="30">
        <f>COUNTIF($C$23:$C$1022,"&lt;"&amp;C438)+(COUNTIF($C$23:$C$1022,"="&amp;C438)+1)/2</f>
        <v/>
      </c>
    </row>
    <row r="439">
      <c r="B439" s="27">
        <f>'1 Data'!B428</f>
        <v/>
      </c>
      <c r="C439" s="47" t="n">
        <v>0.13303165</v>
      </c>
      <c r="D439" s="27">
        <f>'1 Data'!I428</f>
        <v/>
      </c>
      <c r="E439" s="30">
        <f>COUNTIF($C$23:$C$1022,"&lt;"&amp;C439)+(COUNTIF($C$23:$C$1022,"="&amp;C439)+1)/2</f>
        <v/>
      </c>
    </row>
    <row r="440">
      <c r="B440" s="27">
        <f>'1 Data'!B429</f>
        <v/>
      </c>
      <c r="C440" s="47" t="n">
        <v>0.20753433</v>
      </c>
      <c r="D440" s="27">
        <f>'1 Data'!I429</f>
        <v/>
      </c>
      <c r="E440" s="30">
        <f>COUNTIF($C$23:$C$1022,"&lt;"&amp;C440)+(COUNTIF($C$23:$C$1022,"="&amp;C440)+1)/2</f>
        <v/>
      </c>
    </row>
    <row r="441">
      <c r="B441" s="27">
        <f>'1 Data'!B430</f>
        <v/>
      </c>
      <c r="C441" s="47" t="n">
        <v>0.2730373</v>
      </c>
      <c r="D441" s="27">
        <f>'1 Data'!I430</f>
        <v/>
      </c>
      <c r="E441" s="30">
        <f>COUNTIF($C$23:$C$1022,"&lt;"&amp;C441)+(COUNTIF($C$23:$C$1022,"="&amp;C441)+1)/2</f>
        <v/>
      </c>
    </row>
    <row r="442">
      <c r="B442" s="27">
        <f>'1 Data'!B431</f>
        <v/>
      </c>
      <c r="C442" s="47" t="n">
        <v>0.106515795</v>
      </c>
      <c r="D442" s="27">
        <f>'1 Data'!I431</f>
        <v/>
      </c>
      <c r="E442" s="30">
        <f>COUNTIF($C$23:$C$1022,"&lt;"&amp;C442)+(COUNTIF($C$23:$C$1022,"="&amp;C442)+1)/2</f>
        <v/>
      </c>
    </row>
    <row r="443">
      <c r="B443" s="27">
        <f>'1 Data'!B432</f>
        <v/>
      </c>
      <c r="C443" s="47" t="n">
        <v>0.2525341</v>
      </c>
      <c r="D443" s="27">
        <f>'1 Data'!I432</f>
        <v/>
      </c>
      <c r="E443" s="30">
        <f>COUNTIF($C$23:$C$1022,"&lt;"&amp;C443)+(COUNTIF($C$23:$C$1022,"="&amp;C443)+1)/2</f>
        <v/>
      </c>
    </row>
    <row r="444">
      <c r="B444" s="27">
        <f>'1 Data'!B433</f>
        <v/>
      </c>
      <c r="C444" s="47" t="n">
        <v>0.07675468000000001</v>
      </c>
      <c r="D444" s="27">
        <f>'1 Data'!I433</f>
        <v/>
      </c>
      <c r="E444" s="30">
        <f>COUNTIF($C$23:$C$1022,"&lt;"&amp;C444)+(COUNTIF($C$23:$C$1022,"="&amp;C444)+1)/2</f>
        <v/>
      </c>
    </row>
    <row r="445">
      <c r="B445" s="27">
        <f>'1 Data'!B434</f>
        <v/>
      </c>
      <c r="C445" s="47" t="n">
        <v>0.120963514</v>
      </c>
      <c r="D445" s="27">
        <f>'1 Data'!I434</f>
        <v/>
      </c>
      <c r="E445" s="30">
        <f>COUNTIF($C$23:$C$1022,"&lt;"&amp;C445)+(COUNTIF($C$23:$C$1022,"="&amp;C445)+1)/2</f>
        <v/>
      </c>
    </row>
    <row r="446">
      <c r="B446" s="27">
        <f>'1 Data'!B435</f>
        <v/>
      </c>
      <c r="C446" s="47" t="n">
        <v>0.37559596</v>
      </c>
      <c r="D446" s="27">
        <f>'1 Data'!I435</f>
        <v/>
      </c>
      <c r="E446" s="30">
        <f>COUNTIF($C$23:$C$1022,"&lt;"&amp;C446)+(COUNTIF($C$23:$C$1022,"="&amp;C446)+1)/2</f>
        <v/>
      </c>
    </row>
    <row r="447">
      <c r="B447" s="27">
        <f>'1 Data'!B436</f>
        <v/>
      </c>
      <c r="C447" s="47" t="n">
        <v>0.6856374</v>
      </c>
      <c r="D447" s="27">
        <f>'1 Data'!I436</f>
        <v/>
      </c>
      <c r="E447" s="30">
        <f>COUNTIF($C$23:$C$1022,"&lt;"&amp;C447)+(COUNTIF($C$23:$C$1022,"="&amp;C447)+1)/2</f>
        <v/>
      </c>
    </row>
    <row r="448">
      <c r="B448" s="27">
        <f>'1 Data'!B437</f>
        <v/>
      </c>
      <c r="C448" s="47" t="n">
        <v>0.19822899</v>
      </c>
      <c r="D448" s="27">
        <f>'1 Data'!I437</f>
        <v/>
      </c>
      <c r="E448" s="30">
        <f>COUNTIF($C$23:$C$1022,"&lt;"&amp;C448)+(COUNTIF($C$23:$C$1022,"="&amp;C448)+1)/2</f>
        <v/>
      </c>
    </row>
    <row r="449">
      <c r="B449" s="27">
        <f>'1 Data'!B438</f>
        <v/>
      </c>
      <c r="C449" s="47" t="n">
        <v>0.16878892</v>
      </c>
      <c r="D449" s="27">
        <f>'1 Data'!I438</f>
        <v/>
      </c>
      <c r="E449" s="30">
        <f>COUNTIF($C$23:$C$1022,"&lt;"&amp;C449)+(COUNTIF($C$23:$C$1022,"="&amp;C449)+1)/2</f>
        <v/>
      </c>
    </row>
    <row r="450">
      <c r="B450" s="27">
        <f>'1 Data'!B439</f>
        <v/>
      </c>
      <c r="C450" s="47" t="n">
        <v>0.3228762</v>
      </c>
      <c r="D450" s="27">
        <f>'1 Data'!I439</f>
        <v/>
      </c>
      <c r="E450" s="30">
        <f>COUNTIF($C$23:$C$1022,"&lt;"&amp;C450)+(COUNTIF($C$23:$C$1022,"="&amp;C450)+1)/2</f>
        <v/>
      </c>
    </row>
    <row r="451">
      <c r="B451" s="27">
        <f>'1 Data'!B440</f>
        <v/>
      </c>
      <c r="C451" s="47" t="n">
        <v>0.10847829</v>
      </c>
      <c r="D451" s="27">
        <f>'1 Data'!I440</f>
        <v/>
      </c>
      <c r="E451" s="30">
        <f>COUNTIF($C$23:$C$1022,"&lt;"&amp;C451)+(COUNTIF($C$23:$C$1022,"="&amp;C451)+1)/2</f>
        <v/>
      </c>
    </row>
    <row r="452">
      <c r="B452" s="27">
        <f>'1 Data'!B441</f>
        <v/>
      </c>
      <c r="C452" s="47" t="n">
        <v>0.0977032</v>
      </c>
      <c r="D452" s="27">
        <f>'1 Data'!I441</f>
        <v/>
      </c>
      <c r="E452" s="30">
        <f>COUNTIF($C$23:$C$1022,"&lt;"&amp;C452)+(COUNTIF($C$23:$C$1022,"="&amp;C452)+1)/2</f>
        <v/>
      </c>
    </row>
    <row r="453">
      <c r="B453" s="27">
        <f>'1 Data'!B442</f>
        <v/>
      </c>
      <c r="C453" s="47" t="n">
        <v>0.44254974</v>
      </c>
      <c r="D453" s="27">
        <f>'1 Data'!I442</f>
        <v/>
      </c>
      <c r="E453" s="30">
        <f>COUNTIF($C$23:$C$1022,"&lt;"&amp;C453)+(COUNTIF($C$23:$C$1022,"="&amp;C453)+1)/2</f>
        <v/>
      </c>
    </row>
    <row r="454">
      <c r="B454" s="27">
        <f>'1 Data'!B443</f>
        <v/>
      </c>
      <c r="C454" s="47" t="n">
        <v>0.10961555</v>
      </c>
      <c r="D454" s="27">
        <f>'1 Data'!I443</f>
        <v/>
      </c>
      <c r="E454" s="30">
        <f>COUNTIF($C$23:$C$1022,"&lt;"&amp;C454)+(COUNTIF($C$23:$C$1022,"="&amp;C454)+1)/2</f>
        <v/>
      </c>
    </row>
    <row r="455">
      <c r="B455" s="27">
        <f>'1 Data'!B444</f>
        <v/>
      </c>
      <c r="C455" s="47" t="n">
        <v>0.13291954</v>
      </c>
      <c r="D455" s="27">
        <f>'1 Data'!I444</f>
        <v/>
      </c>
      <c r="E455" s="30">
        <f>COUNTIF($C$23:$C$1022,"&lt;"&amp;C455)+(COUNTIF($C$23:$C$1022,"="&amp;C455)+1)/2</f>
        <v/>
      </c>
    </row>
    <row r="456">
      <c r="B456" s="27">
        <f>'1 Data'!B445</f>
        <v/>
      </c>
      <c r="C456" s="47" t="n">
        <v>0.82192373</v>
      </c>
      <c r="D456" s="27">
        <f>'1 Data'!I445</f>
        <v/>
      </c>
      <c r="E456" s="30">
        <f>COUNTIF($C$23:$C$1022,"&lt;"&amp;C456)+(COUNTIF($C$23:$C$1022,"="&amp;C456)+1)/2</f>
        <v/>
      </c>
    </row>
    <row r="457">
      <c r="B457" s="27">
        <f>'1 Data'!B446</f>
        <v/>
      </c>
      <c r="C457" s="47" t="n">
        <v>0.2356965</v>
      </c>
      <c r="D457" s="27">
        <f>'1 Data'!I446</f>
        <v/>
      </c>
      <c r="E457" s="30">
        <f>COUNTIF($C$23:$C$1022,"&lt;"&amp;C457)+(COUNTIF($C$23:$C$1022,"="&amp;C457)+1)/2</f>
        <v/>
      </c>
    </row>
    <row r="458">
      <c r="B458" s="27">
        <f>'1 Data'!B447</f>
        <v/>
      </c>
      <c r="C458" s="47" t="n">
        <v>0.09383245</v>
      </c>
      <c r="D458" s="27">
        <f>'1 Data'!I447</f>
        <v/>
      </c>
      <c r="E458" s="30">
        <f>COUNTIF($C$23:$C$1022,"&lt;"&amp;C458)+(COUNTIF($C$23:$C$1022,"="&amp;C458)+1)/2</f>
        <v/>
      </c>
    </row>
    <row r="459">
      <c r="B459" s="27">
        <f>'1 Data'!B448</f>
        <v/>
      </c>
      <c r="C459" s="47" t="n">
        <v>0.07198836</v>
      </c>
      <c r="D459" s="27">
        <f>'1 Data'!I448</f>
        <v/>
      </c>
      <c r="E459" s="30">
        <f>COUNTIF($C$23:$C$1022,"&lt;"&amp;C459)+(COUNTIF($C$23:$C$1022,"="&amp;C459)+1)/2</f>
        <v/>
      </c>
    </row>
    <row r="460">
      <c r="B460" s="27">
        <f>'1 Data'!B449</f>
        <v/>
      </c>
      <c r="C460" s="47" t="n">
        <v>0.10541395</v>
      </c>
      <c r="D460" s="27">
        <f>'1 Data'!I449</f>
        <v/>
      </c>
      <c r="E460" s="30">
        <f>COUNTIF($C$23:$C$1022,"&lt;"&amp;C460)+(COUNTIF($C$23:$C$1022,"="&amp;C460)+1)/2</f>
        <v/>
      </c>
    </row>
    <row r="461">
      <c r="B461" s="27">
        <f>'1 Data'!B450</f>
        <v/>
      </c>
      <c r="C461" s="47" t="n">
        <v>0.13663225</v>
      </c>
      <c r="D461" s="27">
        <f>'1 Data'!I450</f>
        <v/>
      </c>
      <c r="E461" s="30">
        <f>COUNTIF($C$23:$C$1022,"&lt;"&amp;C461)+(COUNTIF($C$23:$C$1022,"="&amp;C461)+1)/2</f>
        <v/>
      </c>
    </row>
    <row r="462">
      <c r="B462" s="27">
        <f>'1 Data'!B451</f>
        <v/>
      </c>
      <c r="C462" s="47" t="n">
        <v>0.08234213999999999</v>
      </c>
      <c r="D462" s="27">
        <f>'1 Data'!I451</f>
        <v/>
      </c>
      <c r="E462" s="30">
        <f>COUNTIF($C$23:$C$1022,"&lt;"&amp;C462)+(COUNTIF($C$23:$C$1022,"="&amp;C462)+1)/2</f>
        <v/>
      </c>
    </row>
    <row r="463">
      <c r="B463" s="27">
        <f>'1 Data'!B452</f>
        <v/>
      </c>
      <c r="C463" s="47" t="n">
        <v>0.05438714</v>
      </c>
      <c r="D463" s="27">
        <f>'1 Data'!I452</f>
        <v/>
      </c>
      <c r="E463" s="30">
        <f>COUNTIF($C$23:$C$1022,"&lt;"&amp;C463)+(COUNTIF($C$23:$C$1022,"="&amp;C463)+1)/2</f>
        <v/>
      </c>
    </row>
    <row r="464">
      <c r="B464" s="27">
        <f>'1 Data'!B453</f>
        <v/>
      </c>
      <c r="C464" s="47" t="n">
        <v>0.11612463</v>
      </c>
      <c r="D464" s="27">
        <f>'1 Data'!I453</f>
        <v/>
      </c>
      <c r="E464" s="30">
        <f>COUNTIF($C$23:$C$1022,"&lt;"&amp;C464)+(COUNTIF($C$23:$C$1022,"="&amp;C464)+1)/2</f>
        <v/>
      </c>
    </row>
    <row r="465">
      <c r="B465" s="27">
        <f>'1 Data'!B454</f>
        <v/>
      </c>
      <c r="C465" s="47" t="n">
        <v>0.092695676</v>
      </c>
      <c r="D465" s="27">
        <f>'1 Data'!I454</f>
        <v/>
      </c>
      <c r="E465" s="30">
        <f>COUNTIF($C$23:$C$1022,"&lt;"&amp;C465)+(COUNTIF($C$23:$C$1022,"="&amp;C465)+1)/2</f>
        <v/>
      </c>
    </row>
    <row r="466">
      <c r="B466" s="27">
        <f>'1 Data'!B455</f>
        <v/>
      </c>
      <c r="C466" s="47" t="n">
        <v>0.2863583</v>
      </c>
      <c r="D466" s="27">
        <f>'1 Data'!I455</f>
        <v/>
      </c>
      <c r="E466" s="30">
        <f>COUNTIF($C$23:$C$1022,"&lt;"&amp;C466)+(COUNTIF($C$23:$C$1022,"="&amp;C466)+1)/2</f>
        <v/>
      </c>
    </row>
    <row r="467">
      <c r="B467" s="27">
        <f>'1 Data'!B456</f>
        <v/>
      </c>
      <c r="C467" s="47" t="n">
        <v>0.2384732</v>
      </c>
      <c r="D467" s="27">
        <f>'1 Data'!I456</f>
        <v/>
      </c>
      <c r="E467" s="30">
        <f>COUNTIF($C$23:$C$1022,"&lt;"&amp;C467)+(COUNTIF($C$23:$C$1022,"="&amp;C467)+1)/2</f>
        <v/>
      </c>
    </row>
    <row r="468">
      <c r="B468" s="27">
        <f>'1 Data'!B457</f>
        <v/>
      </c>
      <c r="C468" s="47" t="n">
        <v>0.22106475</v>
      </c>
      <c r="D468" s="27">
        <f>'1 Data'!I457</f>
        <v/>
      </c>
      <c r="E468" s="30">
        <f>COUNTIF($C$23:$C$1022,"&lt;"&amp;C468)+(COUNTIF($C$23:$C$1022,"="&amp;C468)+1)/2</f>
        <v/>
      </c>
    </row>
    <row r="469">
      <c r="B469" s="27">
        <f>'1 Data'!B458</f>
        <v/>
      </c>
      <c r="C469" s="47" t="n">
        <v>0.06887817</v>
      </c>
      <c r="D469" s="27">
        <f>'1 Data'!I458</f>
        <v/>
      </c>
      <c r="E469" s="30">
        <f>COUNTIF($C$23:$C$1022,"&lt;"&amp;C469)+(COUNTIF($C$23:$C$1022,"="&amp;C469)+1)/2</f>
        <v/>
      </c>
    </row>
    <row r="470">
      <c r="B470" s="27">
        <f>'1 Data'!B459</f>
        <v/>
      </c>
      <c r="C470" s="47" t="n">
        <v>0.10812768</v>
      </c>
      <c r="D470" s="27">
        <f>'1 Data'!I459</f>
        <v/>
      </c>
      <c r="E470" s="30">
        <f>COUNTIF($C$23:$C$1022,"&lt;"&amp;C470)+(COUNTIF($C$23:$C$1022,"="&amp;C470)+1)/2</f>
        <v/>
      </c>
    </row>
    <row r="471">
      <c r="B471" s="27">
        <f>'1 Data'!B460</f>
        <v/>
      </c>
      <c r="C471" s="47" t="n">
        <v>0.0666499</v>
      </c>
      <c r="D471" s="27">
        <f>'1 Data'!I460</f>
        <v/>
      </c>
      <c r="E471" s="30">
        <f>COUNTIF($C$23:$C$1022,"&lt;"&amp;C471)+(COUNTIF($C$23:$C$1022,"="&amp;C471)+1)/2</f>
        <v/>
      </c>
    </row>
    <row r="472">
      <c r="B472" s="27">
        <f>'1 Data'!B461</f>
        <v/>
      </c>
      <c r="C472" s="47" t="n">
        <v>0.13500704</v>
      </c>
      <c r="D472" s="27">
        <f>'1 Data'!I461</f>
        <v/>
      </c>
      <c r="E472" s="30">
        <f>COUNTIF($C$23:$C$1022,"&lt;"&amp;C472)+(COUNTIF($C$23:$C$1022,"="&amp;C472)+1)/2</f>
        <v/>
      </c>
    </row>
    <row r="473">
      <c r="B473" s="27">
        <f>'1 Data'!B462</f>
        <v/>
      </c>
      <c r="C473" s="47" t="n">
        <v>0.1420034</v>
      </c>
      <c r="D473" s="27">
        <f>'1 Data'!I462</f>
        <v/>
      </c>
      <c r="E473" s="30">
        <f>COUNTIF($C$23:$C$1022,"&lt;"&amp;C473)+(COUNTIF($C$23:$C$1022,"="&amp;C473)+1)/2</f>
        <v/>
      </c>
    </row>
    <row r="474">
      <c r="B474" s="27">
        <f>'1 Data'!B463</f>
        <v/>
      </c>
      <c r="C474" s="47" t="n">
        <v>0.07606601</v>
      </c>
      <c r="D474" s="27">
        <f>'1 Data'!I463</f>
        <v/>
      </c>
      <c r="E474" s="30">
        <f>COUNTIF($C$23:$C$1022,"&lt;"&amp;C474)+(COUNTIF($C$23:$C$1022,"="&amp;C474)+1)/2</f>
        <v/>
      </c>
    </row>
    <row r="475">
      <c r="B475" s="27">
        <f>'1 Data'!B464</f>
        <v/>
      </c>
      <c r="C475" s="47" t="n">
        <v>0.07547583400000001</v>
      </c>
      <c r="D475" s="27">
        <f>'1 Data'!I464</f>
        <v/>
      </c>
      <c r="E475" s="30">
        <f>COUNTIF($C$23:$C$1022,"&lt;"&amp;C475)+(COUNTIF($C$23:$C$1022,"="&amp;C475)+1)/2</f>
        <v/>
      </c>
    </row>
    <row r="476">
      <c r="B476" s="27">
        <f>'1 Data'!B465</f>
        <v/>
      </c>
      <c r="C476" s="47" t="n">
        <v>0.116458975</v>
      </c>
      <c r="D476" s="27">
        <f>'1 Data'!I465</f>
        <v/>
      </c>
      <c r="E476" s="30">
        <f>COUNTIF($C$23:$C$1022,"&lt;"&amp;C476)+(COUNTIF($C$23:$C$1022,"="&amp;C476)+1)/2</f>
        <v/>
      </c>
    </row>
    <row r="477">
      <c r="B477" s="27">
        <f>'1 Data'!B466</f>
        <v/>
      </c>
      <c r="C477" s="47" t="n">
        <v>0.1753367</v>
      </c>
      <c r="D477" s="27">
        <f>'1 Data'!I466</f>
        <v/>
      </c>
      <c r="E477" s="30">
        <f>COUNTIF($C$23:$C$1022,"&lt;"&amp;C477)+(COUNTIF($C$23:$C$1022,"="&amp;C477)+1)/2</f>
        <v/>
      </c>
    </row>
    <row r="478">
      <c r="B478" s="27">
        <f>'1 Data'!B467</f>
        <v/>
      </c>
      <c r="C478" s="47" t="n">
        <v>0.09964275</v>
      </c>
      <c r="D478" s="27">
        <f>'1 Data'!I467</f>
        <v/>
      </c>
      <c r="E478" s="30">
        <f>COUNTIF($C$23:$C$1022,"&lt;"&amp;C478)+(COUNTIF($C$23:$C$1022,"="&amp;C478)+1)/2</f>
        <v/>
      </c>
    </row>
    <row r="479">
      <c r="B479" s="27">
        <f>'1 Data'!B468</f>
        <v/>
      </c>
      <c r="C479" s="47" t="n">
        <v>0.19401331</v>
      </c>
      <c r="D479" s="27">
        <f>'1 Data'!I468</f>
        <v/>
      </c>
      <c r="E479" s="30">
        <f>COUNTIF($C$23:$C$1022,"&lt;"&amp;C479)+(COUNTIF($C$23:$C$1022,"="&amp;C479)+1)/2</f>
        <v/>
      </c>
    </row>
    <row r="480">
      <c r="B480" s="27">
        <f>'1 Data'!B469</f>
        <v/>
      </c>
      <c r="C480" s="47" t="n">
        <v>0.14285518</v>
      </c>
      <c r="D480" s="27">
        <f>'1 Data'!I469</f>
        <v/>
      </c>
      <c r="E480" s="30">
        <f>COUNTIF($C$23:$C$1022,"&lt;"&amp;C480)+(COUNTIF($C$23:$C$1022,"="&amp;C480)+1)/2</f>
        <v/>
      </c>
    </row>
    <row r="481">
      <c r="B481" s="27">
        <f>'1 Data'!B470</f>
        <v/>
      </c>
      <c r="C481" s="47" t="n">
        <v>0.10677922</v>
      </c>
      <c r="D481" s="27">
        <f>'1 Data'!I470</f>
        <v/>
      </c>
      <c r="E481" s="30">
        <f>COUNTIF($C$23:$C$1022,"&lt;"&amp;C481)+(COUNTIF($C$23:$C$1022,"="&amp;C481)+1)/2</f>
        <v/>
      </c>
    </row>
    <row r="482">
      <c r="B482" s="27">
        <f>'1 Data'!B471</f>
        <v/>
      </c>
      <c r="C482" s="47" t="n">
        <v>0.12676309</v>
      </c>
      <c r="D482" s="27">
        <f>'1 Data'!I471</f>
        <v/>
      </c>
      <c r="E482" s="30">
        <f>COUNTIF($C$23:$C$1022,"&lt;"&amp;C482)+(COUNTIF($C$23:$C$1022,"="&amp;C482)+1)/2</f>
        <v/>
      </c>
    </row>
    <row r="483">
      <c r="B483" s="27">
        <f>'1 Data'!B472</f>
        <v/>
      </c>
      <c r="C483" s="47" t="n">
        <v>0.25551048</v>
      </c>
      <c r="D483" s="27">
        <f>'1 Data'!I472</f>
        <v/>
      </c>
      <c r="E483" s="30">
        <f>COUNTIF($C$23:$C$1022,"&lt;"&amp;C483)+(COUNTIF($C$23:$C$1022,"="&amp;C483)+1)/2</f>
        <v/>
      </c>
    </row>
    <row r="484">
      <c r="B484" s="27">
        <f>'1 Data'!B473</f>
        <v/>
      </c>
      <c r="C484" s="47" t="n">
        <v>0.09804085999999999</v>
      </c>
      <c r="D484" s="27">
        <f>'1 Data'!I473</f>
        <v/>
      </c>
      <c r="E484" s="30">
        <f>COUNTIF($C$23:$C$1022,"&lt;"&amp;C484)+(COUNTIF($C$23:$C$1022,"="&amp;C484)+1)/2</f>
        <v/>
      </c>
    </row>
    <row r="485">
      <c r="B485" s="27">
        <f>'1 Data'!B474</f>
        <v/>
      </c>
      <c r="C485" s="47" t="n">
        <v>0.6615017</v>
      </c>
      <c r="D485" s="27">
        <f>'1 Data'!I474</f>
        <v/>
      </c>
      <c r="E485" s="30">
        <f>COUNTIF($C$23:$C$1022,"&lt;"&amp;C485)+(COUNTIF($C$23:$C$1022,"="&amp;C485)+1)/2</f>
        <v/>
      </c>
    </row>
    <row r="486">
      <c r="B486" s="27">
        <f>'1 Data'!B475</f>
        <v/>
      </c>
      <c r="C486" s="47" t="n">
        <v>0.10046974</v>
      </c>
      <c r="D486" s="27">
        <f>'1 Data'!I475</f>
        <v/>
      </c>
      <c r="E486" s="30">
        <f>COUNTIF($C$23:$C$1022,"&lt;"&amp;C486)+(COUNTIF($C$23:$C$1022,"="&amp;C486)+1)/2</f>
        <v/>
      </c>
    </row>
    <row r="487">
      <c r="B487" s="27">
        <f>'1 Data'!B476</f>
        <v/>
      </c>
      <c r="C487" s="47" t="n">
        <v>0.11461029</v>
      </c>
      <c r="D487" s="27">
        <f>'1 Data'!I476</f>
        <v/>
      </c>
      <c r="E487" s="30">
        <f>COUNTIF($C$23:$C$1022,"&lt;"&amp;C487)+(COUNTIF($C$23:$C$1022,"="&amp;C487)+1)/2</f>
        <v/>
      </c>
    </row>
    <row r="488">
      <c r="B488" s="27">
        <f>'1 Data'!B477</f>
        <v/>
      </c>
      <c r="C488" s="47" t="n">
        <v>0.072413966</v>
      </c>
      <c r="D488" s="27">
        <f>'1 Data'!I477</f>
        <v/>
      </c>
      <c r="E488" s="30">
        <f>COUNTIF($C$23:$C$1022,"&lt;"&amp;C488)+(COUNTIF($C$23:$C$1022,"="&amp;C488)+1)/2</f>
        <v/>
      </c>
    </row>
    <row r="489">
      <c r="B489" s="27">
        <f>'1 Data'!B478</f>
        <v/>
      </c>
      <c r="C489" s="47" t="n">
        <v>0.24592091</v>
      </c>
      <c r="D489" s="27">
        <f>'1 Data'!I478</f>
        <v/>
      </c>
      <c r="E489" s="30">
        <f>COUNTIF($C$23:$C$1022,"&lt;"&amp;C489)+(COUNTIF($C$23:$C$1022,"="&amp;C489)+1)/2</f>
        <v/>
      </c>
    </row>
    <row r="490">
      <c r="B490" s="27">
        <f>'1 Data'!B479</f>
        <v/>
      </c>
      <c r="C490" s="47" t="n">
        <v>0.24493371</v>
      </c>
      <c r="D490" s="27">
        <f>'1 Data'!I479</f>
        <v/>
      </c>
      <c r="E490" s="30">
        <f>COUNTIF($C$23:$C$1022,"&lt;"&amp;C490)+(COUNTIF($C$23:$C$1022,"="&amp;C490)+1)/2</f>
        <v/>
      </c>
    </row>
    <row r="491">
      <c r="B491" s="27">
        <f>'1 Data'!B480</f>
        <v/>
      </c>
      <c r="C491" s="47" t="n">
        <v>0.1663134</v>
      </c>
      <c r="D491" s="27">
        <f>'1 Data'!I480</f>
        <v/>
      </c>
      <c r="E491" s="30">
        <f>COUNTIF($C$23:$C$1022,"&lt;"&amp;C491)+(COUNTIF($C$23:$C$1022,"="&amp;C491)+1)/2</f>
        <v/>
      </c>
    </row>
    <row r="492">
      <c r="B492" s="27">
        <f>'1 Data'!B481</f>
        <v/>
      </c>
      <c r="C492" s="47" t="n">
        <v>0.07657902</v>
      </c>
      <c r="D492" s="27">
        <f>'1 Data'!I481</f>
        <v/>
      </c>
      <c r="E492" s="30">
        <f>COUNTIF($C$23:$C$1022,"&lt;"&amp;C492)+(COUNTIF($C$23:$C$1022,"="&amp;C492)+1)/2</f>
        <v/>
      </c>
    </row>
    <row r="493">
      <c r="B493" s="27">
        <f>'1 Data'!B482</f>
        <v/>
      </c>
      <c r="C493" s="47" t="n">
        <v>0.69792295</v>
      </c>
      <c r="D493" s="27">
        <f>'1 Data'!I482</f>
        <v/>
      </c>
      <c r="E493" s="30">
        <f>COUNTIF($C$23:$C$1022,"&lt;"&amp;C493)+(COUNTIF($C$23:$C$1022,"="&amp;C493)+1)/2</f>
        <v/>
      </c>
    </row>
    <row r="494">
      <c r="B494" s="27">
        <f>'1 Data'!B483</f>
        <v/>
      </c>
      <c r="C494" s="47" t="n">
        <v>0.2726949</v>
      </c>
      <c r="D494" s="27">
        <f>'1 Data'!I483</f>
        <v/>
      </c>
      <c r="E494" s="30">
        <f>COUNTIF($C$23:$C$1022,"&lt;"&amp;C494)+(COUNTIF($C$23:$C$1022,"="&amp;C494)+1)/2</f>
        <v/>
      </c>
    </row>
    <row r="495">
      <c r="B495" s="27">
        <f>'1 Data'!B484</f>
        <v/>
      </c>
      <c r="C495" s="47" t="n">
        <v>0.14727356</v>
      </c>
      <c r="D495" s="27">
        <f>'1 Data'!I484</f>
        <v/>
      </c>
      <c r="E495" s="30">
        <f>COUNTIF($C$23:$C$1022,"&lt;"&amp;C495)+(COUNTIF($C$23:$C$1022,"="&amp;C495)+1)/2</f>
        <v/>
      </c>
    </row>
    <row r="496">
      <c r="B496" s="27">
        <f>'1 Data'!B485</f>
        <v/>
      </c>
      <c r="C496" s="47" t="n">
        <v>0.33287218</v>
      </c>
      <c r="D496" s="27">
        <f>'1 Data'!I485</f>
        <v/>
      </c>
      <c r="E496" s="30">
        <f>COUNTIF($C$23:$C$1022,"&lt;"&amp;C496)+(COUNTIF($C$23:$C$1022,"="&amp;C496)+1)/2</f>
        <v/>
      </c>
    </row>
    <row r="497">
      <c r="B497" s="27">
        <f>'1 Data'!B486</f>
        <v/>
      </c>
      <c r="C497" s="47" t="n">
        <v>0.04883855</v>
      </c>
      <c r="D497" s="27">
        <f>'1 Data'!I486</f>
        <v/>
      </c>
      <c r="E497" s="30">
        <f>COUNTIF($C$23:$C$1022,"&lt;"&amp;C497)+(COUNTIF($C$23:$C$1022,"="&amp;C497)+1)/2</f>
        <v/>
      </c>
    </row>
    <row r="498">
      <c r="B498" s="27">
        <f>'1 Data'!B487</f>
        <v/>
      </c>
      <c r="C498" s="47" t="n">
        <v>0.7235142</v>
      </c>
      <c r="D498" s="27">
        <f>'1 Data'!I487</f>
        <v/>
      </c>
      <c r="E498" s="30">
        <f>COUNTIF($C$23:$C$1022,"&lt;"&amp;C498)+(COUNTIF($C$23:$C$1022,"="&amp;C498)+1)/2</f>
        <v/>
      </c>
    </row>
    <row r="499">
      <c r="B499" s="27">
        <f>'1 Data'!B488</f>
        <v/>
      </c>
      <c r="C499" s="47" t="n">
        <v>0.08898281</v>
      </c>
      <c r="D499" s="27">
        <f>'1 Data'!I488</f>
        <v/>
      </c>
      <c r="E499" s="30">
        <f>COUNTIF($C$23:$C$1022,"&lt;"&amp;C499)+(COUNTIF($C$23:$C$1022,"="&amp;C499)+1)/2</f>
        <v/>
      </c>
    </row>
    <row r="500">
      <c r="B500" s="27">
        <f>'1 Data'!B489</f>
        <v/>
      </c>
      <c r="C500" s="47" t="n">
        <v>0.47453964</v>
      </c>
      <c r="D500" s="27">
        <f>'1 Data'!I489</f>
        <v/>
      </c>
      <c r="E500" s="30">
        <f>COUNTIF($C$23:$C$1022,"&lt;"&amp;C500)+(COUNTIF($C$23:$C$1022,"="&amp;C500)+1)/2</f>
        <v/>
      </c>
    </row>
    <row r="501">
      <c r="B501" s="27">
        <f>'1 Data'!B490</f>
        <v/>
      </c>
      <c r="C501" s="47" t="n">
        <v>0.2202233</v>
      </c>
      <c r="D501" s="27">
        <f>'1 Data'!I490</f>
        <v/>
      </c>
      <c r="E501" s="30">
        <f>COUNTIF($C$23:$C$1022,"&lt;"&amp;C501)+(COUNTIF($C$23:$C$1022,"="&amp;C501)+1)/2</f>
        <v/>
      </c>
    </row>
    <row r="502">
      <c r="B502" s="27">
        <f>'1 Data'!B491</f>
        <v/>
      </c>
      <c r="C502" s="47" t="n">
        <v>0.17296982</v>
      </c>
      <c r="D502" s="27">
        <f>'1 Data'!I491</f>
        <v/>
      </c>
      <c r="E502" s="30">
        <f>COUNTIF($C$23:$C$1022,"&lt;"&amp;C502)+(COUNTIF($C$23:$C$1022,"="&amp;C502)+1)/2</f>
        <v/>
      </c>
    </row>
    <row r="503">
      <c r="B503" s="27">
        <f>'1 Data'!B492</f>
        <v/>
      </c>
      <c r="C503" s="47" t="n">
        <v>0.25606227</v>
      </c>
      <c r="D503" s="27">
        <f>'1 Data'!I492</f>
        <v/>
      </c>
      <c r="E503" s="30">
        <f>COUNTIF($C$23:$C$1022,"&lt;"&amp;C503)+(COUNTIF($C$23:$C$1022,"="&amp;C503)+1)/2</f>
        <v/>
      </c>
    </row>
    <row r="504">
      <c r="B504" s="27">
        <f>'1 Data'!B493</f>
        <v/>
      </c>
      <c r="C504" s="47" t="n">
        <v>0.32026786</v>
      </c>
      <c r="D504" s="27">
        <f>'1 Data'!I493</f>
        <v/>
      </c>
      <c r="E504" s="30">
        <f>COUNTIF($C$23:$C$1022,"&lt;"&amp;C504)+(COUNTIF($C$23:$C$1022,"="&amp;C504)+1)/2</f>
        <v/>
      </c>
    </row>
    <row r="505">
      <c r="B505" s="27">
        <f>'1 Data'!B494</f>
        <v/>
      </c>
      <c r="C505" s="47" t="n">
        <v>0.15171027</v>
      </c>
      <c r="D505" s="27">
        <f>'1 Data'!I494</f>
        <v/>
      </c>
      <c r="E505" s="30">
        <f>COUNTIF($C$23:$C$1022,"&lt;"&amp;C505)+(COUNTIF($C$23:$C$1022,"="&amp;C505)+1)/2</f>
        <v/>
      </c>
    </row>
    <row r="506">
      <c r="B506" s="27">
        <f>'1 Data'!B495</f>
        <v/>
      </c>
      <c r="C506" s="47" t="n">
        <v>0.1806709</v>
      </c>
      <c r="D506" s="27">
        <f>'1 Data'!I495</f>
        <v/>
      </c>
      <c r="E506" s="30">
        <f>COUNTIF($C$23:$C$1022,"&lt;"&amp;C506)+(COUNTIF($C$23:$C$1022,"="&amp;C506)+1)/2</f>
        <v/>
      </c>
    </row>
    <row r="507">
      <c r="B507" s="27">
        <f>'1 Data'!B496</f>
        <v/>
      </c>
      <c r="C507" s="47" t="n">
        <v>0.14612329</v>
      </c>
      <c r="D507" s="27">
        <f>'1 Data'!I496</f>
        <v/>
      </c>
      <c r="E507" s="30">
        <f>COUNTIF($C$23:$C$1022,"&lt;"&amp;C507)+(COUNTIF($C$23:$C$1022,"="&amp;C507)+1)/2</f>
        <v/>
      </c>
    </row>
    <row r="508">
      <c r="B508" s="27">
        <f>'1 Data'!B497</f>
        <v/>
      </c>
      <c r="C508" s="47" t="n">
        <v>0.20652854</v>
      </c>
      <c r="D508" s="27">
        <f>'1 Data'!I497</f>
        <v/>
      </c>
      <c r="E508" s="30">
        <f>COUNTIF($C$23:$C$1022,"&lt;"&amp;C508)+(COUNTIF($C$23:$C$1022,"="&amp;C508)+1)/2</f>
        <v/>
      </c>
    </row>
    <row r="509">
      <c r="B509" s="27">
        <f>'1 Data'!B498</f>
        <v/>
      </c>
      <c r="C509" s="47" t="n">
        <v>0.6577194</v>
      </c>
      <c r="D509" s="27">
        <f>'1 Data'!I498</f>
        <v/>
      </c>
      <c r="E509" s="30">
        <f>COUNTIF($C$23:$C$1022,"&lt;"&amp;C509)+(COUNTIF($C$23:$C$1022,"="&amp;C509)+1)/2</f>
        <v/>
      </c>
    </row>
    <row r="510">
      <c r="B510" s="27">
        <f>'1 Data'!B499</f>
        <v/>
      </c>
      <c r="C510" s="47" t="n">
        <v>0.16149256</v>
      </c>
      <c r="D510" s="27">
        <f>'1 Data'!I499</f>
        <v/>
      </c>
      <c r="E510" s="30">
        <f>COUNTIF($C$23:$C$1022,"&lt;"&amp;C510)+(COUNTIF($C$23:$C$1022,"="&amp;C510)+1)/2</f>
        <v/>
      </c>
    </row>
    <row r="511">
      <c r="B511" s="27">
        <f>'1 Data'!B500</f>
        <v/>
      </c>
      <c r="C511" s="47" t="n">
        <v>0.4152249</v>
      </c>
      <c r="D511" s="27">
        <f>'1 Data'!I500</f>
        <v/>
      </c>
      <c r="E511" s="30">
        <f>COUNTIF($C$23:$C$1022,"&lt;"&amp;C511)+(COUNTIF($C$23:$C$1022,"="&amp;C511)+1)/2</f>
        <v/>
      </c>
    </row>
    <row r="512">
      <c r="B512" s="27">
        <f>'1 Data'!B501</f>
        <v/>
      </c>
      <c r="C512" s="47" t="n">
        <v>0.04284238</v>
      </c>
      <c r="D512" s="27">
        <f>'1 Data'!I501</f>
        <v/>
      </c>
      <c r="E512" s="30">
        <f>COUNTIF($C$23:$C$1022,"&lt;"&amp;C512)+(COUNTIF($C$23:$C$1022,"="&amp;C512)+1)/2</f>
        <v/>
      </c>
    </row>
    <row r="513">
      <c r="B513" s="27">
        <f>'1 Data'!B502</f>
        <v/>
      </c>
      <c r="C513" s="47" t="n">
        <v>0.695425</v>
      </c>
      <c r="D513" s="27">
        <f>'1 Data'!I502</f>
        <v/>
      </c>
      <c r="E513" s="30">
        <f>COUNTIF($C$23:$C$1022,"&lt;"&amp;C513)+(COUNTIF($C$23:$C$1022,"="&amp;C513)+1)/2</f>
        <v/>
      </c>
    </row>
    <row r="514">
      <c r="B514" s="27">
        <f>'1 Data'!B503</f>
        <v/>
      </c>
      <c r="C514" s="47" t="n">
        <v>0.12629652</v>
      </c>
      <c r="D514" s="27">
        <f>'1 Data'!I503</f>
        <v/>
      </c>
      <c r="E514" s="30">
        <f>COUNTIF($C$23:$C$1022,"&lt;"&amp;C514)+(COUNTIF($C$23:$C$1022,"="&amp;C514)+1)/2</f>
        <v/>
      </c>
    </row>
    <row r="515">
      <c r="B515" s="27">
        <f>'1 Data'!B504</f>
        <v/>
      </c>
      <c r="C515" s="47" t="n">
        <v>0.07002363</v>
      </c>
      <c r="D515" s="27">
        <f>'1 Data'!I504</f>
        <v/>
      </c>
      <c r="E515" s="30">
        <f>COUNTIF($C$23:$C$1022,"&lt;"&amp;C515)+(COUNTIF($C$23:$C$1022,"="&amp;C515)+1)/2</f>
        <v/>
      </c>
    </row>
    <row r="516">
      <c r="B516" s="27">
        <f>'1 Data'!B505</f>
        <v/>
      </c>
      <c r="C516" s="47" t="n">
        <v>0.14820333</v>
      </c>
      <c r="D516" s="27">
        <f>'1 Data'!I505</f>
        <v/>
      </c>
      <c r="E516" s="30">
        <f>COUNTIF($C$23:$C$1022,"&lt;"&amp;C516)+(COUNTIF($C$23:$C$1022,"="&amp;C516)+1)/2</f>
        <v/>
      </c>
    </row>
    <row r="517">
      <c r="B517" s="27">
        <f>'1 Data'!B506</f>
        <v/>
      </c>
      <c r="C517" s="47" t="n">
        <v>0.44409066</v>
      </c>
      <c r="D517" s="27">
        <f>'1 Data'!I506</f>
        <v/>
      </c>
      <c r="E517" s="30">
        <f>COUNTIF($C$23:$C$1022,"&lt;"&amp;C517)+(COUNTIF($C$23:$C$1022,"="&amp;C517)+1)/2</f>
        <v/>
      </c>
    </row>
    <row r="518">
      <c r="B518" s="27">
        <f>'1 Data'!B507</f>
        <v/>
      </c>
      <c r="C518" s="47" t="n">
        <v>0.10967663</v>
      </c>
      <c r="D518" s="27">
        <f>'1 Data'!I507</f>
        <v/>
      </c>
      <c r="E518" s="30">
        <f>COUNTIF($C$23:$C$1022,"&lt;"&amp;C518)+(COUNTIF($C$23:$C$1022,"="&amp;C518)+1)/2</f>
        <v/>
      </c>
    </row>
    <row r="519">
      <c r="B519" s="27">
        <f>'1 Data'!B508</f>
        <v/>
      </c>
      <c r="C519" s="47" t="n">
        <v>0.041263506</v>
      </c>
      <c r="D519" s="27">
        <f>'1 Data'!I508</f>
        <v/>
      </c>
      <c r="E519" s="30">
        <f>COUNTIF($C$23:$C$1022,"&lt;"&amp;C519)+(COUNTIF($C$23:$C$1022,"="&amp;C519)+1)/2</f>
        <v/>
      </c>
    </row>
    <row r="520">
      <c r="B520" s="27">
        <f>'1 Data'!B509</f>
        <v/>
      </c>
      <c r="C520" s="47" t="n">
        <v>0.07326399</v>
      </c>
      <c r="D520" s="27">
        <f>'1 Data'!I509</f>
        <v/>
      </c>
      <c r="E520" s="30">
        <f>COUNTIF($C$23:$C$1022,"&lt;"&amp;C520)+(COUNTIF($C$23:$C$1022,"="&amp;C520)+1)/2</f>
        <v/>
      </c>
    </row>
    <row r="521">
      <c r="B521" s="27">
        <f>'1 Data'!B510</f>
        <v/>
      </c>
      <c r="C521" s="47" t="n">
        <v>0.1251629</v>
      </c>
      <c r="D521" s="27">
        <f>'1 Data'!I510</f>
        <v/>
      </c>
      <c r="E521" s="30">
        <f>COUNTIF($C$23:$C$1022,"&lt;"&amp;C521)+(COUNTIF($C$23:$C$1022,"="&amp;C521)+1)/2</f>
        <v/>
      </c>
    </row>
    <row r="522">
      <c r="B522" s="27">
        <f>'1 Data'!B511</f>
        <v/>
      </c>
      <c r="C522" s="47" t="n">
        <v>0.14478679</v>
      </c>
      <c r="D522" s="27">
        <f>'1 Data'!I511</f>
        <v/>
      </c>
      <c r="E522" s="30">
        <f>COUNTIF($C$23:$C$1022,"&lt;"&amp;C522)+(COUNTIF($C$23:$C$1022,"="&amp;C522)+1)/2</f>
        <v/>
      </c>
    </row>
    <row r="523">
      <c r="B523" s="27">
        <f>'1 Data'!B512</f>
        <v/>
      </c>
      <c r="C523" s="47" t="n">
        <v>0.20139988</v>
      </c>
      <c r="D523" s="27">
        <f>'1 Data'!I512</f>
        <v/>
      </c>
      <c r="E523" s="30">
        <f>COUNTIF($C$23:$C$1022,"&lt;"&amp;C523)+(COUNTIF($C$23:$C$1022,"="&amp;C523)+1)/2</f>
        <v/>
      </c>
    </row>
    <row r="524">
      <c r="B524" s="27">
        <f>'1 Data'!B513</f>
        <v/>
      </c>
      <c r="C524" s="47" t="n">
        <v>0.2409125</v>
      </c>
      <c r="D524" s="27">
        <f>'1 Data'!I513</f>
        <v/>
      </c>
      <c r="E524" s="30">
        <f>COUNTIF($C$23:$C$1022,"&lt;"&amp;C524)+(COUNTIF($C$23:$C$1022,"="&amp;C524)+1)/2</f>
        <v/>
      </c>
    </row>
    <row r="525">
      <c r="B525" s="27">
        <f>'1 Data'!B514</f>
        <v/>
      </c>
      <c r="C525" s="47" t="n">
        <v>0.060886197</v>
      </c>
      <c r="D525" s="27">
        <f>'1 Data'!I514</f>
        <v/>
      </c>
      <c r="E525" s="30">
        <f>COUNTIF($C$23:$C$1022,"&lt;"&amp;C525)+(COUNTIF($C$23:$C$1022,"="&amp;C525)+1)/2</f>
        <v/>
      </c>
    </row>
    <row r="526">
      <c r="B526" s="27">
        <f>'1 Data'!B515</f>
        <v/>
      </c>
      <c r="C526" s="47" t="n">
        <v>0.0686732</v>
      </c>
      <c r="D526" s="27">
        <f>'1 Data'!I515</f>
        <v/>
      </c>
      <c r="E526" s="30">
        <f>COUNTIF($C$23:$C$1022,"&lt;"&amp;C526)+(COUNTIF($C$23:$C$1022,"="&amp;C526)+1)/2</f>
        <v/>
      </c>
    </row>
    <row r="527">
      <c r="B527" s="27">
        <f>'1 Data'!B516</f>
        <v/>
      </c>
      <c r="C527" s="47" t="n">
        <v>0.06313707</v>
      </c>
      <c r="D527" s="27">
        <f>'1 Data'!I516</f>
        <v/>
      </c>
      <c r="E527" s="30">
        <f>COUNTIF($C$23:$C$1022,"&lt;"&amp;C527)+(COUNTIF($C$23:$C$1022,"="&amp;C527)+1)/2</f>
        <v/>
      </c>
    </row>
    <row r="528">
      <c r="B528" s="27">
        <f>'1 Data'!B517</f>
        <v/>
      </c>
      <c r="C528" s="47" t="n">
        <v>0.076138094</v>
      </c>
      <c r="D528" s="27">
        <f>'1 Data'!I517</f>
        <v/>
      </c>
      <c r="E528" s="30">
        <f>COUNTIF($C$23:$C$1022,"&lt;"&amp;C528)+(COUNTIF($C$23:$C$1022,"="&amp;C528)+1)/2</f>
        <v/>
      </c>
    </row>
    <row r="529">
      <c r="B529" s="27">
        <f>'1 Data'!B518</f>
        <v/>
      </c>
      <c r="C529" s="47" t="n">
        <v>0.71580124</v>
      </c>
      <c r="D529" s="27">
        <f>'1 Data'!I518</f>
        <v/>
      </c>
      <c r="E529" s="30">
        <f>COUNTIF($C$23:$C$1022,"&lt;"&amp;C529)+(COUNTIF($C$23:$C$1022,"="&amp;C529)+1)/2</f>
        <v/>
      </c>
    </row>
    <row r="530">
      <c r="B530" s="27">
        <f>'1 Data'!B519</f>
        <v/>
      </c>
      <c r="C530" s="47" t="n">
        <v>0.11670278</v>
      </c>
      <c r="D530" s="27">
        <f>'1 Data'!I519</f>
        <v/>
      </c>
      <c r="E530" s="30">
        <f>COUNTIF($C$23:$C$1022,"&lt;"&amp;C530)+(COUNTIF($C$23:$C$1022,"="&amp;C530)+1)/2</f>
        <v/>
      </c>
    </row>
    <row r="531">
      <c r="B531" s="27">
        <f>'1 Data'!B520</f>
        <v/>
      </c>
      <c r="C531" s="47" t="n">
        <v>0.36743617</v>
      </c>
      <c r="D531" s="27">
        <f>'1 Data'!I520</f>
        <v/>
      </c>
      <c r="E531" s="30">
        <f>COUNTIF($C$23:$C$1022,"&lt;"&amp;C531)+(COUNTIF($C$23:$C$1022,"="&amp;C531)+1)/2</f>
        <v/>
      </c>
    </row>
    <row r="532">
      <c r="B532" s="27">
        <f>'1 Data'!B521</f>
        <v/>
      </c>
      <c r="C532" s="47" t="n">
        <v>0.2468487</v>
      </c>
      <c r="D532" s="27">
        <f>'1 Data'!I521</f>
        <v/>
      </c>
      <c r="E532" s="30">
        <f>COUNTIF($C$23:$C$1022,"&lt;"&amp;C532)+(COUNTIF($C$23:$C$1022,"="&amp;C532)+1)/2</f>
        <v/>
      </c>
    </row>
    <row r="533">
      <c r="B533" s="27">
        <f>'1 Data'!B522</f>
        <v/>
      </c>
      <c r="C533" s="47" t="n">
        <v>0.11851064</v>
      </c>
      <c r="D533" s="27">
        <f>'1 Data'!I522</f>
        <v/>
      </c>
      <c r="E533" s="30">
        <f>COUNTIF($C$23:$C$1022,"&lt;"&amp;C533)+(COUNTIF($C$23:$C$1022,"="&amp;C533)+1)/2</f>
        <v/>
      </c>
    </row>
    <row r="534">
      <c r="B534" s="27">
        <f>'1 Data'!B523</f>
        <v/>
      </c>
      <c r="C534" s="47" t="n">
        <v>0.09722508000000001</v>
      </c>
      <c r="D534" s="27">
        <f>'1 Data'!I523</f>
        <v/>
      </c>
      <c r="E534" s="30">
        <f>COUNTIF($C$23:$C$1022,"&lt;"&amp;C534)+(COUNTIF($C$23:$C$1022,"="&amp;C534)+1)/2</f>
        <v/>
      </c>
    </row>
    <row r="535">
      <c r="B535" s="27">
        <f>'1 Data'!B524</f>
        <v/>
      </c>
      <c r="C535" s="47" t="n">
        <v>0.1697469</v>
      </c>
      <c r="D535" s="27">
        <f>'1 Data'!I524</f>
        <v/>
      </c>
      <c r="E535" s="30">
        <f>COUNTIF($C$23:$C$1022,"&lt;"&amp;C535)+(COUNTIF($C$23:$C$1022,"="&amp;C535)+1)/2</f>
        <v/>
      </c>
    </row>
    <row r="536">
      <c r="B536" s="27">
        <f>'1 Data'!B525</f>
        <v/>
      </c>
      <c r="C536" s="47" t="n">
        <v>0.07695577000000001</v>
      </c>
      <c r="D536" s="27">
        <f>'1 Data'!I525</f>
        <v/>
      </c>
      <c r="E536" s="30">
        <f>COUNTIF($C$23:$C$1022,"&lt;"&amp;C536)+(COUNTIF($C$23:$C$1022,"="&amp;C536)+1)/2</f>
        <v/>
      </c>
    </row>
    <row r="537">
      <c r="B537" s="27">
        <f>'1 Data'!B526</f>
        <v/>
      </c>
      <c r="C537" s="47" t="n">
        <v>0.3373054</v>
      </c>
      <c r="D537" s="27">
        <f>'1 Data'!I526</f>
        <v/>
      </c>
      <c r="E537" s="30">
        <f>COUNTIF($C$23:$C$1022,"&lt;"&amp;C537)+(COUNTIF($C$23:$C$1022,"="&amp;C537)+1)/2</f>
        <v/>
      </c>
    </row>
    <row r="538">
      <c r="B538" s="27">
        <f>'1 Data'!B527</f>
        <v/>
      </c>
      <c r="C538" s="47" t="n">
        <v>0.15420327</v>
      </c>
      <c r="D538" s="27">
        <f>'1 Data'!I527</f>
        <v/>
      </c>
      <c r="E538" s="30">
        <f>COUNTIF($C$23:$C$1022,"&lt;"&amp;C538)+(COUNTIF($C$23:$C$1022,"="&amp;C538)+1)/2</f>
        <v/>
      </c>
    </row>
    <row r="539">
      <c r="B539" s="27">
        <f>'1 Data'!B528</f>
        <v/>
      </c>
      <c r="C539" s="47" t="n">
        <v>0.7896208</v>
      </c>
      <c r="D539" s="27">
        <f>'1 Data'!I528</f>
        <v/>
      </c>
      <c r="E539" s="30">
        <f>COUNTIF($C$23:$C$1022,"&lt;"&amp;C539)+(COUNTIF($C$23:$C$1022,"="&amp;C539)+1)/2</f>
        <v/>
      </c>
    </row>
    <row r="540">
      <c r="B540" s="27">
        <f>'1 Data'!B529</f>
        <v/>
      </c>
      <c r="C540" s="47" t="n">
        <v>0.66210616</v>
      </c>
      <c r="D540" s="27">
        <f>'1 Data'!I529</f>
        <v/>
      </c>
      <c r="E540" s="30">
        <f>COUNTIF($C$23:$C$1022,"&lt;"&amp;C540)+(COUNTIF($C$23:$C$1022,"="&amp;C540)+1)/2</f>
        <v/>
      </c>
    </row>
    <row r="541">
      <c r="B541" s="27">
        <f>'1 Data'!B530</f>
        <v/>
      </c>
      <c r="C541" s="47" t="n">
        <v>0.20867723</v>
      </c>
      <c r="D541" s="27">
        <f>'1 Data'!I530</f>
        <v/>
      </c>
      <c r="E541" s="30">
        <f>COUNTIF($C$23:$C$1022,"&lt;"&amp;C541)+(COUNTIF($C$23:$C$1022,"="&amp;C541)+1)/2</f>
        <v/>
      </c>
    </row>
    <row r="542">
      <c r="B542" s="27">
        <f>'1 Data'!B531</f>
        <v/>
      </c>
      <c r="C542" s="47" t="n">
        <v>0.053805847</v>
      </c>
      <c r="D542" s="27">
        <f>'1 Data'!I531</f>
        <v/>
      </c>
      <c r="E542" s="30">
        <f>COUNTIF($C$23:$C$1022,"&lt;"&amp;C542)+(COUNTIF($C$23:$C$1022,"="&amp;C542)+1)/2</f>
        <v/>
      </c>
    </row>
    <row r="543">
      <c r="B543" s="27">
        <f>'1 Data'!B532</f>
        <v/>
      </c>
      <c r="C543" s="47" t="n">
        <v>0.28480446</v>
      </c>
      <c r="D543" s="27">
        <f>'1 Data'!I532</f>
        <v/>
      </c>
      <c r="E543" s="30">
        <f>COUNTIF($C$23:$C$1022,"&lt;"&amp;C543)+(COUNTIF($C$23:$C$1022,"="&amp;C543)+1)/2</f>
        <v/>
      </c>
    </row>
    <row r="544">
      <c r="B544" s="27">
        <f>'1 Data'!B533</f>
        <v/>
      </c>
      <c r="C544" s="47" t="n">
        <v>0.11637947</v>
      </c>
      <c r="D544" s="27">
        <f>'1 Data'!I533</f>
        <v/>
      </c>
      <c r="E544" s="30">
        <f>COUNTIF($C$23:$C$1022,"&lt;"&amp;C544)+(COUNTIF($C$23:$C$1022,"="&amp;C544)+1)/2</f>
        <v/>
      </c>
    </row>
    <row r="545">
      <c r="B545" s="27">
        <f>'1 Data'!B534</f>
        <v/>
      </c>
      <c r="C545" s="47" t="n">
        <v>0.18204966</v>
      </c>
      <c r="D545" s="27">
        <f>'1 Data'!I534</f>
        <v/>
      </c>
      <c r="E545" s="30">
        <f>COUNTIF($C$23:$C$1022,"&lt;"&amp;C545)+(COUNTIF($C$23:$C$1022,"="&amp;C545)+1)/2</f>
        <v/>
      </c>
    </row>
    <row r="546">
      <c r="B546" s="27">
        <f>'1 Data'!B535</f>
        <v/>
      </c>
      <c r="C546" s="47" t="n">
        <v>0.15809801</v>
      </c>
      <c r="D546" s="27">
        <f>'1 Data'!I535</f>
        <v/>
      </c>
      <c r="E546" s="30">
        <f>COUNTIF($C$23:$C$1022,"&lt;"&amp;C546)+(COUNTIF($C$23:$C$1022,"="&amp;C546)+1)/2</f>
        <v/>
      </c>
    </row>
    <row r="547">
      <c r="B547" s="27">
        <f>'1 Data'!B536</f>
        <v/>
      </c>
      <c r="C547" s="47" t="n">
        <v>0.07964438</v>
      </c>
      <c r="D547" s="27">
        <f>'1 Data'!I536</f>
        <v/>
      </c>
      <c r="E547" s="30">
        <f>COUNTIF($C$23:$C$1022,"&lt;"&amp;C547)+(COUNTIF($C$23:$C$1022,"="&amp;C547)+1)/2</f>
        <v/>
      </c>
    </row>
    <row r="548">
      <c r="B548" s="27">
        <f>'1 Data'!B537</f>
        <v/>
      </c>
      <c r="C548" s="47" t="n">
        <v>0.09578903</v>
      </c>
      <c r="D548" s="27">
        <f>'1 Data'!I537</f>
        <v/>
      </c>
      <c r="E548" s="30">
        <f>COUNTIF($C$23:$C$1022,"&lt;"&amp;C548)+(COUNTIF($C$23:$C$1022,"="&amp;C548)+1)/2</f>
        <v/>
      </c>
    </row>
    <row r="549">
      <c r="B549" s="27">
        <f>'1 Data'!B538</f>
        <v/>
      </c>
      <c r="C549" s="47" t="n">
        <v>0.09248497</v>
      </c>
      <c r="D549" s="27">
        <f>'1 Data'!I538</f>
        <v/>
      </c>
      <c r="E549" s="30">
        <f>COUNTIF($C$23:$C$1022,"&lt;"&amp;C549)+(COUNTIF($C$23:$C$1022,"="&amp;C549)+1)/2</f>
        <v/>
      </c>
    </row>
    <row r="550">
      <c r="B550" s="27">
        <f>'1 Data'!B539</f>
        <v/>
      </c>
      <c r="C550" s="47" t="n">
        <v>0.120225824</v>
      </c>
      <c r="D550" s="27">
        <f>'1 Data'!I539</f>
        <v/>
      </c>
      <c r="E550" s="30">
        <f>COUNTIF($C$23:$C$1022,"&lt;"&amp;C550)+(COUNTIF($C$23:$C$1022,"="&amp;C550)+1)/2</f>
        <v/>
      </c>
    </row>
    <row r="551">
      <c r="B551" s="27">
        <f>'1 Data'!B540</f>
        <v/>
      </c>
      <c r="C551" s="47" t="n">
        <v>0.23540135</v>
      </c>
      <c r="D551" s="27">
        <f>'1 Data'!I540</f>
        <v/>
      </c>
      <c r="E551" s="30">
        <f>COUNTIF($C$23:$C$1022,"&lt;"&amp;C551)+(COUNTIF($C$23:$C$1022,"="&amp;C551)+1)/2</f>
        <v/>
      </c>
    </row>
    <row r="552">
      <c r="B552" s="27">
        <f>'1 Data'!B541</f>
        <v/>
      </c>
      <c r="C552" s="47" t="n">
        <v>0.052975383</v>
      </c>
      <c r="D552" s="27">
        <f>'1 Data'!I541</f>
        <v/>
      </c>
      <c r="E552" s="30">
        <f>COUNTIF($C$23:$C$1022,"&lt;"&amp;C552)+(COUNTIF($C$23:$C$1022,"="&amp;C552)+1)/2</f>
        <v/>
      </c>
    </row>
    <row r="553">
      <c r="B553" s="27">
        <f>'1 Data'!B542</f>
        <v/>
      </c>
      <c r="C553" s="47" t="n">
        <v>0.0690484</v>
      </c>
      <c r="D553" s="27">
        <f>'1 Data'!I542</f>
        <v/>
      </c>
      <c r="E553" s="30">
        <f>COUNTIF($C$23:$C$1022,"&lt;"&amp;C553)+(COUNTIF($C$23:$C$1022,"="&amp;C553)+1)/2</f>
        <v/>
      </c>
    </row>
    <row r="554">
      <c r="B554" s="27">
        <f>'1 Data'!B543</f>
        <v/>
      </c>
      <c r="C554" s="47" t="n">
        <v>0.11856759</v>
      </c>
      <c r="D554" s="27">
        <f>'1 Data'!I543</f>
        <v/>
      </c>
      <c r="E554" s="30">
        <f>COUNTIF($C$23:$C$1022,"&lt;"&amp;C554)+(COUNTIF($C$23:$C$1022,"="&amp;C554)+1)/2</f>
        <v/>
      </c>
    </row>
    <row r="555">
      <c r="B555" s="27">
        <f>'1 Data'!B544</f>
        <v/>
      </c>
      <c r="C555" s="47" t="n">
        <v>0.79753536</v>
      </c>
      <c r="D555" s="27">
        <f>'1 Data'!I544</f>
        <v/>
      </c>
      <c r="E555" s="30">
        <f>COUNTIF($C$23:$C$1022,"&lt;"&amp;C555)+(COUNTIF($C$23:$C$1022,"="&amp;C555)+1)/2</f>
        <v/>
      </c>
    </row>
    <row r="556">
      <c r="B556" s="27">
        <f>'1 Data'!B545</f>
        <v/>
      </c>
      <c r="C556" s="47" t="n">
        <v>0.109430164</v>
      </c>
      <c r="D556" s="27">
        <f>'1 Data'!I545</f>
        <v/>
      </c>
      <c r="E556" s="30">
        <f>COUNTIF($C$23:$C$1022,"&lt;"&amp;C556)+(COUNTIF($C$23:$C$1022,"="&amp;C556)+1)/2</f>
        <v/>
      </c>
    </row>
    <row r="557">
      <c r="B557" s="27">
        <f>'1 Data'!B546</f>
        <v/>
      </c>
      <c r="C557" s="47" t="n">
        <v>0.7999253</v>
      </c>
      <c r="D557" s="27">
        <f>'1 Data'!I546</f>
        <v/>
      </c>
      <c r="E557" s="30">
        <f>COUNTIF($C$23:$C$1022,"&lt;"&amp;C557)+(COUNTIF($C$23:$C$1022,"="&amp;C557)+1)/2</f>
        <v/>
      </c>
    </row>
    <row r="558">
      <c r="B558" s="27">
        <f>'1 Data'!B547</f>
        <v/>
      </c>
      <c r="C558" s="47" t="n">
        <v>0.39110106</v>
      </c>
      <c r="D558" s="27">
        <f>'1 Data'!I547</f>
        <v/>
      </c>
      <c r="E558" s="30">
        <f>COUNTIF($C$23:$C$1022,"&lt;"&amp;C558)+(COUNTIF($C$23:$C$1022,"="&amp;C558)+1)/2</f>
        <v/>
      </c>
    </row>
    <row r="559">
      <c r="B559" s="27">
        <f>'1 Data'!B548</f>
        <v/>
      </c>
      <c r="C559" s="47" t="n">
        <v>0.23018897</v>
      </c>
      <c r="D559" s="27">
        <f>'1 Data'!I548</f>
        <v/>
      </c>
      <c r="E559" s="30">
        <f>COUNTIF($C$23:$C$1022,"&lt;"&amp;C559)+(COUNTIF($C$23:$C$1022,"="&amp;C559)+1)/2</f>
        <v/>
      </c>
    </row>
    <row r="560">
      <c r="B560" s="27">
        <f>'1 Data'!B549</f>
        <v/>
      </c>
      <c r="C560" s="47" t="n">
        <v>0.5509416499999999</v>
      </c>
      <c r="D560" s="27">
        <f>'1 Data'!I549</f>
        <v/>
      </c>
      <c r="E560" s="30">
        <f>COUNTIF($C$23:$C$1022,"&lt;"&amp;C560)+(COUNTIF($C$23:$C$1022,"="&amp;C560)+1)/2</f>
        <v/>
      </c>
    </row>
    <row r="561">
      <c r="B561" s="27">
        <f>'1 Data'!B550</f>
        <v/>
      </c>
      <c r="C561" s="47" t="n">
        <v>0.09421708400000001</v>
      </c>
      <c r="D561" s="27">
        <f>'1 Data'!I550</f>
        <v/>
      </c>
      <c r="E561" s="30">
        <f>COUNTIF($C$23:$C$1022,"&lt;"&amp;C561)+(COUNTIF($C$23:$C$1022,"="&amp;C561)+1)/2</f>
        <v/>
      </c>
    </row>
    <row r="562">
      <c r="B562" s="27">
        <f>'1 Data'!B551</f>
        <v/>
      </c>
      <c r="C562" s="47" t="n">
        <v>0.040230412</v>
      </c>
      <c r="D562" s="27">
        <f>'1 Data'!I551</f>
        <v/>
      </c>
      <c r="E562" s="30">
        <f>COUNTIF($C$23:$C$1022,"&lt;"&amp;C562)+(COUNTIF($C$23:$C$1022,"="&amp;C562)+1)/2</f>
        <v/>
      </c>
    </row>
    <row r="563">
      <c r="B563" s="27">
        <f>'1 Data'!B552</f>
        <v/>
      </c>
      <c r="C563" s="47" t="n">
        <v>0.11289759</v>
      </c>
      <c r="D563" s="27">
        <f>'1 Data'!I552</f>
        <v/>
      </c>
      <c r="E563" s="30">
        <f>COUNTIF($C$23:$C$1022,"&lt;"&amp;C563)+(COUNTIF($C$23:$C$1022,"="&amp;C563)+1)/2</f>
        <v/>
      </c>
    </row>
    <row r="564">
      <c r="B564" s="27">
        <f>'1 Data'!B553</f>
        <v/>
      </c>
      <c r="C564" s="47" t="n">
        <v>0.089677945</v>
      </c>
      <c r="D564" s="27">
        <f>'1 Data'!I553</f>
        <v/>
      </c>
      <c r="E564" s="30">
        <f>COUNTIF($C$23:$C$1022,"&lt;"&amp;C564)+(COUNTIF($C$23:$C$1022,"="&amp;C564)+1)/2</f>
        <v/>
      </c>
    </row>
    <row r="565">
      <c r="B565" s="27">
        <f>'1 Data'!B554</f>
        <v/>
      </c>
      <c r="C565" s="47" t="n">
        <v>0.14543465</v>
      </c>
      <c r="D565" s="27">
        <f>'1 Data'!I554</f>
        <v/>
      </c>
      <c r="E565" s="30">
        <f>COUNTIF($C$23:$C$1022,"&lt;"&amp;C565)+(COUNTIF($C$23:$C$1022,"="&amp;C565)+1)/2</f>
        <v/>
      </c>
    </row>
    <row r="566">
      <c r="B566" s="27">
        <f>'1 Data'!B555</f>
        <v/>
      </c>
      <c r="C566" s="47" t="n">
        <v>0.6800704</v>
      </c>
      <c r="D566" s="27">
        <f>'1 Data'!I555</f>
        <v/>
      </c>
      <c r="E566" s="30">
        <f>COUNTIF($C$23:$C$1022,"&lt;"&amp;C566)+(COUNTIF($C$23:$C$1022,"="&amp;C566)+1)/2</f>
        <v/>
      </c>
    </row>
    <row r="567">
      <c r="B567" s="27">
        <f>'1 Data'!B556</f>
        <v/>
      </c>
      <c r="C567" s="47" t="n">
        <v>0.7037921</v>
      </c>
      <c r="D567" s="27">
        <f>'1 Data'!I556</f>
        <v/>
      </c>
      <c r="E567" s="30">
        <f>COUNTIF($C$23:$C$1022,"&lt;"&amp;C567)+(COUNTIF($C$23:$C$1022,"="&amp;C567)+1)/2</f>
        <v/>
      </c>
    </row>
    <row r="568">
      <c r="B568" s="27">
        <f>'1 Data'!B557</f>
        <v/>
      </c>
      <c r="C568" s="47" t="n">
        <v>0.2306034</v>
      </c>
      <c r="D568" s="27">
        <f>'1 Data'!I557</f>
        <v/>
      </c>
      <c r="E568" s="30">
        <f>COUNTIF($C$23:$C$1022,"&lt;"&amp;C568)+(COUNTIF($C$23:$C$1022,"="&amp;C568)+1)/2</f>
        <v/>
      </c>
    </row>
    <row r="569">
      <c r="B569" s="27">
        <f>'1 Data'!B558</f>
        <v/>
      </c>
      <c r="C569" s="47" t="n">
        <v>0.22871362</v>
      </c>
      <c r="D569" s="27">
        <f>'1 Data'!I558</f>
        <v/>
      </c>
      <c r="E569" s="30">
        <f>COUNTIF($C$23:$C$1022,"&lt;"&amp;C569)+(COUNTIF($C$23:$C$1022,"="&amp;C569)+1)/2</f>
        <v/>
      </c>
    </row>
    <row r="570">
      <c r="B570" s="27">
        <f>'1 Data'!B559</f>
        <v/>
      </c>
      <c r="C570" s="47" t="n">
        <v>0.27860323</v>
      </c>
      <c r="D570" s="27">
        <f>'1 Data'!I559</f>
        <v/>
      </c>
      <c r="E570" s="30">
        <f>COUNTIF($C$23:$C$1022,"&lt;"&amp;C570)+(COUNTIF($C$23:$C$1022,"="&amp;C570)+1)/2</f>
        <v/>
      </c>
    </row>
    <row r="571">
      <c r="B571" s="27">
        <f>'1 Data'!B560</f>
        <v/>
      </c>
      <c r="C571" s="47" t="n">
        <v>0.17354916</v>
      </c>
      <c r="D571" s="27">
        <f>'1 Data'!I560</f>
        <v/>
      </c>
      <c r="E571" s="30">
        <f>COUNTIF($C$23:$C$1022,"&lt;"&amp;C571)+(COUNTIF($C$23:$C$1022,"="&amp;C571)+1)/2</f>
        <v/>
      </c>
    </row>
    <row r="572">
      <c r="B572" s="27">
        <f>'1 Data'!B561</f>
        <v/>
      </c>
      <c r="C572" s="47" t="n">
        <v>0.75199234</v>
      </c>
      <c r="D572" s="27">
        <f>'1 Data'!I561</f>
        <v/>
      </c>
      <c r="E572" s="30">
        <f>COUNTIF($C$23:$C$1022,"&lt;"&amp;C572)+(COUNTIF($C$23:$C$1022,"="&amp;C572)+1)/2</f>
        <v/>
      </c>
    </row>
    <row r="573">
      <c r="B573" s="27">
        <f>'1 Data'!B562</f>
        <v/>
      </c>
      <c r="C573" s="47" t="n">
        <v>0.21569</v>
      </c>
      <c r="D573" s="27">
        <f>'1 Data'!I562</f>
        <v/>
      </c>
      <c r="E573" s="30">
        <f>COUNTIF($C$23:$C$1022,"&lt;"&amp;C573)+(COUNTIF($C$23:$C$1022,"="&amp;C573)+1)/2</f>
        <v/>
      </c>
    </row>
    <row r="574">
      <c r="B574" s="27">
        <f>'1 Data'!B563</f>
        <v/>
      </c>
      <c r="C574" s="47" t="n">
        <v>0.15136579</v>
      </c>
      <c r="D574" s="27">
        <f>'1 Data'!I563</f>
        <v/>
      </c>
      <c r="E574" s="30">
        <f>COUNTIF($C$23:$C$1022,"&lt;"&amp;C574)+(COUNTIF($C$23:$C$1022,"="&amp;C574)+1)/2</f>
        <v/>
      </c>
    </row>
    <row r="575">
      <c r="B575" s="27">
        <f>'1 Data'!B564</f>
        <v/>
      </c>
      <c r="C575" s="47" t="n">
        <v>0.11114279</v>
      </c>
      <c r="D575" s="27">
        <f>'1 Data'!I564</f>
        <v/>
      </c>
      <c r="E575" s="30">
        <f>COUNTIF($C$23:$C$1022,"&lt;"&amp;C575)+(COUNTIF($C$23:$C$1022,"="&amp;C575)+1)/2</f>
        <v/>
      </c>
    </row>
    <row r="576">
      <c r="B576" s="27">
        <f>'1 Data'!B565</f>
        <v/>
      </c>
      <c r="C576" s="47" t="n">
        <v>0.09025156500000001</v>
      </c>
      <c r="D576" s="27">
        <f>'1 Data'!I565</f>
        <v/>
      </c>
      <c r="E576" s="30">
        <f>COUNTIF($C$23:$C$1022,"&lt;"&amp;C576)+(COUNTIF($C$23:$C$1022,"="&amp;C576)+1)/2</f>
        <v/>
      </c>
    </row>
    <row r="577">
      <c r="B577" s="27">
        <f>'1 Data'!B566</f>
        <v/>
      </c>
      <c r="C577" s="47" t="n">
        <v>0.40919834</v>
      </c>
      <c r="D577" s="27">
        <f>'1 Data'!I566</f>
        <v/>
      </c>
      <c r="E577" s="30">
        <f>COUNTIF($C$23:$C$1022,"&lt;"&amp;C577)+(COUNTIF($C$23:$C$1022,"="&amp;C577)+1)/2</f>
        <v/>
      </c>
    </row>
    <row r="578">
      <c r="B578" s="27">
        <f>'1 Data'!B567</f>
        <v/>
      </c>
      <c r="C578" s="47" t="n">
        <v>0.12061989</v>
      </c>
      <c r="D578" s="27">
        <f>'1 Data'!I567</f>
        <v/>
      </c>
      <c r="E578" s="30">
        <f>COUNTIF($C$23:$C$1022,"&lt;"&amp;C578)+(COUNTIF($C$23:$C$1022,"="&amp;C578)+1)/2</f>
        <v/>
      </c>
    </row>
    <row r="579">
      <c r="B579" s="27">
        <f>'1 Data'!B568</f>
        <v/>
      </c>
      <c r="C579" s="47" t="n">
        <v>0.13875338</v>
      </c>
      <c r="D579" s="27">
        <f>'1 Data'!I568</f>
        <v/>
      </c>
      <c r="E579" s="30">
        <f>COUNTIF($C$23:$C$1022,"&lt;"&amp;C579)+(COUNTIF($C$23:$C$1022,"="&amp;C579)+1)/2</f>
        <v/>
      </c>
    </row>
    <row r="580">
      <c r="B580" s="27">
        <f>'1 Data'!B569</f>
        <v/>
      </c>
      <c r="C580" s="47" t="n">
        <v>0.16656782</v>
      </c>
      <c r="D580" s="27">
        <f>'1 Data'!I569</f>
        <v/>
      </c>
      <c r="E580" s="30">
        <f>COUNTIF($C$23:$C$1022,"&lt;"&amp;C580)+(COUNTIF($C$23:$C$1022,"="&amp;C580)+1)/2</f>
        <v/>
      </c>
    </row>
    <row r="581">
      <c r="B581" s="27">
        <f>'1 Data'!B570</f>
        <v/>
      </c>
      <c r="C581" s="47" t="n">
        <v>0.6343955999999999</v>
      </c>
      <c r="D581" s="27">
        <f>'1 Data'!I570</f>
        <v/>
      </c>
      <c r="E581" s="30">
        <f>COUNTIF($C$23:$C$1022,"&lt;"&amp;C581)+(COUNTIF($C$23:$C$1022,"="&amp;C581)+1)/2</f>
        <v/>
      </c>
    </row>
    <row r="582">
      <c r="B582" s="27">
        <f>'1 Data'!B571</f>
        <v/>
      </c>
      <c r="C582" s="47" t="n">
        <v>0.22900322</v>
      </c>
      <c r="D582" s="27">
        <f>'1 Data'!I571</f>
        <v/>
      </c>
      <c r="E582" s="30">
        <f>COUNTIF($C$23:$C$1022,"&lt;"&amp;C582)+(COUNTIF($C$23:$C$1022,"="&amp;C582)+1)/2</f>
        <v/>
      </c>
    </row>
    <row r="583">
      <c r="B583" s="27">
        <f>'1 Data'!B572</f>
        <v/>
      </c>
      <c r="C583" s="47" t="n">
        <v>0.22234268</v>
      </c>
      <c r="D583" s="27">
        <f>'1 Data'!I572</f>
        <v/>
      </c>
      <c r="E583" s="30">
        <f>COUNTIF($C$23:$C$1022,"&lt;"&amp;C583)+(COUNTIF($C$23:$C$1022,"="&amp;C583)+1)/2</f>
        <v/>
      </c>
    </row>
    <row r="584">
      <c r="B584" s="27">
        <f>'1 Data'!B573</f>
        <v/>
      </c>
      <c r="C584" s="47" t="n">
        <v>0.67296463</v>
      </c>
      <c r="D584" s="27">
        <f>'1 Data'!I573</f>
        <v/>
      </c>
      <c r="E584" s="30">
        <f>COUNTIF($C$23:$C$1022,"&lt;"&amp;C584)+(COUNTIF($C$23:$C$1022,"="&amp;C584)+1)/2</f>
        <v/>
      </c>
    </row>
    <row r="585">
      <c r="B585" s="27">
        <f>'1 Data'!B574</f>
        <v/>
      </c>
      <c r="C585" s="47" t="n">
        <v>0.16769229</v>
      </c>
      <c r="D585" s="27">
        <f>'1 Data'!I574</f>
        <v/>
      </c>
      <c r="E585" s="30">
        <f>COUNTIF($C$23:$C$1022,"&lt;"&amp;C585)+(COUNTIF($C$23:$C$1022,"="&amp;C585)+1)/2</f>
        <v/>
      </c>
    </row>
    <row r="586">
      <c r="B586" s="27">
        <f>'1 Data'!B575</f>
        <v/>
      </c>
      <c r="C586" s="47" t="n">
        <v>0.06937511</v>
      </c>
      <c r="D586" s="27">
        <f>'1 Data'!I575</f>
        <v/>
      </c>
      <c r="E586" s="30">
        <f>COUNTIF($C$23:$C$1022,"&lt;"&amp;C586)+(COUNTIF($C$23:$C$1022,"="&amp;C586)+1)/2</f>
        <v/>
      </c>
    </row>
    <row r="587">
      <c r="B587" s="27">
        <f>'1 Data'!B576</f>
        <v/>
      </c>
      <c r="C587" s="47" t="n">
        <v>0.22646248</v>
      </c>
      <c r="D587" s="27">
        <f>'1 Data'!I576</f>
        <v/>
      </c>
      <c r="E587" s="30">
        <f>COUNTIF($C$23:$C$1022,"&lt;"&amp;C587)+(COUNTIF($C$23:$C$1022,"="&amp;C587)+1)/2</f>
        <v/>
      </c>
    </row>
    <row r="588">
      <c r="B588" s="27">
        <f>'1 Data'!B577</f>
        <v/>
      </c>
      <c r="C588" s="47" t="n">
        <v>0.09371909</v>
      </c>
      <c r="D588" s="27">
        <f>'1 Data'!I577</f>
        <v/>
      </c>
      <c r="E588" s="30">
        <f>COUNTIF($C$23:$C$1022,"&lt;"&amp;C588)+(COUNTIF($C$23:$C$1022,"="&amp;C588)+1)/2</f>
        <v/>
      </c>
    </row>
    <row r="589">
      <c r="B589" s="27">
        <f>'1 Data'!B578</f>
        <v/>
      </c>
      <c r="C589" s="47" t="n">
        <v>0.18465436</v>
      </c>
      <c r="D589" s="27">
        <f>'1 Data'!I578</f>
        <v/>
      </c>
      <c r="E589" s="30">
        <f>COUNTIF($C$23:$C$1022,"&lt;"&amp;C589)+(COUNTIF($C$23:$C$1022,"="&amp;C589)+1)/2</f>
        <v/>
      </c>
    </row>
    <row r="590">
      <c r="B590" s="27">
        <f>'1 Data'!B579</f>
        <v/>
      </c>
      <c r="C590" s="47" t="n">
        <v>0.26456508</v>
      </c>
      <c r="D590" s="27">
        <f>'1 Data'!I579</f>
        <v/>
      </c>
      <c r="E590" s="30">
        <f>COUNTIF($C$23:$C$1022,"&lt;"&amp;C590)+(COUNTIF($C$23:$C$1022,"="&amp;C590)+1)/2</f>
        <v/>
      </c>
    </row>
    <row r="591">
      <c r="B591" s="27">
        <f>'1 Data'!B580</f>
        <v/>
      </c>
      <c r="C591" s="47" t="n">
        <v>0.771547</v>
      </c>
      <c r="D591" s="27">
        <f>'1 Data'!I580</f>
        <v/>
      </c>
      <c r="E591" s="30">
        <f>COUNTIF($C$23:$C$1022,"&lt;"&amp;C591)+(COUNTIF($C$23:$C$1022,"="&amp;C591)+1)/2</f>
        <v/>
      </c>
    </row>
    <row r="592">
      <c r="B592" s="27">
        <f>'1 Data'!B581</f>
        <v/>
      </c>
      <c r="C592" s="47" t="n">
        <v>0.66535735</v>
      </c>
      <c r="D592" s="27">
        <f>'1 Data'!I581</f>
        <v/>
      </c>
      <c r="E592" s="30">
        <f>COUNTIF($C$23:$C$1022,"&lt;"&amp;C592)+(COUNTIF($C$23:$C$1022,"="&amp;C592)+1)/2</f>
        <v/>
      </c>
    </row>
    <row r="593">
      <c r="B593" s="27">
        <f>'1 Data'!B582</f>
        <v/>
      </c>
      <c r="C593" s="47" t="n">
        <v>0.11434757</v>
      </c>
      <c r="D593" s="27">
        <f>'1 Data'!I582</f>
        <v/>
      </c>
      <c r="E593" s="30">
        <f>COUNTIF($C$23:$C$1022,"&lt;"&amp;C593)+(COUNTIF($C$23:$C$1022,"="&amp;C593)+1)/2</f>
        <v/>
      </c>
    </row>
    <row r="594">
      <c r="B594" s="27">
        <f>'1 Data'!B583</f>
        <v/>
      </c>
      <c r="C594" s="47" t="n">
        <v>0.13137771</v>
      </c>
      <c r="D594" s="27">
        <f>'1 Data'!I583</f>
        <v/>
      </c>
      <c r="E594" s="30">
        <f>COUNTIF($C$23:$C$1022,"&lt;"&amp;C594)+(COUNTIF($C$23:$C$1022,"="&amp;C594)+1)/2</f>
        <v/>
      </c>
    </row>
    <row r="595">
      <c r="B595" s="27">
        <f>'1 Data'!B584</f>
        <v/>
      </c>
      <c r="C595" s="47" t="n">
        <v>0.16770512</v>
      </c>
      <c r="D595" s="27">
        <f>'1 Data'!I584</f>
        <v/>
      </c>
      <c r="E595" s="30">
        <f>COUNTIF($C$23:$C$1022,"&lt;"&amp;C595)+(COUNTIF($C$23:$C$1022,"="&amp;C595)+1)/2</f>
        <v/>
      </c>
    </row>
    <row r="596">
      <c r="B596" s="27">
        <f>'1 Data'!B585</f>
        <v/>
      </c>
      <c r="C596" s="47" t="n">
        <v>0.31004724</v>
      </c>
      <c r="D596" s="27">
        <f>'1 Data'!I585</f>
        <v/>
      </c>
      <c r="E596" s="30">
        <f>COUNTIF($C$23:$C$1022,"&lt;"&amp;C596)+(COUNTIF($C$23:$C$1022,"="&amp;C596)+1)/2</f>
        <v/>
      </c>
    </row>
    <row r="597">
      <c r="B597" s="27">
        <f>'1 Data'!B586</f>
        <v/>
      </c>
      <c r="C597" s="47" t="n">
        <v>0.6584198</v>
      </c>
      <c r="D597" s="27">
        <f>'1 Data'!I586</f>
        <v/>
      </c>
      <c r="E597" s="30">
        <f>COUNTIF($C$23:$C$1022,"&lt;"&amp;C597)+(COUNTIF($C$23:$C$1022,"="&amp;C597)+1)/2</f>
        <v/>
      </c>
    </row>
    <row r="598">
      <c r="B598" s="27">
        <f>'1 Data'!B587</f>
        <v/>
      </c>
      <c r="C598" s="47" t="n">
        <v>0.6014555</v>
      </c>
      <c r="D598" s="27">
        <f>'1 Data'!I587</f>
        <v/>
      </c>
      <c r="E598" s="30">
        <f>COUNTIF($C$23:$C$1022,"&lt;"&amp;C598)+(COUNTIF($C$23:$C$1022,"="&amp;C598)+1)/2</f>
        <v/>
      </c>
    </row>
    <row r="599">
      <c r="B599" s="27">
        <f>'1 Data'!B588</f>
        <v/>
      </c>
      <c r="C599" s="47" t="n">
        <v>0.112276666</v>
      </c>
      <c r="D599" s="27">
        <f>'1 Data'!I588</f>
        <v/>
      </c>
      <c r="E599" s="30">
        <f>COUNTIF($C$23:$C$1022,"&lt;"&amp;C599)+(COUNTIF($C$23:$C$1022,"="&amp;C599)+1)/2</f>
        <v/>
      </c>
    </row>
    <row r="600">
      <c r="B600" s="27">
        <f>'1 Data'!B589</f>
        <v/>
      </c>
      <c r="C600" s="47" t="n">
        <v>0.5691909000000001</v>
      </c>
      <c r="D600" s="27">
        <f>'1 Data'!I589</f>
        <v/>
      </c>
      <c r="E600" s="30">
        <f>COUNTIF($C$23:$C$1022,"&lt;"&amp;C600)+(COUNTIF($C$23:$C$1022,"="&amp;C600)+1)/2</f>
        <v/>
      </c>
    </row>
    <row r="601">
      <c r="B601" s="27">
        <f>'1 Data'!B590</f>
        <v/>
      </c>
      <c r="C601" s="47" t="n">
        <v>0.12597279</v>
      </c>
      <c r="D601" s="27">
        <f>'1 Data'!I590</f>
        <v/>
      </c>
      <c r="E601" s="30">
        <f>COUNTIF($C$23:$C$1022,"&lt;"&amp;C601)+(COUNTIF($C$23:$C$1022,"="&amp;C601)+1)/2</f>
        <v/>
      </c>
    </row>
    <row r="602">
      <c r="B602" s="27">
        <f>'1 Data'!B591</f>
        <v/>
      </c>
      <c r="C602" s="47" t="n">
        <v>0.22361621</v>
      </c>
      <c r="D602" s="27">
        <f>'1 Data'!I591</f>
        <v/>
      </c>
      <c r="E602" s="30">
        <f>COUNTIF($C$23:$C$1022,"&lt;"&amp;C602)+(COUNTIF($C$23:$C$1022,"="&amp;C602)+1)/2</f>
        <v/>
      </c>
    </row>
    <row r="603">
      <c r="B603" s="27">
        <f>'1 Data'!B592</f>
        <v/>
      </c>
      <c r="C603" s="47" t="n">
        <v>0.1899697</v>
      </c>
      <c r="D603" s="27">
        <f>'1 Data'!I592</f>
        <v/>
      </c>
      <c r="E603" s="30">
        <f>COUNTIF($C$23:$C$1022,"&lt;"&amp;C603)+(COUNTIF($C$23:$C$1022,"="&amp;C603)+1)/2</f>
        <v/>
      </c>
    </row>
    <row r="604">
      <c r="B604" s="27">
        <f>'1 Data'!B593</f>
        <v/>
      </c>
      <c r="C604" s="47" t="n">
        <v>0.24827364</v>
      </c>
      <c r="D604" s="27">
        <f>'1 Data'!I593</f>
        <v/>
      </c>
      <c r="E604" s="30">
        <f>COUNTIF($C$23:$C$1022,"&lt;"&amp;C604)+(COUNTIF($C$23:$C$1022,"="&amp;C604)+1)/2</f>
        <v/>
      </c>
    </row>
    <row r="605">
      <c r="B605" s="27">
        <f>'1 Data'!B594</f>
        <v/>
      </c>
      <c r="C605" s="47" t="n">
        <v>0.066193685</v>
      </c>
      <c r="D605" s="27">
        <f>'1 Data'!I594</f>
        <v/>
      </c>
      <c r="E605" s="30">
        <f>COUNTIF($C$23:$C$1022,"&lt;"&amp;C605)+(COUNTIF($C$23:$C$1022,"="&amp;C605)+1)/2</f>
        <v/>
      </c>
    </row>
    <row r="606">
      <c r="B606" s="27">
        <f>'1 Data'!B595</f>
        <v/>
      </c>
      <c r="C606" s="47" t="n">
        <v>0.054048065</v>
      </c>
      <c r="D606" s="27">
        <f>'1 Data'!I595</f>
        <v/>
      </c>
      <c r="E606" s="30">
        <f>COUNTIF($C$23:$C$1022,"&lt;"&amp;C606)+(COUNTIF($C$23:$C$1022,"="&amp;C606)+1)/2</f>
        <v/>
      </c>
    </row>
    <row r="607">
      <c r="B607" s="27">
        <f>'1 Data'!B596</f>
        <v/>
      </c>
      <c r="C607" s="47" t="n">
        <v>0.29404137</v>
      </c>
      <c r="D607" s="27">
        <f>'1 Data'!I596</f>
        <v/>
      </c>
      <c r="E607" s="30">
        <f>COUNTIF($C$23:$C$1022,"&lt;"&amp;C607)+(COUNTIF($C$23:$C$1022,"="&amp;C607)+1)/2</f>
        <v/>
      </c>
    </row>
    <row r="608">
      <c r="B608" s="27">
        <f>'1 Data'!B597</f>
        <v/>
      </c>
      <c r="C608" s="47" t="n">
        <v>0.113511615</v>
      </c>
      <c r="D608" s="27">
        <f>'1 Data'!I597</f>
        <v/>
      </c>
      <c r="E608" s="30">
        <f>COUNTIF($C$23:$C$1022,"&lt;"&amp;C608)+(COUNTIF($C$23:$C$1022,"="&amp;C608)+1)/2</f>
        <v/>
      </c>
    </row>
    <row r="609">
      <c r="B609" s="27">
        <f>'1 Data'!B598</f>
        <v/>
      </c>
      <c r="C609" s="47" t="n">
        <v>0.15981948</v>
      </c>
      <c r="D609" s="27">
        <f>'1 Data'!I598</f>
        <v/>
      </c>
      <c r="E609" s="30">
        <f>COUNTIF($C$23:$C$1022,"&lt;"&amp;C609)+(COUNTIF($C$23:$C$1022,"="&amp;C609)+1)/2</f>
        <v/>
      </c>
    </row>
    <row r="610">
      <c r="B610" s="27">
        <f>'1 Data'!B599</f>
        <v/>
      </c>
      <c r="C610" s="47" t="n">
        <v>0.7251957</v>
      </c>
      <c r="D610" s="27">
        <f>'1 Data'!I599</f>
        <v/>
      </c>
      <c r="E610" s="30">
        <f>COUNTIF($C$23:$C$1022,"&lt;"&amp;C610)+(COUNTIF($C$23:$C$1022,"="&amp;C610)+1)/2</f>
        <v/>
      </c>
    </row>
    <row r="611">
      <c r="B611" s="27">
        <f>'1 Data'!B600</f>
        <v/>
      </c>
      <c r="C611" s="47" t="n">
        <v>0.07468279</v>
      </c>
      <c r="D611" s="27">
        <f>'1 Data'!I600</f>
        <v/>
      </c>
      <c r="E611" s="30">
        <f>COUNTIF($C$23:$C$1022,"&lt;"&amp;C611)+(COUNTIF($C$23:$C$1022,"="&amp;C611)+1)/2</f>
        <v/>
      </c>
    </row>
    <row r="612">
      <c r="B612" s="27">
        <f>'1 Data'!B601</f>
        <v/>
      </c>
      <c r="C612" s="47" t="n">
        <v>0.061379272</v>
      </c>
      <c r="D612" s="27">
        <f>'1 Data'!I601</f>
        <v/>
      </c>
      <c r="E612" s="30">
        <f>COUNTIF($C$23:$C$1022,"&lt;"&amp;C612)+(COUNTIF($C$23:$C$1022,"="&amp;C612)+1)/2</f>
        <v/>
      </c>
    </row>
    <row r="613">
      <c r="B613" s="27">
        <f>'1 Data'!B602</f>
        <v/>
      </c>
      <c r="C613" s="47" t="n">
        <v>0.07854376</v>
      </c>
      <c r="D613" s="27">
        <f>'1 Data'!I602</f>
        <v/>
      </c>
      <c r="E613" s="30">
        <f>COUNTIF($C$23:$C$1022,"&lt;"&amp;C613)+(COUNTIF($C$23:$C$1022,"="&amp;C613)+1)/2</f>
        <v/>
      </c>
    </row>
    <row r="614">
      <c r="B614" s="27">
        <f>'1 Data'!B603</f>
        <v/>
      </c>
      <c r="C614" s="47" t="n">
        <v>0.5873617</v>
      </c>
      <c r="D614" s="27">
        <f>'1 Data'!I603</f>
        <v/>
      </c>
      <c r="E614" s="30">
        <f>COUNTIF($C$23:$C$1022,"&lt;"&amp;C614)+(COUNTIF($C$23:$C$1022,"="&amp;C614)+1)/2</f>
        <v/>
      </c>
    </row>
    <row r="615">
      <c r="B615" s="27">
        <f>'1 Data'!B604</f>
        <v/>
      </c>
      <c r="C615" s="47" t="n">
        <v>0.20452137</v>
      </c>
      <c r="D615" s="27">
        <f>'1 Data'!I604</f>
        <v/>
      </c>
      <c r="E615" s="30">
        <f>COUNTIF($C$23:$C$1022,"&lt;"&amp;C615)+(COUNTIF($C$23:$C$1022,"="&amp;C615)+1)/2</f>
        <v/>
      </c>
    </row>
    <row r="616">
      <c r="B616" s="27">
        <f>'1 Data'!B605</f>
        <v/>
      </c>
      <c r="C616" s="47" t="n">
        <v>0.2052819</v>
      </c>
      <c r="D616" s="27">
        <f>'1 Data'!I605</f>
        <v/>
      </c>
      <c r="E616" s="30">
        <f>COUNTIF($C$23:$C$1022,"&lt;"&amp;C616)+(COUNTIF($C$23:$C$1022,"="&amp;C616)+1)/2</f>
        <v/>
      </c>
    </row>
    <row r="617">
      <c r="B617" s="27">
        <f>'1 Data'!B606</f>
        <v/>
      </c>
      <c r="C617" s="47" t="n">
        <v>0.28430998</v>
      </c>
      <c r="D617" s="27">
        <f>'1 Data'!I606</f>
        <v/>
      </c>
      <c r="E617" s="30">
        <f>COUNTIF($C$23:$C$1022,"&lt;"&amp;C617)+(COUNTIF($C$23:$C$1022,"="&amp;C617)+1)/2</f>
        <v/>
      </c>
    </row>
    <row r="618">
      <c r="B618" s="27">
        <f>'1 Data'!B607</f>
        <v/>
      </c>
      <c r="C618" s="47" t="n">
        <v>0.23712704</v>
      </c>
      <c r="D618" s="27">
        <f>'1 Data'!I607</f>
        <v/>
      </c>
      <c r="E618" s="30">
        <f>COUNTIF($C$23:$C$1022,"&lt;"&amp;C618)+(COUNTIF($C$23:$C$1022,"="&amp;C618)+1)/2</f>
        <v/>
      </c>
    </row>
    <row r="619">
      <c r="B619" s="27">
        <f>'1 Data'!B608</f>
        <v/>
      </c>
      <c r="C619" s="47" t="n">
        <v>0.18778719</v>
      </c>
      <c r="D619" s="27">
        <f>'1 Data'!I608</f>
        <v/>
      </c>
      <c r="E619" s="30">
        <f>COUNTIF($C$23:$C$1022,"&lt;"&amp;C619)+(COUNTIF($C$23:$C$1022,"="&amp;C619)+1)/2</f>
        <v/>
      </c>
    </row>
    <row r="620">
      <c r="B620" s="27">
        <f>'1 Data'!B609</f>
        <v/>
      </c>
      <c r="C620" s="47" t="n">
        <v>0.18362571</v>
      </c>
      <c r="D620" s="27">
        <f>'1 Data'!I609</f>
        <v/>
      </c>
      <c r="E620" s="30">
        <f>COUNTIF($C$23:$C$1022,"&lt;"&amp;C620)+(COUNTIF($C$23:$C$1022,"="&amp;C620)+1)/2</f>
        <v/>
      </c>
    </row>
    <row r="621">
      <c r="B621" s="27">
        <f>'1 Data'!B610</f>
        <v/>
      </c>
      <c r="C621" s="47" t="n">
        <v>0.046365995</v>
      </c>
      <c r="D621" s="27">
        <f>'1 Data'!I610</f>
        <v/>
      </c>
      <c r="E621" s="30">
        <f>COUNTIF($C$23:$C$1022,"&lt;"&amp;C621)+(COUNTIF($C$23:$C$1022,"="&amp;C621)+1)/2</f>
        <v/>
      </c>
    </row>
    <row r="622">
      <c r="B622" s="27">
        <f>'1 Data'!B611</f>
        <v/>
      </c>
      <c r="C622" s="47" t="n">
        <v>0.6861523</v>
      </c>
      <c r="D622" s="27">
        <f>'1 Data'!I611</f>
        <v/>
      </c>
      <c r="E622" s="30">
        <f>COUNTIF($C$23:$C$1022,"&lt;"&amp;C622)+(COUNTIF($C$23:$C$1022,"="&amp;C622)+1)/2</f>
        <v/>
      </c>
    </row>
    <row r="623">
      <c r="B623" s="27">
        <f>'1 Data'!B612</f>
        <v/>
      </c>
      <c r="C623" s="47" t="n">
        <v>0.08045582499999999</v>
      </c>
      <c r="D623" s="27">
        <f>'1 Data'!I612</f>
        <v/>
      </c>
      <c r="E623" s="30">
        <f>COUNTIF($C$23:$C$1022,"&lt;"&amp;C623)+(COUNTIF($C$23:$C$1022,"="&amp;C623)+1)/2</f>
        <v/>
      </c>
    </row>
    <row r="624">
      <c r="B624" s="27">
        <f>'1 Data'!B613</f>
        <v/>
      </c>
      <c r="C624" s="47" t="n">
        <v>0.1774847</v>
      </c>
      <c r="D624" s="27">
        <f>'1 Data'!I613</f>
        <v/>
      </c>
      <c r="E624" s="30">
        <f>COUNTIF($C$23:$C$1022,"&lt;"&amp;C624)+(COUNTIF($C$23:$C$1022,"="&amp;C624)+1)/2</f>
        <v/>
      </c>
    </row>
    <row r="625">
      <c r="B625" s="27">
        <f>'1 Data'!B614</f>
        <v/>
      </c>
      <c r="C625" s="47" t="n">
        <v>0.21524605</v>
      </c>
      <c r="D625" s="27">
        <f>'1 Data'!I614</f>
        <v/>
      </c>
      <c r="E625" s="30">
        <f>COUNTIF($C$23:$C$1022,"&lt;"&amp;C625)+(COUNTIF($C$23:$C$1022,"="&amp;C625)+1)/2</f>
        <v/>
      </c>
    </row>
    <row r="626">
      <c r="B626" s="27">
        <f>'1 Data'!B615</f>
        <v/>
      </c>
      <c r="C626" s="47" t="n">
        <v>0.5299691600000001</v>
      </c>
      <c r="D626" s="27">
        <f>'1 Data'!I615</f>
        <v/>
      </c>
      <c r="E626" s="30">
        <f>COUNTIF($C$23:$C$1022,"&lt;"&amp;C626)+(COUNTIF($C$23:$C$1022,"="&amp;C626)+1)/2</f>
        <v/>
      </c>
    </row>
    <row r="627">
      <c r="B627" s="27">
        <f>'1 Data'!B616</f>
        <v/>
      </c>
      <c r="C627" s="47" t="n">
        <v>0.2452818</v>
      </c>
      <c r="D627" s="27">
        <f>'1 Data'!I616</f>
        <v/>
      </c>
      <c r="E627" s="30">
        <f>COUNTIF($C$23:$C$1022,"&lt;"&amp;C627)+(COUNTIF($C$23:$C$1022,"="&amp;C627)+1)/2</f>
        <v/>
      </c>
    </row>
    <row r="628">
      <c r="B628" s="27">
        <f>'1 Data'!B617</f>
        <v/>
      </c>
      <c r="C628" s="47" t="n">
        <v>0.04390816</v>
      </c>
      <c r="D628" s="27">
        <f>'1 Data'!I617</f>
        <v/>
      </c>
      <c r="E628" s="30">
        <f>COUNTIF($C$23:$C$1022,"&lt;"&amp;C628)+(COUNTIF($C$23:$C$1022,"="&amp;C628)+1)/2</f>
        <v/>
      </c>
    </row>
    <row r="629">
      <c r="B629" s="27">
        <f>'1 Data'!B618</f>
        <v/>
      </c>
      <c r="C629" s="47" t="n">
        <v>0.0473685</v>
      </c>
      <c r="D629" s="27">
        <f>'1 Data'!I618</f>
        <v/>
      </c>
      <c r="E629" s="30">
        <f>COUNTIF($C$23:$C$1022,"&lt;"&amp;C629)+(COUNTIF($C$23:$C$1022,"="&amp;C629)+1)/2</f>
        <v/>
      </c>
    </row>
    <row r="630">
      <c r="B630" s="27">
        <f>'1 Data'!B619</f>
        <v/>
      </c>
      <c r="C630" s="47" t="n">
        <v>0.13511612</v>
      </c>
      <c r="D630" s="27">
        <f>'1 Data'!I619</f>
        <v/>
      </c>
      <c r="E630" s="30">
        <f>COUNTIF($C$23:$C$1022,"&lt;"&amp;C630)+(COUNTIF($C$23:$C$1022,"="&amp;C630)+1)/2</f>
        <v/>
      </c>
    </row>
    <row r="631">
      <c r="B631" s="27">
        <f>'1 Data'!B620</f>
        <v/>
      </c>
      <c r="C631" s="47" t="n">
        <v>0.052859828</v>
      </c>
      <c r="D631" s="27">
        <f>'1 Data'!I620</f>
        <v/>
      </c>
      <c r="E631" s="30">
        <f>COUNTIF($C$23:$C$1022,"&lt;"&amp;C631)+(COUNTIF($C$23:$C$1022,"="&amp;C631)+1)/2</f>
        <v/>
      </c>
    </row>
    <row r="632">
      <c r="B632" s="27">
        <f>'1 Data'!B621</f>
        <v/>
      </c>
      <c r="C632" s="47" t="n">
        <v>0.19818048</v>
      </c>
      <c r="D632" s="27">
        <f>'1 Data'!I621</f>
        <v/>
      </c>
      <c r="E632" s="30">
        <f>COUNTIF($C$23:$C$1022,"&lt;"&amp;C632)+(COUNTIF($C$23:$C$1022,"="&amp;C632)+1)/2</f>
        <v/>
      </c>
    </row>
    <row r="633">
      <c r="B633" s="27">
        <f>'1 Data'!B622</f>
        <v/>
      </c>
      <c r="C633" s="47" t="n">
        <v>0.18367884</v>
      </c>
      <c r="D633" s="27">
        <f>'1 Data'!I622</f>
        <v/>
      </c>
      <c r="E633" s="30">
        <f>COUNTIF($C$23:$C$1022,"&lt;"&amp;C633)+(COUNTIF($C$23:$C$1022,"="&amp;C633)+1)/2</f>
        <v/>
      </c>
    </row>
    <row r="634">
      <c r="B634" s="27">
        <f>'1 Data'!B623</f>
        <v/>
      </c>
      <c r="C634" s="47" t="n">
        <v>0.13932467</v>
      </c>
      <c r="D634" s="27">
        <f>'1 Data'!I623</f>
        <v/>
      </c>
      <c r="E634" s="30">
        <f>COUNTIF($C$23:$C$1022,"&lt;"&amp;C634)+(COUNTIF($C$23:$C$1022,"="&amp;C634)+1)/2</f>
        <v/>
      </c>
    </row>
    <row r="635">
      <c r="B635" s="27">
        <f>'1 Data'!B624</f>
        <v/>
      </c>
      <c r="C635" s="47" t="n">
        <v>0.23248805</v>
      </c>
      <c r="D635" s="27">
        <f>'1 Data'!I624</f>
        <v/>
      </c>
      <c r="E635" s="30">
        <f>COUNTIF($C$23:$C$1022,"&lt;"&amp;C635)+(COUNTIF($C$23:$C$1022,"="&amp;C635)+1)/2</f>
        <v/>
      </c>
    </row>
    <row r="636">
      <c r="B636" s="27">
        <f>'1 Data'!B625</f>
        <v/>
      </c>
      <c r="C636" s="47" t="n">
        <v>0.38402653</v>
      </c>
      <c r="D636" s="27">
        <f>'1 Data'!I625</f>
        <v/>
      </c>
      <c r="E636" s="30">
        <f>COUNTIF($C$23:$C$1022,"&lt;"&amp;C636)+(COUNTIF($C$23:$C$1022,"="&amp;C636)+1)/2</f>
        <v/>
      </c>
    </row>
    <row r="637">
      <c r="B637" s="27">
        <f>'1 Data'!B626</f>
        <v/>
      </c>
      <c r="C637" s="47" t="n">
        <v>0.13241512</v>
      </c>
      <c r="D637" s="27">
        <f>'1 Data'!I626</f>
        <v/>
      </c>
      <c r="E637" s="30">
        <f>COUNTIF($C$23:$C$1022,"&lt;"&amp;C637)+(COUNTIF($C$23:$C$1022,"="&amp;C637)+1)/2</f>
        <v/>
      </c>
    </row>
    <row r="638">
      <c r="B638" s="27">
        <f>'1 Data'!B627</f>
        <v/>
      </c>
      <c r="C638" s="47" t="n">
        <v>0.1630924</v>
      </c>
      <c r="D638" s="27">
        <f>'1 Data'!I627</f>
        <v/>
      </c>
      <c r="E638" s="30">
        <f>COUNTIF($C$23:$C$1022,"&lt;"&amp;C638)+(COUNTIF($C$23:$C$1022,"="&amp;C638)+1)/2</f>
        <v/>
      </c>
    </row>
    <row r="639">
      <c r="B639" s="27">
        <f>'1 Data'!B628</f>
        <v/>
      </c>
      <c r="C639" s="47" t="n">
        <v>0.10662703</v>
      </c>
      <c r="D639" s="27">
        <f>'1 Data'!I628</f>
        <v/>
      </c>
      <c r="E639" s="30">
        <f>COUNTIF($C$23:$C$1022,"&lt;"&amp;C639)+(COUNTIF($C$23:$C$1022,"="&amp;C639)+1)/2</f>
        <v/>
      </c>
    </row>
    <row r="640">
      <c r="B640" s="27">
        <f>'1 Data'!B629</f>
        <v/>
      </c>
      <c r="C640" s="47" t="n">
        <v>0.103552245</v>
      </c>
      <c r="D640" s="27">
        <f>'1 Data'!I629</f>
        <v/>
      </c>
      <c r="E640" s="30">
        <f>COUNTIF($C$23:$C$1022,"&lt;"&amp;C640)+(COUNTIF($C$23:$C$1022,"="&amp;C640)+1)/2</f>
        <v/>
      </c>
    </row>
    <row r="641">
      <c r="B641" s="27">
        <f>'1 Data'!B630</f>
        <v/>
      </c>
      <c r="C641" s="47" t="n">
        <v>0.1100457</v>
      </c>
      <c r="D641" s="27">
        <f>'1 Data'!I630</f>
        <v/>
      </c>
      <c r="E641" s="30">
        <f>COUNTIF($C$23:$C$1022,"&lt;"&amp;C641)+(COUNTIF($C$23:$C$1022,"="&amp;C641)+1)/2</f>
        <v/>
      </c>
    </row>
    <row r="642">
      <c r="B642" s="27">
        <f>'1 Data'!B631</f>
        <v/>
      </c>
      <c r="C642" s="47" t="n">
        <v>0.07532039</v>
      </c>
      <c r="D642" s="27">
        <f>'1 Data'!I631</f>
        <v/>
      </c>
      <c r="E642" s="30">
        <f>COUNTIF($C$23:$C$1022,"&lt;"&amp;C642)+(COUNTIF($C$23:$C$1022,"="&amp;C642)+1)/2</f>
        <v/>
      </c>
    </row>
    <row r="643">
      <c r="B643" s="27">
        <f>'1 Data'!B632</f>
        <v/>
      </c>
      <c r="C643" s="47" t="n">
        <v>0.24676691</v>
      </c>
      <c r="D643" s="27">
        <f>'1 Data'!I632</f>
        <v/>
      </c>
      <c r="E643" s="30">
        <f>COUNTIF($C$23:$C$1022,"&lt;"&amp;C643)+(COUNTIF($C$23:$C$1022,"="&amp;C643)+1)/2</f>
        <v/>
      </c>
    </row>
    <row r="644">
      <c r="B644" s="27">
        <f>'1 Data'!B633</f>
        <v/>
      </c>
      <c r="C644" s="47" t="n">
        <v>0.7249783</v>
      </c>
      <c r="D644" s="27">
        <f>'1 Data'!I633</f>
        <v/>
      </c>
      <c r="E644" s="30">
        <f>COUNTIF($C$23:$C$1022,"&lt;"&amp;C644)+(COUNTIF($C$23:$C$1022,"="&amp;C644)+1)/2</f>
        <v/>
      </c>
    </row>
    <row r="645">
      <c r="B645" s="27">
        <f>'1 Data'!B634</f>
        <v/>
      </c>
      <c r="C645" s="47" t="n">
        <v>0.032563437</v>
      </c>
      <c r="D645" s="27">
        <f>'1 Data'!I634</f>
        <v/>
      </c>
      <c r="E645" s="30">
        <f>COUNTIF($C$23:$C$1022,"&lt;"&amp;C645)+(COUNTIF($C$23:$C$1022,"="&amp;C645)+1)/2</f>
        <v/>
      </c>
    </row>
    <row r="646">
      <c r="B646" s="27">
        <f>'1 Data'!B635</f>
        <v/>
      </c>
      <c r="C646" s="47" t="n">
        <v>0.11128037</v>
      </c>
      <c r="D646" s="27">
        <f>'1 Data'!I635</f>
        <v/>
      </c>
      <c r="E646" s="30">
        <f>COUNTIF($C$23:$C$1022,"&lt;"&amp;C646)+(COUNTIF($C$23:$C$1022,"="&amp;C646)+1)/2</f>
        <v/>
      </c>
    </row>
    <row r="647">
      <c r="B647" s="27">
        <f>'1 Data'!B636</f>
        <v/>
      </c>
      <c r="C647" s="47" t="n">
        <v>0.18233933</v>
      </c>
      <c r="D647" s="27">
        <f>'1 Data'!I636</f>
        <v/>
      </c>
      <c r="E647" s="30">
        <f>COUNTIF($C$23:$C$1022,"&lt;"&amp;C647)+(COUNTIF($C$23:$C$1022,"="&amp;C647)+1)/2</f>
        <v/>
      </c>
    </row>
    <row r="648">
      <c r="B648" s="27">
        <f>'1 Data'!B637</f>
        <v/>
      </c>
      <c r="C648" s="47" t="n">
        <v>0.06475585</v>
      </c>
      <c r="D648" s="27">
        <f>'1 Data'!I637</f>
        <v/>
      </c>
      <c r="E648" s="30">
        <f>COUNTIF($C$23:$C$1022,"&lt;"&amp;C648)+(COUNTIF($C$23:$C$1022,"="&amp;C648)+1)/2</f>
        <v/>
      </c>
    </row>
    <row r="649">
      <c r="B649" s="27">
        <f>'1 Data'!B638</f>
        <v/>
      </c>
      <c r="C649" s="47" t="n">
        <v>0.15178108</v>
      </c>
      <c r="D649" s="27">
        <f>'1 Data'!I638</f>
        <v/>
      </c>
      <c r="E649" s="30">
        <f>COUNTIF($C$23:$C$1022,"&lt;"&amp;C649)+(COUNTIF($C$23:$C$1022,"="&amp;C649)+1)/2</f>
        <v/>
      </c>
    </row>
    <row r="650">
      <c r="B650" s="27">
        <f>'1 Data'!B639</f>
        <v/>
      </c>
      <c r="C650" s="47" t="n">
        <v>0.065350346</v>
      </c>
      <c r="D650" s="27">
        <f>'1 Data'!I639</f>
        <v/>
      </c>
      <c r="E650" s="30">
        <f>COUNTIF($C$23:$C$1022,"&lt;"&amp;C650)+(COUNTIF($C$23:$C$1022,"="&amp;C650)+1)/2</f>
        <v/>
      </c>
    </row>
    <row r="651">
      <c r="B651" s="27">
        <f>'1 Data'!B640</f>
        <v/>
      </c>
      <c r="C651" s="47" t="n">
        <v>0.16256468</v>
      </c>
      <c r="D651" s="27">
        <f>'1 Data'!I640</f>
        <v/>
      </c>
      <c r="E651" s="30">
        <f>COUNTIF($C$23:$C$1022,"&lt;"&amp;C651)+(COUNTIF($C$23:$C$1022,"="&amp;C651)+1)/2</f>
        <v/>
      </c>
    </row>
    <row r="652">
      <c r="B652" s="27">
        <f>'1 Data'!B641</f>
        <v/>
      </c>
      <c r="C652" s="47" t="n">
        <v>0.0977229</v>
      </c>
      <c r="D652" s="27">
        <f>'1 Data'!I641</f>
        <v/>
      </c>
      <c r="E652" s="30">
        <f>COUNTIF($C$23:$C$1022,"&lt;"&amp;C652)+(COUNTIF($C$23:$C$1022,"="&amp;C652)+1)/2</f>
        <v/>
      </c>
    </row>
    <row r="653">
      <c r="B653" s="27">
        <f>'1 Data'!B642</f>
        <v/>
      </c>
      <c r="C653" s="47" t="n">
        <v>0.19531506</v>
      </c>
      <c r="D653" s="27">
        <f>'1 Data'!I642</f>
        <v/>
      </c>
      <c r="E653" s="30">
        <f>COUNTIF($C$23:$C$1022,"&lt;"&amp;C653)+(COUNTIF($C$23:$C$1022,"="&amp;C653)+1)/2</f>
        <v/>
      </c>
    </row>
    <row r="654">
      <c r="B654" s="27">
        <f>'1 Data'!B643</f>
        <v/>
      </c>
      <c r="C654" s="47" t="n">
        <v>0.15624635</v>
      </c>
      <c r="D654" s="27">
        <f>'1 Data'!I643</f>
        <v/>
      </c>
      <c r="E654" s="30">
        <f>COUNTIF($C$23:$C$1022,"&lt;"&amp;C654)+(COUNTIF($C$23:$C$1022,"="&amp;C654)+1)/2</f>
        <v/>
      </c>
    </row>
    <row r="655">
      <c r="B655" s="27">
        <f>'1 Data'!B644</f>
        <v/>
      </c>
      <c r="C655" s="47" t="n">
        <v>0.122515485</v>
      </c>
      <c r="D655" s="27">
        <f>'1 Data'!I644</f>
        <v/>
      </c>
      <c r="E655" s="30">
        <f>COUNTIF($C$23:$C$1022,"&lt;"&amp;C655)+(COUNTIF($C$23:$C$1022,"="&amp;C655)+1)/2</f>
        <v/>
      </c>
    </row>
    <row r="656">
      <c r="B656" s="27">
        <f>'1 Data'!B645</f>
        <v/>
      </c>
      <c r="C656" s="47" t="n">
        <v>0.08963483999999999</v>
      </c>
      <c r="D656" s="27">
        <f>'1 Data'!I645</f>
        <v/>
      </c>
      <c r="E656" s="30">
        <f>COUNTIF($C$23:$C$1022,"&lt;"&amp;C656)+(COUNTIF($C$23:$C$1022,"="&amp;C656)+1)/2</f>
        <v/>
      </c>
    </row>
    <row r="657">
      <c r="B657" s="27">
        <f>'1 Data'!B646</f>
        <v/>
      </c>
      <c r="C657" s="47" t="n">
        <v>0.041861847</v>
      </c>
      <c r="D657" s="27">
        <f>'1 Data'!I646</f>
        <v/>
      </c>
      <c r="E657" s="30">
        <f>COUNTIF($C$23:$C$1022,"&lt;"&amp;C657)+(COUNTIF($C$23:$C$1022,"="&amp;C657)+1)/2</f>
        <v/>
      </c>
    </row>
    <row r="658">
      <c r="B658" s="27">
        <f>'1 Data'!B647</f>
        <v/>
      </c>
      <c r="C658" s="47" t="n">
        <v>0.049206786</v>
      </c>
      <c r="D658" s="27">
        <f>'1 Data'!I647</f>
        <v/>
      </c>
      <c r="E658" s="30">
        <f>COUNTIF($C$23:$C$1022,"&lt;"&amp;C658)+(COUNTIF($C$23:$C$1022,"="&amp;C658)+1)/2</f>
        <v/>
      </c>
    </row>
    <row r="659">
      <c r="B659" s="27">
        <f>'1 Data'!B648</f>
        <v/>
      </c>
      <c r="C659" s="47" t="n">
        <v>0.12182284</v>
      </c>
      <c r="D659" s="27">
        <f>'1 Data'!I648</f>
        <v/>
      </c>
      <c r="E659" s="30">
        <f>COUNTIF($C$23:$C$1022,"&lt;"&amp;C659)+(COUNTIF($C$23:$C$1022,"="&amp;C659)+1)/2</f>
        <v/>
      </c>
    </row>
    <row r="660">
      <c r="B660" s="27">
        <f>'1 Data'!B649</f>
        <v/>
      </c>
      <c r="C660" s="47" t="n">
        <v>0.07798165</v>
      </c>
      <c r="D660" s="27">
        <f>'1 Data'!I649</f>
        <v/>
      </c>
      <c r="E660" s="30">
        <f>COUNTIF($C$23:$C$1022,"&lt;"&amp;C660)+(COUNTIF($C$23:$C$1022,"="&amp;C660)+1)/2</f>
        <v/>
      </c>
    </row>
    <row r="661">
      <c r="B661" s="27">
        <f>'1 Data'!B650</f>
        <v/>
      </c>
      <c r="C661" s="47" t="n">
        <v>0.074920535</v>
      </c>
      <c r="D661" s="27">
        <f>'1 Data'!I650</f>
        <v/>
      </c>
      <c r="E661" s="30">
        <f>COUNTIF($C$23:$C$1022,"&lt;"&amp;C661)+(COUNTIF($C$23:$C$1022,"="&amp;C661)+1)/2</f>
        <v/>
      </c>
    </row>
    <row r="662">
      <c r="B662" s="27">
        <f>'1 Data'!B651</f>
        <v/>
      </c>
      <c r="C662" s="47" t="n">
        <v>0.19556648</v>
      </c>
      <c r="D662" s="27">
        <f>'1 Data'!I651</f>
        <v/>
      </c>
      <c r="E662" s="30">
        <f>COUNTIF($C$23:$C$1022,"&lt;"&amp;C662)+(COUNTIF($C$23:$C$1022,"="&amp;C662)+1)/2</f>
        <v/>
      </c>
    </row>
    <row r="663">
      <c r="B663" s="27">
        <f>'1 Data'!B652</f>
        <v/>
      </c>
      <c r="C663" s="47" t="n">
        <v>0.10937204</v>
      </c>
      <c r="D663" s="27">
        <f>'1 Data'!I652</f>
        <v/>
      </c>
      <c r="E663" s="30">
        <f>COUNTIF($C$23:$C$1022,"&lt;"&amp;C663)+(COUNTIF($C$23:$C$1022,"="&amp;C663)+1)/2</f>
        <v/>
      </c>
    </row>
    <row r="664">
      <c r="B664" s="27">
        <f>'1 Data'!B653</f>
        <v/>
      </c>
      <c r="C664" s="47" t="n">
        <v>0.14007556</v>
      </c>
      <c r="D664" s="27">
        <f>'1 Data'!I653</f>
        <v/>
      </c>
      <c r="E664" s="30">
        <f>COUNTIF($C$23:$C$1022,"&lt;"&amp;C664)+(COUNTIF($C$23:$C$1022,"="&amp;C664)+1)/2</f>
        <v/>
      </c>
    </row>
    <row r="665">
      <c r="B665" s="27">
        <f>'1 Data'!B654</f>
        <v/>
      </c>
      <c r="C665" s="47" t="n">
        <v>0.06786743000000001</v>
      </c>
      <c r="D665" s="27">
        <f>'1 Data'!I654</f>
        <v/>
      </c>
      <c r="E665" s="30">
        <f>COUNTIF($C$23:$C$1022,"&lt;"&amp;C665)+(COUNTIF($C$23:$C$1022,"="&amp;C665)+1)/2</f>
        <v/>
      </c>
    </row>
    <row r="666">
      <c r="B666" s="27">
        <f>'1 Data'!B655</f>
        <v/>
      </c>
      <c r="C666" s="47" t="n">
        <v>0.08046784999999999</v>
      </c>
      <c r="D666" s="27">
        <f>'1 Data'!I655</f>
        <v/>
      </c>
      <c r="E666" s="30">
        <f>COUNTIF($C$23:$C$1022,"&lt;"&amp;C666)+(COUNTIF($C$23:$C$1022,"="&amp;C666)+1)/2</f>
        <v/>
      </c>
    </row>
    <row r="667">
      <c r="B667" s="27">
        <f>'1 Data'!B656</f>
        <v/>
      </c>
      <c r="C667" s="47" t="n">
        <v>0.25081715</v>
      </c>
      <c r="D667" s="27">
        <f>'1 Data'!I656</f>
        <v/>
      </c>
      <c r="E667" s="30">
        <f>COUNTIF($C$23:$C$1022,"&lt;"&amp;C667)+(COUNTIF($C$23:$C$1022,"="&amp;C667)+1)/2</f>
        <v/>
      </c>
    </row>
    <row r="668">
      <c r="B668" s="27">
        <f>'1 Data'!B657</f>
        <v/>
      </c>
      <c r="C668" s="47" t="n">
        <v>0.07929091000000001</v>
      </c>
      <c r="D668" s="27">
        <f>'1 Data'!I657</f>
        <v/>
      </c>
      <c r="E668" s="30">
        <f>COUNTIF($C$23:$C$1022,"&lt;"&amp;C668)+(COUNTIF($C$23:$C$1022,"="&amp;C668)+1)/2</f>
        <v/>
      </c>
    </row>
    <row r="669">
      <c r="B669" s="27">
        <f>'1 Data'!B658</f>
        <v/>
      </c>
      <c r="C669" s="47" t="n">
        <v>0.11877531</v>
      </c>
      <c r="D669" s="27">
        <f>'1 Data'!I658</f>
        <v/>
      </c>
      <c r="E669" s="30">
        <f>COUNTIF($C$23:$C$1022,"&lt;"&amp;C669)+(COUNTIF($C$23:$C$1022,"="&amp;C669)+1)/2</f>
        <v/>
      </c>
    </row>
    <row r="670">
      <c r="B670" s="27">
        <f>'1 Data'!B659</f>
        <v/>
      </c>
      <c r="C670" s="47" t="n">
        <v>0.7934227</v>
      </c>
      <c r="D670" s="27">
        <f>'1 Data'!I659</f>
        <v/>
      </c>
      <c r="E670" s="30">
        <f>COUNTIF($C$23:$C$1022,"&lt;"&amp;C670)+(COUNTIF($C$23:$C$1022,"="&amp;C670)+1)/2</f>
        <v/>
      </c>
    </row>
    <row r="671">
      <c r="B671" s="27">
        <f>'1 Data'!B660</f>
        <v/>
      </c>
      <c r="C671" s="47" t="n">
        <v>0.13439217</v>
      </c>
      <c r="D671" s="27">
        <f>'1 Data'!I660</f>
        <v/>
      </c>
      <c r="E671" s="30">
        <f>COUNTIF($C$23:$C$1022,"&lt;"&amp;C671)+(COUNTIF($C$23:$C$1022,"="&amp;C671)+1)/2</f>
        <v/>
      </c>
    </row>
    <row r="672">
      <c r="B672" s="27">
        <f>'1 Data'!B661</f>
        <v/>
      </c>
      <c r="C672" s="47" t="n">
        <v>0.082416825</v>
      </c>
      <c r="D672" s="27">
        <f>'1 Data'!I661</f>
        <v/>
      </c>
      <c r="E672" s="30">
        <f>COUNTIF($C$23:$C$1022,"&lt;"&amp;C672)+(COUNTIF($C$23:$C$1022,"="&amp;C672)+1)/2</f>
        <v/>
      </c>
    </row>
    <row r="673">
      <c r="B673" s="27">
        <f>'1 Data'!B662</f>
        <v/>
      </c>
      <c r="C673" s="47" t="n">
        <v>0.1083545</v>
      </c>
      <c r="D673" s="27">
        <f>'1 Data'!I662</f>
        <v/>
      </c>
      <c r="E673" s="30">
        <f>COUNTIF($C$23:$C$1022,"&lt;"&amp;C673)+(COUNTIF($C$23:$C$1022,"="&amp;C673)+1)/2</f>
        <v/>
      </c>
    </row>
    <row r="674">
      <c r="B674" s="27">
        <f>'1 Data'!B663</f>
        <v/>
      </c>
      <c r="C674" s="47" t="n">
        <v>0.06881724</v>
      </c>
      <c r="D674" s="27">
        <f>'1 Data'!I663</f>
        <v/>
      </c>
      <c r="E674" s="30">
        <f>COUNTIF($C$23:$C$1022,"&lt;"&amp;C674)+(COUNTIF($C$23:$C$1022,"="&amp;C674)+1)/2</f>
        <v/>
      </c>
    </row>
    <row r="675">
      <c r="B675" s="27">
        <f>'1 Data'!B664</f>
        <v/>
      </c>
      <c r="C675" s="47" t="n">
        <v>0.19495036</v>
      </c>
      <c r="D675" s="27">
        <f>'1 Data'!I664</f>
        <v/>
      </c>
      <c r="E675" s="30">
        <f>COUNTIF($C$23:$C$1022,"&lt;"&amp;C675)+(COUNTIF($C$23:$C$1022,"="&amp;C675)+1)/2</f>
        <v/>
      </c>
    </row>
    <row r="676">
      <c r="B676" s="27">
        <f>'1 Data'!B665</f>
        <v/>
      </c>
      <c r="C676" s="47" t="n">
        <v>0.15664485</v>
      </c>
      <c r="D676" s="27">
        <f>'1 Data'!I665</f>
        <v/>
      </c>
      <c r="E676" s="30">
        <f>COUNTIF($C$23:$C$1022,"&lt;"&amp;C676)+(COUNTIF($C$23:$C$1022,"="&amp;C676)+1)/2</f>
        <v/>
      </c>
    </row>
    <row r="677">
      <c r="B677" s="27">
        <f>'1 Data'!B666</f>
        <v/>
      </c>
      <c r="C677" s="47" t="n">
        <v>0.21610983</v>
      </c>
      <c r="D677" s="27">
        <f>'1 Data'!I666</f>
        <v/>
      </c>
      <c r="E677" s="30">
        <f>COUNTIF($C$23:$C$1022,"&lt;"&amp;C677)+(COUNTIF($C$23:$C$1022,"="&amp;C677)+1)/2</f>
        <v/>
      </c>
    </row>
    <row r="678">
      <c r="B678" s="27">
        <f>'1 Data'!B667</f>
        <v/>
      </c>
      <c r="C678" s="47" t="n">
        <v>0.051257297</v>
      </c>
      <c r="D678" s="27">
        <f>'1 Data'!I667</f>
        <v/>
      </c>
      <c r="E678" s="30">
        <f>COUNTIF($C$23:$C$1022,"&lt;"&amp;C678)+(COUNTIF($C$23:$C$1022,"="&amp;C678)+1)/2</f>
        <v/>
      </c>
    </row>
    <row r="679">
      <c r="B679" s="27">
        <f>'1 Data'!B668</f>
        <v/>
      </c>
      <c r="C679" s="47" t="n">
        <v>0.1535629</v>
      </c>
      <c r="D679" s="27">
        <f>'1 Data'!I668</f>
        <v/>
      </c>
      <c r="E679" s="30">
        <f>COUNTIF($C$23:$C$1022,"&lt;"&amp;C679)+(COUNTIF($C$23:$C$1022,"="&amp;C679)+1)/2</f>
        <v/>
      </c>
    </row>
    <row r="680">
      <c r="B680" s="27">
        <f>'1 Data'!B669</f>
        <v/>
      </c>
      <c r="C680" s="47" t="n">
        <v>0.13685802</v>
      </c>
      <c r="D680" s="27">
        <f>'1 Data'!I669</f>
        <v/>
      </c>
      <c r="E680" s="30">
        <f>COUNTIF($C$23:$C$1022,"&lt;"&amp;C680)+(COUNTIF($C$23:$C$1022,"="&amp;C680)+1)/2</f>
        <v/>
      </c>
    </row>
    <row r="681">
      <c r="B681" s="27">
        <f>'1 Data'!B670</f>
        <v/>
      </c>
      <c r="C681" s="47" t="n">
        <v>0.17944378</v>
      </c>
      <c r="D681" s="27">
        <f>'1 Data'!I670</f>
        <v/>
      </c>
      <c r="E681" s="30">
        <f>COUNTIF($C$23:$C$1022,"&lt;"&amp;C681)+(COUNTIF($C$23:$C$1022,"="&amp;C681)+1)/2</f>
        <v/>
      </c>
    </row>
    <row r="682">
      <c r="B682" s="27">
        <f>'1 Data'!B671</f>
        <v/>
      </c>
      <c r="C682" s="47" t="n">
        <v>0.57381004</v>
      </c>
      <c r="D682" s="27">
        <f>'1 Data'!I671</f>
        <v/>
      </c>
      <c r="E682" s="30">
        <f>COUNTIF($C$23:$C$1022,"&lt;"&amp;C682)+(COUNTIF($C$23:$C$1022,"="&amp;C682)+1)/2</f>
        <v/>
      </c>
    </row>
    <row r="683">
      <c r="B683" s="27">
        <f>'1 Data'!B672</f>
        <v/>
      </c>
      <c r="C683" s="47" t="n">
        <v>0.06830855</v>
      </c>
      <c r="D683" s="27">
        <f>'1 Data'!I672</f>
        <v/>
      </c>
      <c r="E683" s="30">
        <f>COUNTIF($C$23:$C$1022,"&lt;"&amp;C683)+(COUNTIF($C$23:$C$1022,"="&amp;C683)+1)/2</f>
        <v/>
      </c>
    </row>
    <row r="684">
      <c r="B684" s="27">
        <f>'1 Data'!B673</f>
        <v/>
      </c>
      <c r="C684" s="47" t="n">
        <v>0.12679069</v>
      </c>
      <c r="D684" s="27">
        <f>'1 Data'!I673</f>
        <v/>
      </c>
      <c r="E684" s="30">
        <f>COUNTIF($C$23:$C$1022,"&lt;"&amp;C684)+(COUNTIF($C$23:$C$1022,"="&amp;C684)+1)/2</f>
        <v/>
      </c>
    </row>
    <row r="685">
      <c r="B685" s="27">
        <f>'1 Data'!B674</f>
        <v/>
      </c>
      <c r="C685" s="47" t="n">
        <v>0.13247424</v>
      </c>
      <c r="D685" s="27">
        <f>'1 Data'!I674</f>
        <v/>
      </c>
      <c r="E685" s="30">
        <f>COUNTIF($C$23:$C$1022,"&lt;"&amp;C685)+(COUNTIF($C$23:$C$1022,"="&amp;C685)+1)/2</f>
        <v/>
      </c>
    </row>
    <row r="686">
      <c r="B686" s="27">
        <f>'1 Data'!B675</f>
        <v/>
      </c>
      <c r="C686" s="47" t="n">
        <v>0.11351902</v>
      </c>
      <c r="D686" s="27">
        <f>'1 Data'!I675</f>
        <v/>
      </c>
      <c r="E686" s="30">
        <f>COUNTIF($C$23:$C$1022,"&lt;"&amp;C686)+(COUNTIF($C$23:$C$1022,"="&amp;C686)+1)/2</f>
        <v/>
      </c>
    </row>
    <row r="687">
      <c r="B687" s="27">
        <f>'1 Data'!B676</f>
        <v/>
      </c>
      <c r="C687" s="47" t="n">
        <v>0.74064857</v>
      </c>
      <c r="D687" s="27">
        <f>'1 Data'!I676</f>
        <v/>
      </c>
      <c r="E687" s="30">
        <f>COUNTIF($C$23:$C$1022,"&lt;"&amp;C687)+(COUNTIF($C$23:$C$1022,"="&amp;C687)+1)/2</f>
        <v/>
      </c>
    </row>
    <row r="688">
      <c r="B688" s="27">
        <f>'1 Data'!B677</f>
        <v/>
      </c>
      <c r="C688" s="47" t="n">
        <v>0.16559184</v>
      </c>
      <c r="D688" s="27">
        <f>'1 Data'!I677</f>
        <v/>
      </c>
      <c r="E688" s="30">
        <f>COUNTIF($C$23:$C$1022,"&lt;"&amp;C688)+(COUNTIF($C$23:$C$1022,"="&amp;C688)+1)/2</f>
        <v/>
      </c>
    </row>
    <row r="689">
      <c r="B689" s="27">
        <f>'1 Data'!B678</f>
        <v/>
      </c>
      <c r="C689" s="47" t="n">
        <v>0.09454202</v>
      </c>
      <c r="D689" s="27">
        <f>'1 Data'!I678</f>
        <v/>
      </c>
      <c r="E689" s="30">
        <f>COUNTIF($C$23:$C$1022,"&lt;"&amp;C689)+(COUNTIF($C$23:$C$1022,"="&amp;C689)+1)/2</f>
        <v/>
      </c>
    </row>
    <row r="690">
      <c r="B690" s="27">
        <f>'1 Data'!B679</f>
        <v/>
      </c>
      <c r="C690" s="47" t="n">
        <v>0.12231221</v>
      </c>
      <c r="D690" s="27">
        <f>'1 Data'!I679</f>
        <v/>
      </c>
      <c r="E690" s="30">
        <f>COUNTIF($C$23:$C$1022,"&lt;"&amp;C690)+(COUNTIF($C$23:$C$1022,"="&amp;C690)+1)/2</f>
        <v/>
      </c>
    </row>
    <row r="691">
      <c r="B691" s="27">
        <f>'1 Data'!B680</f>
        <v/>
      </c>
      <c r="C691" s="47" t="n">
        <v>0.1122232</v>
      </c>
      <c r="D691" s="27">
        <f>'1 Data'!I680</f>
        <v/>
      </c>
      <c r="E691" s="30">
        <f>COUNTIF($C$23:$C$1022,"&lt;"&amp;C691)+(COUNTIF($C$23:$C$1022,"="&amp;C691)+1)/2</f>
        <v/>
      </c>
    </row>
    <row r="692">
      <c r="B692" s="27">
        <f>'1 Data'!B681</f>
        <v/>
      </c>
      <c r="C692" s="47" t="n">
        <v>0.1002001</v>
      </c>
      <c r="D692" s="27">
        <f>'1 Data'!I681</f>
        <v/>
      </c>
      <c r="E692" s="30">
        <f>COUNTIF($C$23:$C$1022,"&lt;"&amp;C692)+(COUNTIF($C$23:$C$1022,"="&amp;C692)+1)/2</f>
        <v/>
      </c>
    </row>
    <row r="693">
      <c r="B693" s="27">
        <f>'1 Data'!B682</f>
        <v/>
      </c>
      <c r="C693" s="47" t="n">
        <v>0.10498883</v>
      </c>
      <c r="D693" s="27">
        <f>'1 Data'!I682</f>
        <v/>
      </c>
      <c r="E693" s="30">
        <f>COUNTIF($C$23:$C$1022,"&lt;"&amp;C693)+(COUNTIF($C$23:$C$1022,"="&amp;C693)+1)/2</f>
        <v/>
      </c>
    </row>
    <row r="694">
      <c r="B694" s="27">
        <f>'1 Data'!B683</f>
        <v/>
      </c>
      <c r="C694" s="47" t="n">
        <v>0.13868882</v>
      </c>
      <c r="D694" s="27">
        <f>'1 Data'!I683</f>
        <v/>
      </c>
      <c r="E694" s="30">
        <f>COUNTIF($C$23:$C$1022,"&lt;"&amp;C694)+(COUNTIF($C$23:$C$1022,"="&amp;C694)+1)/2</f>
        <v/>
      </c>
    </row>
    <row r="695">
      <c r="B695" s="27">
        <f>'1 Data'!B684</f>
        <v/>
      </c>
      <c r="C695" s="47" t="n">
        <v>0.11905641</v>
      </c>
      <c r="D695" s="27">
        <f>'1 Data'!I684</f>
        <v/>
      </c>
      <c r="E695" s="30">
        <f>COUNTIF($C$23:$C$1022,"&lt;"&amp;C695)+(COUNTIF($C$23:$C$1022,"="&amp;C695)+1)/2</f>
        <v/>
      </c>
    </row>
    <row r="696">
      <c r="B696" s="27">
        <f>'1 Data'!B685</f>
        <v/>
      </c>
      <c r="C696" s="47" t="n">
        <v>0.42455608</v>
      </c>
      <c r="D696" s="27">
        <f>'1 Data'!I685</f>
        <v/>
      </c>
      <c r="E696" s="30">
        <f>COUNTIF($C$23:$C$1022,"&lt;"&amp;C696)+(COUNTIF($C$23:$C$1022,"="&amp;C696)+1)/2</f>
        <v/>
      </c>
    </row>
    <row r="697">
      <c r="B697" s="27">
        <f>'1 Data'!B686</f>
        <v/>
      </c>
      <c r="C697" s="47" t="n">
        <v>0.13274913</v>
      </c>
      <c r="D697" s="27">
        <f>'1 Data'!I686</f>
        <v/>
      </c>
      <c r="E697" s="30">
        <f>COUNTIF($C$23:$C$1022,"&lt;"&amp;C697)+(COUNTIF($C$23:$C$1022,"="&amp;C697)+1)/2</f>
        <v/>
      </c>
    </row>
    <row r="698">
      <c r="B698" s="27">
        <f>'1 Data'!B687</f>
        <v/>
      </c>
      <c r="C698" s="47" t="n">
        <v>0.710738</v>
      </c>
      <c r="D698" s="27">
        <f>'1 Data'!I687</f>
        <v/>
      </c>
      <c r="E698" s="30">
        <f>COUNTIF($C$23:$C$1022,"&lt;"&amp;C698)+(COUNTIF($C$23:$C$1022,"="&amp;C698)+1)/2</f>
        <v/>
      </c>
    </row>
    <row r="699">
      <c r="B699" s="27">
        <f>'1 Data'!B688</f>
        <v/>
      </c>
      <c r="C699" s="47" t="n">
        <v>0.2626097</v>
      </c>
      <c r="D699" s="27">
        <f>'1 Data'!I688</f>
        <v/>
      </c>
      <c r="E699" s="30">
        <f>COUNTIF($C$23:$C$1022,"&lt;"&amp;C699)+(COUNTIF($C$23:$C$1022,"="&amp;C699)+1)/2</f>
        <v/>
      </c>
    </row>
    <row r="700">
      <c r="B700" s="27">
        <f>'1 Data'!B689</f>
        <v/>
      </c>
      <c r="C700" s="47" t="n">
        <v>0.5540494</v>
      </c>
      <c r="D700" s="27">
        <f>'1 Data'!I689</f>
        <v/>
      </c>
      <c r="E700" s="30">
        <f>COUNTIF($C$23:$C$1022,"&lt;"&amp;C700)+(COUNTIF($C$23:$C$1022,"="&amp;C700)+1)/2</f>
        <v/>
      </c>
    </row>
    <row r="701">
      <c r="B701" s="27">
        <f>'1 Data'!B690</f>
        <v/>
      </c>
      <c r="C701" s="47" t="n">
        <v>0.20056191</v>
      </c>
      <c r="D701" s="27">
        <f>'1 Data'!I690</f>
        <v/>
      </c>
      <c r="E701" s="30">
        <f>COUNTIF($C$23:$C$1022,"&lt;"&amp;C701)+(COUNTIF($C$23:$C$1022,"="&amp;C701)+1)/2</f>
        <v/>
      </c>
    </row>
    <row r="702">
      <c r="B702" s="27">
        <f>'1 Data'!B691</f>
        <v/>
      </c>
      <c r="C702" s="47" t="n">
        <v>0.065412685</v>
      </c>
      <c r="D702" s="27">
        <f>'1 Data'!I691</f>
        <v/>
      </c>
      <c r="E702" s="30">
        <f>COUNTIF($C$23:$C$1022,"&lt;"&amp;C702)+(COUNTIF($C$23:$C$1022,"="&amp;C702)+1)/2</f>
        <v/>
      </c>
    </row>
    <row r="703">
      <c r="B703" s="27">
        <f>'1 Data'!B692</f>
        <v/>
      </c>
      <c r="C703" s="47" t="n">
        <v>0.22873142</v>
      </c>
      <c r="D703" s="27">
        <f>'1 Data'!I692</f>
        <v/>
      </c>
      <c r="E703" s="30">
        <f>COUNTIF($C$23:$C$1022,"&lt;"&amp;C703)+(COUNTIF($C$23:$C$1022,"="&amp;C703)+1)/2</f>
        <v/>
      </c>
    </row>
    <row r="704">
      <c r="B704" s="27">
        <f>'1 Data'!B693</f>
        <v/>
      </c>
      <c r="C704" s="47" t="n">
        <v>0.426357</v>
      </c>
      <c r="D704" s="27">
        <f>'1 Data'!I693</f>
        <v/>
      </c>
      <c r="E704" s="30">
        <f>COUNTIF($C$23:$C$1022,"&lt;"&amp;C704)+(COUNTIF($C$23:$C$1022,"="&amp;C704)+1)/2</f>
        <v/>
      </c>
    </row>
    <row r="705">
      <c r="B705" s="27">
        <f>'1 Data'!B694</f>
        <v/>
      </c>
      <c r="C705" s="47" t="n">
        <v>0.07032876</v>
      </c>
      <c r="D705" s="27">
        <f>'1 Data'!I694</f>
        <v/>
      </c>
      <c r="E705" s="30">
        <f>COUNTIF($C$23:$C$1022,"&lt;"&amp;C705)+(COUNTIF($C$23:$C$1022,"="&amp;C705)+1)/2</f>
        <v/>
      </c>
    </row>
    <row r="706">
      <c r="B706" s="27">
        <f>'1 Data'!B695</f>
        <v/>
      </c>
      <c r="C706" s="47" t="n">
        <v>0.12916897</v>
      </c>
      <c r="D706" s="27">
        <f>'1 Data'!I695</f>
        <v/>
      </c>
      <c r="E706" s="30">
        <f>COUNTIF($C$23:$C$1022,"&lt;"&amp;C706)+(COUNTIF($C$23:$C$1022,"="&amp;C706)+1)/2</f>
        <v/>
      </c>
    </row>
    <row r="707">
      <c r="B707" s="27">
        <f>'1 Data'!B696</f>
        <v/>
      </c>
      <c r="C707" s="47" t="n">
        <v>0.3014469</v>
      </c>
      <c r="D707" s="27">
        <f>'1 Data'!I696</f>
        <v/>
      </c>
      <c r="E707" s="30">
        <f>COUNTIF($C$23:$C$1022,"&lt;"&amp;C707)+(COUNTIF($C$23:$C$1022,"="&amp;C707)+1)/2</f>
        <v/>
      </c>
    </row>
    <row r="708">
      <c r="B708" s="27">
        <f>'1 Data'!B697</f>
        <v/>
      </c>
      <c r="C708" s="47" t="n">
        <v>0.11605809</v>
      </c>
      <c r="D708" s="27">
        <f>'1 Data'!I697</f>
        <v/>
      </c>
      <c r="E708" s="30">
        <f>COUNTIF($C$23:$C$1022,"&lt;"&amp;C708)+(COUNTIF($C$23:$C$1022,"="&amp;C708)+1)/2</f>
        <v/>
      </c>
    </row>
    <row r="709">
      <c r="B709" s="27">
        <f>'1 Data'!B698</f>
        <v/>
      </c>
      <c r="C709" s="47" t="n">
        <v>0.8581594</v>
      </c>
      <c r="D709" s="27">
        <f>'1 Data'!I698</f>
        <v/>
      </c>
      <c r="E709" s="30">
        <f>COUNTIF($C$23:$C$1022,"&lt;"&amp;C709)+(COUNTIF($C$23:$C$1022,"="&amp;C709)+1)/2</f>
        <v/>
      </c>
    </row>
    <row r="710">
      <c r="B710" s="27">
        <f>'1 Data'!B699</f>
        <v/>
      </c>
      <c r="C710" s="47" t="n">
        <v>0.27291137</v>
      </c>
      <c r="D710" s="27">
        <f>'1 Data'!I699</f>
        <v/>
      </c>
      <c r="E710" s="30">
        <f>COUNTIF($C$23:$C$1022,"&lt;"&amp;C710)+(COUNTIF($C$23:$C$1022,"="&amp;C710)+1)/2</f>
        <v/>
      </c>
    </row>
    <row r="711">
      <c r="B711" s="27">
        <f>'1 Data'!B700</f>
        <v/>
      </c>
      <c r="C711" s="47" t="n">
        <v>0.25219238</v>
      </c>
      <c r="D711" s="27">
        <f>'1 Data'!I700</f>
        <v/>
      </c>
      <c r="E711" s="30">
        <f>COUNTIF($C$23:$C$1022,"&lt;"&amp;C711)+(COUNTIF($C$23:$C$1022,"="&amp;C711)+1)/2</f>
        <v/>
      </c>
    </row>
    <row r="712">
      <c r="B712" s="27">
        <f>'1 Data'!B701</f>
        <v/>
      </c>
      <c r="C712" s="47" t="n">
        <v>0.3474884</v>
      </c>
      <c r="D712" s="27">
        <f>'1 Data'!I701</f>
        <v/>
      </c>
      <c r="E712" s="30">
        <f>COUNTIF($C$23:$C$1022,"&lt;"&amp;C712)+(COUNTIF($C$23:$C$1022,"="&amp;C712)+1)/2</f>
        <v/>
      </c>
    </row>
    <row r="713">
      <c r="B713" s="27">
        <f>'1 Data'!B702</f>
        <v/>
      </c>
      <c r="C713" s="47" t="n">
        <v>0.4001525</v>
      </c>
      <c r="D713" s="27">
        <f>'1 Data'!I702</f>
        <v/>
      </c>
      <c r="E713" s="30">
        <f>COUNTIF($C$23:$C$1022,"&lt;"&amp;C713)+(COUNTIF($C$23:$C$1022,"="&amp;C713)+1)/2</f>
        <v/>
      </c>
    </row>
    <row r="714">
      <c r="B714" s="27">
        <f>'1 Data'!B703</f>
        <v/>
      </c>
      <c r="C714" s="47" t="n">
        <v>0.09086023</v>
      </c>
      <c r="D714" s="27">
        <f>'1 Data'!I703</f>
        <v/>
      </c>
      <c r="E714" s="30">
        <f>COUNTIF($C$23:$C$1022,"&lt;"&amp;C714)+(COUNTIF($C$23:$C$1022,"="&amp;C714)+1)/2</f>
        <v/>
      </c>
    </row>
    <row r="715">
      <c r="B715" s="27">
        <f>'1 Data'!B704</f>
        <v/>
      </c>
      <c r="C715" s="47" t="n">
        <v>0.14588012</v>
      </c>
      <c r="D715" s="27">
        <f>'1 Data'!I704</f>
        <v/>
      </c>
      <c r="E715" s="30">
        <f>COUNTIF($C$23:$C$1022,"&lt;"&amp;C715)+(COUNTIF($C$23:$C$1022,"="&amp;C715)+1)/2</f>
        <v/>
      </c>
    </row>
    <row r="716">
      <c r="B716" s="27">
        <f>'1 Data'!B705</f>
        <v/>
      </c>
      <c r="C716" s="47" t="n">
        <v>0.258429</v>
      </c>
      <c r="D716" s="27">
        <f>'1 Data'!I705</f>
        <v/>
      </c>
      <c r="E716" s="30">
        <f>COUNTIF($C$23:$C$1022,"&lt;"&amp;C716)+(COUNTIF($C$23:$C$1022,"="&amp;C716)+1)/2</f>
        <v/>
      </c>
    </row>
    <row r="717">
      <c r="B717" s="27">
        <f>'1 Data'!B706</f>
        <v/>
      </c>
      <c r="C717" s="47" t="n">
        <v>0.15138808</v>
      </c>
      <c r="D717" s="27">
        <f>'1 Data'!I706</f>
        <v/>
      </c>
      <c r="E717" s="30">
        <f>COUNTIF($C$23:$C$1022,"&lt;"&amp;C717)+(COUNTIF($C$23:$C$1022,"="&amp;C717)+1)/2</f>
        <v/>
      </c>
    </row>
    <row r="718">
      <c r="B718" s="27">
        <f>'1 Data'!B707</f>
        <v/>
      </c>
      <c r="C718" s="47" t="n">
        <v>0.04767089</v>
      </c>
      <c r="D718" s="27">
        <f>'1 Data'!I707</f>
        <v/>
      </c>
      <c r="E718" s="30">
        <f>COUNTIF($C$23:$C$1022,"&lt;"&amp;C718)+(COUNTIF($C$23:$C$1022,"="&amp;C718)+1)/2</f>
        <v/>
      </c>
    </row>
    <row r="719">
      <c r="B719" s="27">
        <f>'1 Data'!B708</f>
        <v/>
      </c>
      <c r="C719" s="47" t="n">
        <v>0.098633304</v>
      </c>
      <c r="D719" s="27">
        <f>'1 Data'!I708</f>
        <v/>
      </c>
      <c r="E719" s="30">
        <f>COUNTIF($C$23:$C$1022,"&lt;"&amp;C719)+(COUNTIF($C$23:$C$1022,"="&amp;C719)+1)/2</f>
        <v/>
      </c>
    </row>
    <row r="720">
      <c r="B720" s="27">
        <f>'1 Data'!B709</f>
        <v/>
      </c>
      <c r="C720" s="47" t="n">
        <v>0.109862424</v>
      </c>
      <c r="D720" s="27">
        <f>'1 Data'!I709</f>
        <v/>
      </c>
      <c r="E720" s="30">
        <f>COUNTIF($C$23:$C$1022,"&lt;"&amp;C720)+(COUNTIF($C$23:$C$1022,"="&amp;C720)+1)/2</f>
        <v/>
      </c>
    </row>
    <row r="721">
      <c r="B721" s="27">
        <f>'1 Data'!B710</f>
        <v/>
      </c>
      <c r="C721" s="47" t="n">
        <v>0.3786172</v>
      </c>
      <c r="D721" s="27">
        <f>'1 Data'!I710</f>
        <v/>
      </c>
      <c r="E721" s="30">
        <f>COUNTIF($C$23:$C$1022,"&lt;"&amp;C721)+(COUNTIF($C$23:$C$1022,"="&amp;C721)+1)/2</f>
        <v/>
      </c>
    </row>
    <row r="722">
      <c r="B722" s="27">
        <f>'1 Data'!B711</f>
        <v/>
      </c>
      <c r="C722" s="47" t="n">
        <v>0.10068714</v>
      </c>
      <c r="D722" s="27">
        <f>'1 Data'!I711</f>
        <v/>
      </c>
      <c r="E722" s="30">
        <f>COUNTIF($C$23:$C$1022,"&lt;"&amp;C722)+(COUNTIF($C$23:$C$1022,"="&amp;C722)+1)/2</f>
        <v/>
      </c>
    </row>
    <row r="723">
      <c r="B723" s="27">
        <f>'1 Data'!B712</f>
        <v/>
      </c>
      <c r="C723" s="47" t="n">
        <v>0.09087849000000001</v>
      </c>
      <c r="D723" s="27">
        <f>'1 Data'!I712</f>
        <v/>
      </c>
      <c r="E723" s="30">
        <f>COUNTIF($C$23:$C$1022,"&lt;"&amp;C723)+(COUNTIF($C$23:$C$1022,"="&amp;C723)+1)/2</f>
        <v/>
      </c>
    </row>
    <row r="724">
      <c r="B724" s="27">
        <f>'1 Data'!B713</f>
        <v/>
      </c>
      <c r="C724" s="47" t="n">
        <v>0.053119563</v>
      </c>
      <c r="D724" s="27">
        <f>'1 Data'!I713</f>
        <v/>
      </c>
      <c r="E724" s="30">
        <f>COUNTIF($C$23:$C$1022,"&lt;"&amp;C724)+(COUNTIF($C$23:$C$1022,"="&amp;C724)+1)/2</f>
        <v/>
      </c>
    </row>
    <row r="725">
      <c r="B725" s="27">
        <f>'1 Data'!B714</f>
        <v/>
      </c>
      <c r="C725" s="47" t="n">
        <v>0.33574513</v>
      </c>
      <c r="D725" s="27">
        <f>'1 Data'!I714</f>
        <v/>
      </c>
      <c r="E725" s="30">
        <f>COUNTIF($C$23:$C$1022,"&lt;"&amp;C725)+(COUNTIF($C$23:$C$1022,"="&amp;C725)+1)/2</f>
        <v/>
      </c>
    </row>
    <row r="726">
      <c r="B726" s="27">
        <f>'1 Data'!B715</f>
        <v/>
      </c>
      <c r="C726" s="47" t="n">
        <v>0.110050865</v>
      </c>
      <c r="D726" s="27">
        <f>'1 Data'!I715</f>
        <v/>
      </c>
      <c r="E726" s="30">
        <f>COUNTIF($C$23:$C$1022,"&lt;"&amp;C726)+(COUNTIF($C$23:$C$1022,"="&amp;C726)+1)/2</f>
        <v/>
      </c>
    </row>
    <row r="727">
      <c r="B727" s="27">
        <f>'1 Data'!B716</f>
        <v/>
      </c>
      <c r="C727" s="47" t="n">
        <v>0.15968616</v>
      </c>
      <c r="D727" s="27">
        <f>'1 Data'!I716</f>
        <v/>
      </c>
      <c r="E727" s="30">
        <f>COUNTIF($C$23:$C$1022,"&lt;"&amp;C727)+(COUNTIF($C$23:$C$1022,"="&amp;C727)+1)/2</f>
        <v/>
      </c>
    </row>
    <row r="728">
      <c r="B728" s="27">
        <f>'1 Data'!B717</f>
        <v/>
      </c>
      <c r="C728" s="47" t="n">
        <v>0.19079694</v>
      </c>
      <c r="D728" s="27">
        <f>'1 Data'!I717</f>
        <v/>
      </c>
      <c r="E728" s="30">
        <f>COUNTIF($C$23:$C$1022,"&lt;"&amp;C728)+(COUNTIF($C$23:$C$1022,"="&amp;C728)+1)/2</f>
        <v/>
      </c>
    </row>
    <row r="729">
      <c r="B729" s="27">
        <f>'1 Data'!B718</f>
        <v/>
      </c>
      <c r="C729" s="47" t="n">
        <v>0.048213508</v>
      </c>
      <c r="D729" s="27">
        <f>'1 Data'!I718</f>
        <v/>
      </c>
      <c r="E729" s="30">
        <f>COUNTIF($C$23:$C$1022,"&lt;"&amp;C729)+(COUNTIF($C$23:$C$1022,"="&amp;C729)+1)/2</f>
        <v/>
      </c>
    </row>
    <row r="730">
      <c r="B730" s="27">
        <f>'1 Data'!B719</f>
        <v/>
      </c>
      <c r="C730" s="47" t="n">
        <v>0.71367615</v>
      </c>
      <c r="D730" s="27">
        <f>'1 Data'!I719</f>
        <v/>
      </c>
      <c r="E730" s="30">
        <f>COUNTIF($C$23:$C$1022,"&lt;"&amp;C730)+(COUNTIF($C$23:$C$1022,"="&amp;C730)+1)/2</f>
        <v/>
      </c>
    </row>
    <row r="731">
      <c r="B731" s="27">
        <f>'1 Data'!B720</f>
        <v/>
      </c>
      <c r="C731" s="47" t="n">
        <v>0.17571306</v>
      </c>
      <c r="D731" s="27">
        <f>'1 Data'!I720</f>
        <v/>
      </c>
      <c r="E731" s="30">
        <f>COUNTIF($C$23:$C$1022,"&lt;"&amp;C731)+(COUNTIF($C$23:$C$1022,"="&amp;C731)+1)/2</f>
        <v/>
      </c>
    </row>
    <row r="732">
      <c r="B732" s="27">
        <f>'1 Data'!B721</f>
        <v/>
      </c>
      <c r="C732" s="47" t="n">
        <v>0.18200295</v>
      </c>
      <c r="D732" s="27">
        <f>'1 Data'!I721</f>
        <v/>
      </c>
      <c r="E732" s="30">
        <f>COUNTIF($C$23:$C$1022,"&lt;"&amp;C732)+(COUNTIF($C$23:$C$1022,"="&amp;C732)+1)/2</f>
        <v/>
      </c>
    </row>
    <row r="733">
      <c r="B733" s="27">
        <f>'1 Data'!B722</f>
        <v/>
      </c>
      <c r="C733" s="47" t="n">
        <v>0.5941067</v>
      </c>
      <c r="D733" s="27">
        <f>'1 Data'!I722</f>
        <v/>
      </c>
      <c r="E733" s="30">
        <f>COUNTIF($C$23:$C$1022,"&lt;"&amp;C733)+(COUNTIF($C$23:$C$1022,"="&amp;C733)+1)/2</f>
        <v/>
      </c>
    </row>
    <row r="734">
      <c r="B734" s="27">
        <f>'1 Data'!B723</f>
        <v/>
      </c>
      <c r="C734" s="47" t="n">
        <v>0.06813579</v>
      </c>
      <c r="D734" s="27">
        <f>'1 Data'!I723</f>
        <v/>
      </c>
      <c r="E734" s="30">
        <f>COUNTIF($C$23:$C$1022,"&lt;"&amp;C734)+(COUNTIF($C$23:$C$1022,"="&amp;C734)+1)/2</f>
        <v/>
      </c>
    </row>
    <row r="735">
      <c r="B735" s="27">
        <f>'1 Data'!B724</f>
        <v/>
      </c>
      <c r="C735" s="47" t="n">
        <v>0.11809318</v>
      </c>
      <c r="D735" s="27">
        <f>'1 Data'!I724</f>
        <v/>
      </c>
      <c r="E735" s="30">
        <f>COUNTIF($C$23:$C$1022,"&lt;"&amp;C735)+(COUNTIF($C$23:$C$1022,"="&amp;C735)+1)/2</f>
        <v/>
      </c>
    </row>
    <row r="736">
      <c r="B736" s="27">
        <f>'1 Data'!B725</f>
        <v/>
      </c>
      <c r="C736" s="47" t="n">
        <v>0.05516907</v>
      </c>
      <c r="D736" s="27">
        <f>'1 Data'!I725</f>
        <v/>
      </c>
      <c r="E736" s="30">
        <f>COUNTIF($C$23:$C$1022,"&lt;"&amp;C736)+(COUNTIF($C$23:$C$1022,"="&amp;C736)+1)/2</f>
        <v/>
      </c>
    </row>
    <row r="737">
      <c r="B737" s="27">
        <f>'1 Data'!B726</f>
        <v/>
      </c>
      <c r="C737" s="47" t="n">
        <v>0.19974753</v>
      </c>
      <c r="D737" s="27">
        <f>'1 Data'!I726</f>
        <v/>
      </c>
      <c r="E737" s="30">
        <f>COUNTIF($C$23:$C$1022,"&lt;"&amp;C737)+(COUNTIF($C$23:$C$1022,"="&amp;C737)+1)/2</f>
        <v/>
      </c>
    </row>
    <row r="738">
      <c r="B738" s="27">
        <f>'1 Data'!B727</f>
        <v/>
      </c>
      <c r="C738" s="47" t="n">
        <v>0.1497799</v>
      </c>
      <c r="D738" s="27">
        <f>'1 Data'!I727</f>
        <v/>
      </c>
      <c r="E738" s="30">
        <f>COUNTIF($C$23:$C$1022,"&lt;"&amp;C738)+(COUNTIF($C$23:$C$1022,"="&amp;C738)+1)/2</f>
        <v/>
      </c>
    </row>
    <row r="739">
      <c r="B739" s="27">
        <f>'1 Data'!B728</f>
        <v/>
      </c>
      <c r="C739" s="47" t="n">
        <v>0.14608905</v>
      </c>
      <c r="D739" s="27">
        <f>'1 Data'!I728</f>
        <v/>
      </c>
      <c r="E739" s="30">
        <f>COUNTIF($C$23:$C$1022,"&lt;"&amp;C739)+(COUNTIF($C$23:$C$1022,"="&amp;C739)+1)/2</f>
        <v/>
      </c>
    </row>
    <row r="740">
      <c r="B740" s="27">
        <f>'1 Data'!B729</f>
        <v/>
      </c>
      <c r="C740" s="47" t="n">
        <v>0.14455733</v>
      </c>
      <c r="D740" s="27">
        <f>'1 Data'!I729</f>
        <v/>
      </c>
      <c r="E740" s="30">
        <f>COUNTIF($C$23:$C$1022,"&lt;"&amp;C740)+(COUNTIF($C$23:$C$1022,"="&amp;C740)+1)/2</f>
        <v/>
      </c>
    </row>
    <row r="741">
      <c r="B741" s="27">
        <f>'1 Data'!B730</f>
        <v/>
      </c>
      <c r="C741" s="47" t="n">
        <v>0.09041557</v>
      </c>
      <c r="D741" s="27">
        <f>'1 Data'!I730</f>
        <v/>
      </c>
      <c r="E741" s="30">
        <f>COUNTIF($C$23:$C$1022,"&lt;"&amp;C741)+(COUNTIF($C$23:$C$1022,"="&amp;C741)+1)/2</f>
        <v/>
      </c>
    </row>
    <row r="742">
      <c r="B742" s="27">
        <f>'1 Data'!B731</f>
        <v/>
      </c>
      <c r="C742" s="47" t="n">
        <v>0.2268359</v>
      </c>
      <c r="D742" s="27">
        <f>'1 Data'!I731</f>
        <v/>
      </c>
      <c r="E742" s="30">
        <f>COUNTIF($C$23:$C$1022,"&lt;"&amp;C742)+(COUNTIF($C$23:$C$1022,"="&amp;C742)+1)/2</f>
        <v/>
      </c>
    </row>
    <row r="743">
      <c r="B743" s="27">
        <f>'1 Data'!B732</f>
        <v/>
      </c>
      <c r="C743" s="47" t="n">
        <v>0.06844794</v>
      </c>
      <c r="D743" s="27">
        <f>'1 Data'!I732</f>
        <v/>
      </c>
      <c r="E743" s="30">
        <f>COUNTIF($C$23:$C$1022,"&lt;"&amp;C743)+(COUNTIF($C$23:$C$1022,"="&amp;C743)+1)/2</f>
        <v/>
      </c>
    </row>
    <row r="744">
      <c r="B744" s="27">
        <f>'1 Data'!B733</f>
        <v/>
      </c>
      <c r="C744" s="47" t="n">
        <v>0.2118739</v>
      </c>
      <c r="D744" s="27">
        <f>'1 Data'!I733</f>
        <v/>
      </c>
      <c r="E744" s="30">
        <f>COUNTIF($C$23:$C$1022,"&lt;"&amp;C744)+(COUNTIF($C$23:$C$1022,"="&amp;C744)+1)/2</f>
        <v/>
      </c>
    </row>
    <row r="745">
      <c r="B745" s="27">
        <f>'1 Data'!B734</f>
        <v/>
      </c>
      <c r="C745" s="47" t="n">
        <v>0.1375139</v>
      </c>
      <c r="D745" s="27">
        <f>'1 Data'!I734</f>
        <v/>
      </c>
      <c r="E745" s="30">
        <f>COUNTIF($C$23:$C$1022,"&lt;"&amp;C745)+(COUNTIF($C$23:$C$1022,"="&amp;C745)+1)/2</f>
        <v/>
      </c>
    </row>
    <row r="746">
      <c r="B746" s="27">
        <f>'1 Data'!B735</f>
        <v/>
      </c>
      <c r="C746" s="47" t="n">
        <v>0.17787574</v>
      </c>
      <c r="D746" s="27">
        <f>'1 Data'!I735</f>
        <v/>
      </c>
      <c r="E746" s="30">
        <f>COUNTIF($C$23:$C$1022,"&lt;"&amp;C746)+(COUNTIF($C$23:$C$1022,"="&amp;C746)+1)/2</f>
        <v/>
      </c>
    </row>
    <row r="747">
      <c r="B747" s="27">
        <f>'1 Data'!B736</f>
        <v/>
      </c>
      <c r="C747" s="47" t="n">
        <v>0.29882324</v>
      </c>
      <c r="D747" s="27">
        <f>'1 Data'!I736</f>
        <v/>
      </c>
      <c r="E747" s="30">
        <f>COUNTIF($C$23:$C$1022,"&lt;"&amp;C747)+(COUNTIF($C$23:$C$1022,"="&amp;C747)+1)/2</f>
        <v/>
      </c>
    </row>
    <row r="748">
      <c r="B748" s="27">
        <f>'1 Data'!B737</f>
        <v/>
      </c>
      <c r="C748" s="47" t="n">
        <v>0.38909093</v>
      </c>
      <c r="D748" s="27">
        <f>'1 Data'!I737</f>
        <v/>
      </c>
      <c r="E748" s="30">
        <f>COUNTIF($C$23:$C$1022,"&lt;"&amp;C748)+(COUNTIF($C$23:$C$1022,"="&amp;C748)+1)/2</f>
        <v/>
      </c>
    </row>
    <row r="749">
      <c r="B749" s="27">
        <f>'1 Data'!B738</f>
        <v/>
      </c>
      <c r="C749" s="47" t="n">
        <v>0.10129187</v>
      </c>
      <c r="D749" s="27">
        <f>'1 Data'!I738</f>
        <v/>
      </c>
      <c r="E749" s="30">
        <f>COUNTIF($C$23:$C$1022,"&lt;"&amp;C749)+(COUNTIF($C$23:$C$1022,"="&amp;C749)+1)/2</f>
        <v/>
      </c>
    </row>
    <row r="750">
      <c r="B750" s="27">
        <f>'1 Data'!B739</f>
        <v/>
      </c>
      <c r="C750" s="47" t="n">
        <v>0.17901386</v>
      </c>
      <c r="D750" s="27">
        <f>'1 Data'!I739</f>
        <v/>
      </c>
      <c r="E750" s="30">
        <f>COUNTIF($C$23:$C$1022,"&lt;"&amp;C750)+(COUNTIF($C$23:$C$1022,"="&amp;C750)+1)/2</f>
        <v/>
      </c>
    </row>
    <row r="751">
      <c r="B751" s="27">
        <f>'1 Data'!B740</f>
        <v/>
      </c>
      <c r="C751" s="47" t="n">
        <v>0.10667233</v>
      </c>
      <c r="D751" s="27">
        <f>'1 Data'!I740</f>
        <v/>
      </c>
      <c r="E751" s="30">
        <f>COUNTIF($C$23:$C$1022,"&lt;"&amp;C751)+(COUNTIF($C$23:$C$1022,"="&amp;C751)+1)/2</f>
        <v/>
      </c>
    </row>
    <row r="752">
      <c r="B752" s="27">
        <f>'1 Data'!B741</f>
        <v/>
      </c>
      <c r="C752" s="47" t="n">
        <v>0.10660003</v>
      </c>
      <c r="D752" s="27">
        <f>'1 Data'!I741</f>
        <v/>
      </c>
      <c r="E752" s="30">
        <f>COUNTIF($C$23:$C$1022,"&lt;"&amp;C752)+(COUNTIF($C$23:$C$1022,"="&amp;C752)+1)/2</f>
        <v/>
      </c>
    </row>
    <row r="753">
      <c r="B753" s="27">
        <f>'1 Data'!B742</f>
        <v/>
      </c>
      <c r="C753" s="47" t="n">
        <v>0.095248476</v>
      </c>
      <c r="D753" s="27">
        <f>'1 Data'!I742</f>
        <v/>
      </c>
      <c r="E753" s="30">
        <f>COUNTIF($C$23:$C$1022,"&lt;"&amp;C753)+(COUNTIF($C$23:$C$1022,"="&amp;C753)+1)/2</f>
        <v/>
      </c>
    </row>
    <row r="754">
      <c r="B754" s="27">
        <f>'1 Data'!B743</f>
        <v/>
      </c>
      <c r="C754" s="47" t="n">
        <v>0.15262045</v>
      </c>
      <c r="D754" s="27">
        <f>'1 Data'!I743</f>
        <v/>
      </c>
      <c r="E754" s="30">
        <f>COUNTIF($C$23:$C$1022,"&lt;"&amp;C754)+(COUNTIF($C$23:$C$1022,"="&amp;C754)+1)/2</f>
        <v/>
      </c>
    </row>
    <row r="755">
      <c r="B755" s="27">
        <f>'1 Data'!B744</f>
        <v/>
      </c>
      <c r="C755" s="47" t="n">
        <v>0.09646366000000001</v>
      </c>
      <c r="D755" s="27">
        <f>'1 Data'!I744</f>
        <v/>
      </c>
      <c r="E755" s="30">
        <f>COUNTIF($C$23:$C$1022,"&lt;"&amp;C755)+(COUNTIF($C$23:$C$1022,"="&amp;C755)+1)/2</f>
        <v/>
      </c>
    </row>
    <row r="756">
      <c r="B756" s="27">
        <f>'1 Data'!B745</f>
        <v/>
      </c>
      <c r="C756" s="47" t="n">
        <v>0.06581539</v>
      </c>
      <c r="D756" s="27">
        <f>'1 Data'!I745</f>
        <v/>
      </c>
      <c r="E756" s="30">
        <f>COUNTIF($C$23:$C$1022,"&lt;"&amp;C756)+(COUNTIF($C$23:$C$1022,"="&amp;C756)+1)/2</f>
        <v/>
      </c>
    </row>
    <row r="757">
      <c r="B757" s="27">
        <f>'1 Data'!B746</f>
        <v/>
      </c>
      <c r="C757" s="47" t="n">
        <v>0.24899791</v>
      </c>
      <c r="D757" s="27">
        <f>'1 Data'!I746</f>
        <v/>
      </c>
      <c r="E757" s="30">
        <f>COUNTIF($C$23:$C$1022,"&lt;"&amp;C757)+(COUNTIF($C$23:$C$1022,"="&amp;C757)+1)/2</f>
        <v/>
      </c>
    </row>
    <row r="758">
      <c r="B758" s="27">
        <f>'1 Data'!B747</f>
        <v/>
      </c>
      <c r="C758" s="47" t="n">
        <v>0.3404157</v>
      </c>
      <c r="D758" s="27">
        <f>'1 Data'!I747</f>
        <v/>
      </c>
      <c r="E758" s="30">
        <f>COUNTIF($C$23:$C$1022,"&lt;"&amp;C758)+(COUNTIF($C$23:$C$1022,"="&amp;C758)+1)/2</f>
        <v/>
      </c>
    </row>
    <row r="759">
      <c r="B759" s="27">
        <f>'1 Data'!B748</f>
        <v/>
      </c>
      <c r="C759" s="47" t="n">
        <v>0.093523</v>
      </c>
      <c r="D759" s="27">
        <f>'1 Data'!I748</f>
        <v/>
      </c>
      <c r="E759" s="30">
        <f>COUNTIF($C$23:$C$1022,"&lt;"&amp;C759)+(COUNTIF($C$23:$C$1022,"="&amp;C759)+1)/2</f>
        <v/>
      </c>
    </row>
    <row r="760">
      <c r="B760" s="27">
        <f>'1 Data'!B749</f>
        <v/>
      </c>
      <c r="C760" s="47" t="n">
        <v>0.16779746</v>
      </c>
      <c r="D760" s="27">
        <f>'1 Data'!I749</f>
        <v/>
      </c>
      <c r="E760" s="30">
        <f>COUNTIF($C$23:$C$1022,"&lt;"&amp;C760)+(COUNTIF($C$23:$C$1022,"="&amp;C760)+1)/2</f>
        <v/>
      </c>
    </row>
    <row r="761">
      <c r="B761" s="27">
        <f>'1 Data'!B750</f>
        <v/>
      </c>
      <c r="C761" s="47" t="n">
        <v>0.20064673</v>
      </c>
      <c r="D761" s="27">
        <f>'1 Data'!I750</f>
        <v/>
      </c>
      <c r="E761" s="30">
        <f>COUNTIF($C$23:$C$1022,"&lt;"&amp;C761)+(COUNTIF($C$23:$C$1022,"="&amp;C761)+1)/2</f>
        <v/>
      </c>
    </row>
    <row r="762">
      <c r="B762" s="27">
        <f>'1 Data'!B751</f>
        <v/>
      </c>
      <c r="C762" s="47" t="n">
        <v>0.046181146</v>
      </c>
      <c r="D762" s="27">
        <f>'1 Data'!I751</f>
        <v/>
      </c>
      <c r="E762" s="30">
        <f>COUNTIF($C$23:$C$1022,"&lt;"&amp;C762)+(COUNTIF($C$23:$C$1022,"="&amp;C762)+1)/2</f>
        <v/>
      </c>
    </row>
    <row r="763">
      <c r="B763" s="27">
        <f>'1 Data'!B752</f>
        <v/>
      </c>
      <c r="C763" s="47" t="n">
        <v>0.15733269</v>
      </c>
      <c r="D763" s="27">
        <f>'1 Data'!I752</f>
        <v/>
      </c>
      <c r="E763" s="30">
        <f>COUNTIF($C$23:$C$1022,"&lt;"&amp;C763)+(COUNTIF($C$23:$C$1022,"="&amp;C763)+1)/2</f>
        <v/>
      </c>
    </row>
    <row r="764">
      <c r="B764" s="27">
        <f>'1 Data'!B753</f>
        <v/>
      </c>
      <c r="C764" s="47" t="n">
        <v>0.08587043</v>
      </c>
      <c r="D764" s="27">
        <f>'1 Data'!I753</f>
        <v/>
      </c>
      <c r="E764" s="30">
        <f>COUNTIF($C$23:$C$1022,"&lt;"&amp;C764)+(COUNTIF($C$23:$C$1022,"="&amp;C764)+1)/2</f>
        <v/>
      </c>
    </row>
    <row r="765">
      <c r="B765" s="27">
        <f>'1 Data'!B754</f>
        <v/>
      </c>
      <c r="C765" s="47" t="n">
        <v>0.114669815</v>
      </c>
      <c r="D765" s="27">
        <f>'1 Data'!I754</f>
        <v/>
      </c>
      <c r="E765" s="30">
        <f>COUNTIF($C$23:$C$1022,"&lt;"&amp;C765)+(COUNTIF($C$23:$C$1022,"="&amp;C765)+1)/2</f>
        <v/>
      </c>
    </row>
    <row r="766">
      <c r="B766" s="27">
        <f>'1 Data'!B755</f>
        <v/>
      </c>
      <c r="C766" s="47" t="n">
        <v>0.20399101</v>
      </c>
      <c r="D766" s="27">
        <f>'1 Data'!I755</f>
        <v/>
      </c>
      <c r="E766" s="30">
        <f>COUNTIF($C$23:$C$1022,"&lt;"&amp;C766)+(COUNTIF($C$23:$C$1022,"="&amp;C766)+1)/2</f>
        <v/>
      </c>
    </row>
    <row r="767">
      <c r="B767" s="27">
        <f>'1 Data'!B756</f>
        <v/>
      </c>
      <c r="C767" s="47" t="n">
        <v>0.06825931</v>
      </c>
      <c r="D767" s="27">
        <f>'1 Data'!I756</f>
        <v/>
      </c>
      <c r="E767" s="30">
        <f>COUNTIF($C$23:$C$1022,"&lt;"&amp;C767)+(COUNTIF($C$23:$C$1022,"="&amp;C767)+1)/2</f>
        <v/>
      </c>
    </row>
    <row r="768">
      <c r="B768" s="27">
        <f>'1 Data'!B757</f>
        <v/>
      </c>
      <c r="C768" s="47" t="n">
        <v>0.082886666</v>
      </c>
      <c r="D768" s="27">
        <f>'1 Data'!I757</f>
        <v/>
      </c>
      <c r="E768" s="30">
        <f>COUNTIF($C$23:$C$1022,"&lt;"&amp;C768)+(COUNTIF($C$23:$C$1022,"="&amp;C768)+1)/2</f>
        <v/>
      </c>
    </row>
    <row r="769">
      <c r="B769" s="27">
        <f>'1 Data'!B758</f>
        <v/>
      </c>
      <c r="C769" s="47" t="n">
        <v>0.055459403</v>
      </c>
      <c r="D769" s="27">
        <f>'1 Data'!I758</f>
        <v/>
      </c>
      <c r="E769" s="30">
        <f>COUNTIF($C$23:$C$1022,"&lt;"&amp;C769)+(COUNTIF($C$23:$C$1022,"="&amp;C769)+1)/2</f>
        <v/>
      </c>
    </row>
    <row r="770">
      <c r="B770" s="27">
        <f>'1 Data'!B759</f>
        <v/>
      </c>
      <c r="C770" s="47" t="n">
        <v>0.2892091</v>
      </c>
      <c r="D770" s="27">
        <f>'1 Data'!I759</f>
        <v/>
      </c>
      <c r="E770" s="30">
        <f>COUNTIF($C$23:$C$1022,"&lt;"&amp;C770)+(COUNTIF($C$23:$C$1022,"="&amp;C770)+1)/2</f>
        <v/>
      </c>
    </row>
    <row r="771">
      <c r="B771" s="27">
        <f>'1 Data'!B760</f>
        <v/>
      </c>
      <c r="C771" s="47" t="n">
        <v>0.123127595</v>
      </c>
      <c r="D771" s="27">
        <f>'1 Data'!I760</f>
        <v/>
      </c>
      <c r="E771" s="30">
        <f>COUNTIF($C$23:$C$1022,"&lt;"&amp;C771)+(COUNTIF($C$23:$C$1022,"="&amp;C771)+1)/2</f>
        <v/>
      </c>
    </row>
    <row r="772">
      <c r="B772" s="27">
        <f>'1 Data'!B761</f>
        <v/>
      </c>
      <c r="C772" s="47" t="n">
        <v>0.122205846</v>
      </c>
      <c r="D772" s="27">
        <f>'1 Data'!I761</f>
        <v/>
      </c>
      <c r="E772" s="30">
        <f>COUNTIF($C$23:$C$1022,"&lt;"&amp;C772)+(COUNTIF($C$23:$C$1022,"="&amp;C772)+1)/2</f>
        <v/>
      </c>
    </row>
    <row r="773">
      <c r="B773" s="27">
        <f>'1 Data'!B762</f>
        <v/>
      </c>
      <c r="C773" s="47" t="n">
        <v>0.1596698</v>
      </c>
      <c r="D773" s="27">
        <f>'1 Data'!I762</f>
        <v/>
      </c>
      <c r="E773" s="30">
        <f>COUNTIF($C$23:$C$1022,"&lt;"&amp;C773)+(COUNTIF($C$23:$C$1022,"="&amp;C773)+1)/2</f>
        <v/>
      </c>
    </row>
    <row r="774">
      <c r="B774" s="27">
        <f>'1 Data'!B763</f>
        <v/>
      </c>
      <c r="C774" s="47" t="n">
        <v>0.21525279</v>
      </c>
      <c r="D774" s="27">
        <f>'1 Data'!I763</f>
        <v/>
      </c>
      <c r="E774" s="30">
        <f>COUNTIF($C$23:$C$1022,"&lt;"&amp;C774)+(COUNTIF($C$23:$C$1022,"="&amp;C774)+1)/2</f>
        <v/>
      </c>
    </row>
    <row r="775">
      <c r="B775" s="27">
        <f>'1 Data'!B764</f>
        <v/>
      </c>
      <c r="C775" s="47" t="n">
        <v>0.19042154</v>
      </c>
      <c r="D775" s="27">
        <f>'1 Data'!I764</f>
        <v/>
      </c>
      <c r="E775" s="30">
        <f>COUNTIF($C$23:$C$1022,"&lt;"&amp;C775)+(COUNTIF($C$23:$C$1022,"="&amp;C775)+1)/2</f>
        <v/>
      </c>
    </row>
    <row r="776">
      <c r="B776" s="27">
        <f>'1 Data'!B765</f>
        <v/>
      </c>
      <c r="C776" s="47" t="n">
        <v>0.30649424</v>
      </c>
      <c r="D776" s="27">
        <f>'1 Data'!I765</f>
        <v/>
      </c>
      <c r="E776" s="30">
        <f>COUNTIF($C$23:$C$1022,"&lt;"&amp;C776)+(COUNTIF($C$23:$C$1022,"="&amp;C776)+1)/2</f>
        <v/>
      </c>
    </row>
    <row r="777">
      <c r="B777" s="27">
        <f>'1 Data'!B766</f>
        <v/>
      </c>
      <c r="C777" s="47" t="n">
        <v>0.18132927</v>
      </c>
      <c r="D777" s="27">
        <f>'1 Data'!I766</f>
        <v/>
      </c>
      <c r="E777" s="30">
        <f>COUNTIF($C$23:$C$1022,"&lt;"&amp;C777)+(COUNTIF($C$23:$C$1022,"="&amp;C777)+1)/2</f>
        <v/>
      </c>
    </row>
    <row r="778">
      <c r="B778" s="27">
        <f>'1 Data'!B767</f>
        <v/>
      </c>
      <c r="C778" s="47" t="n">
        <v>0.105912946</v>
      </c>
      <c r="D778" s="27">
        <f>'1 Data'!I767</f>
        <v/>
      </c>
      <c r="E778" s="30">
        <f>COUNTIF($C$23:$C$1022,"&lt;"&amp;C778)+(COUNTIF($C$23:$C$1022,"="&amp;C778)+1)/2</f>
        <v/>
      </c>
    </row>
    <row r="779">
      <c r="B779" s="27">
        <f>'1 Data'!B768</f>
        <v/>
      </c>
      <c r="C779" s="47" t="n">
        <v>0.18821242</v>
      </c>
      <c r="D779" s="27">
        <f>'1 Data'!I768</f>
        <v/>
      </c>
      <c r="E779" s="30">
        <f>COUNTIF($C$23:$C$1022,"&lt;"&amp;C779)+(COUNTIF($C$23:$C$1022,"="&amp;C779)+1)/2</f>
        <v/>
      </c>
    </row>
    <row r="780">
      <c r="B780" s="27">
        <f>'1 Data'!B769</f>
        <v/>
      </c>
      <c r="C780" s="47" t="n">
        <v>0.19475402</v>
      </c>
      <c r="D780" s="27">
        <f>'1 Data'!I769</f>
        <v/>
      </c>
      <c r="E780" s="30">
        <f>COUNTIF($C$23:$C$1022,"&lt;"&amp;C780)+(COUNTIF($C$23:$C$1022,"="&amp;C780)+1)/2</f>
        <v/>
      </c>
    </row>
    <row r="781">
      <c r="B781" s="27">
        <f>'1 Data'!B770</f>
        <v/>
      </c>
      <c r="C781" s="47" t="n">
        <v>0.16191946</v>
      </c>
      <c r="D781" s="27">
        <f>'1 Data'!I770</f>
        <v/>
      </c>
      <c r="E781" s="30">
        <f>COUNTIF($C$23:$C$1022,"&lt;"&amp;C781)+(COUNTIF($C$23:$C$1022,"="&amp;C781)+1)/2</f>
        <v/>
      </c>
    </row>
    <row r="782">
      <c r="B782" s="27">
        <f>'1 Data'!B771</f>
        <v/>
      </c>
      <c r="C782" s="47" t="n">
        <v>0.07306020000000001</v>
      </c>
      <c r="D782" s="27">
        <f>'1 Data'!I771</f>
        <v/>
      </c>
      <c r="E782" s="30">
        <f>COUNTIF($C$23:$C$1022,"&lt;"&amp;C782)+(COUNTIF($C$23:$C$1022,"="&amp;C782)+1)/2</f>
        <v/>
      </c>
    </row>
    <row r="783">
      <c r="B783" s="27">
        <f>'1 Data'!B772</f>
        <v/>
      </c>
      <c r="C783" s="47" t="n">
        <v>0.07177049000000001</v>
      </c>
      <c r="D783" s="27">
        <f>'1 Data'!I772</f>
        <v/>
      </c>
      <c r="E783" s="30">
        <f>COUNTIF($C$23:$C$1022,"&lt;"&amp;C783)+(COUNTIF($C$23:$C$1022,"="&amp;C783)+1)/2</f>
        <v/>
      </c>
    </row>
    <row r="784">
      <c r="B784" s="27">
        <f>'1 Data'!B773</f>
        <v/>
      </c>
      <c r="C784" s="47" t="n">
        <v>0.6893508</v>
      </c>
      <c r="D784" s="27">
        <f>'1 Data'!I773</f>
        <v/>
      </c>
      <c r="E784" s="30">
        <f>COUNTIF($C$23:$C$1022,"&lt;"&amp;C784)+(COUNTIF($C$23:$C$1022,"="&amp;C784)+1)/2</f>
        <v/>
      </c>
    </row>
    <row r="785">
      <c r="B785" s="27">
        <f>'1 Data'!B774</f>
        <v/>
      </c>
      <c r="C785" s="47" t="n">
        <v>0.3936469</v>
      </c>
      <c r="D785" s="27">
        <f>'1 Data'!I774</f>
        <v/>
      </c>
      <c r="E785" s="30">
        <f>COUNTIF($C$23:$C$1022,"&lt;"&amp;C785)+(COUNTIF($C$23:$C$1022,"="&amp;C785)+1)/2</f>
        <v/>
      </c>
    </row>
    <row r="786">
      <c r="B786" s="27">
        <f>'1 Data'!B775</f>
        <v/>
      </c>
      <c r="C786" s="47" t="n">
        <v>0.66152745</v>
      </c>
      <c r="D786" s="27">
        <f>'1 Data'!I775</f>
        <v/>
      </c>
      <c r="E786" s="30">
        <f>COUNTIF($C$23:$C$1022,"&lt;"&amp;C786)+(COUNTIF($C$23:$C$1022,"="&amp;C786)+1)/2</f>
        <v/>
      </c>
    </row>
    <row r="787">
      <c r="B787" s="27">
        <f>'1 Data'!B776</f>
        <v/>
      </c>
      <c r="C787" s="47" t="n">
        <v>0.08040387</v>
      </c>
      <c r="D787" s="27">
        <f>'1 Data'!I776</f>
        <v/>
      </c>
      <c r="E787" s="30">
        <f>COUNTIF($C$23:$C$1022,"&lt;"&amp;C787)+(COUNTIF($C$23:$C$1022,"="&amp;C787)+1)/2</f>
        <v/>
      </c>
    </row>
    <row r="788">
      <c r="B788" s="27">
        <f>'1 Data'!B777</f>
        <v/>
      </c>
      <c r="C788" s="47" t="n">
        <v>0.42116848</v>
      </c>
      <c r="D788" s="27">
        <f>'1 Data'!I777</f>
        <v/>
      </c>
      <c r="E788" s="30">
        <f>COUNTIF($C$23:$C$1022,"&lt;"&amp;C788)+(COUNTIF($C$23:$C$1022,"="&amp;C788)+1)/2</f>
        <v/>
      </c>
    </row>
    <row r="789">
      <c r="B789" s="27">
        <f>'1 Data'!B778</f>
        <v/>
      </c>
      <c r="C789" s="47" t="n">
        <v>0.4213568</v>
      </c>
      <c r="D789" s="27">
        <f>'1 Data'!I778</f>
        <v/>
      </c>
      <c r="E789" s="30">
        <f>COUNTIF($C$23:$C$1022,"&lt;"&amp;C789)+(COUNTIF($C$23:$C$1022,"="&amp;C789)+1)/2</f>
        <v/>
      </c>
    </row>
    <row r="790">
      <c r="B790" s="27">
        <f>'1 Data'!B779</f>
        <v/>
      </c>
      <c r="C790" s="47" t="n">
        <v>0.033246413</v>
      </c>
      <c r="D790" s="27">
        <f>'1 Data'!I779</f>
        <v/>
      </c>
      <c r="E790" s="30">
        <f>COUNTIF($C$23:$C$1022,"&lt;"&amp;C790)+(COUNTIF($C$23:$C$1022,"="&amp;C790)+1)/2</f>
        <v/>
      </c>
    </row>
    <row r="791">
      <c r="B791" s="27">
        <f>'1 Data'!B780</f>
        <v/>
      </c>
      <c r="C791" s="47" t="n">
        <v>0.24453694</v>
      </c>
      <c r="D791" s="27">
        <f>'1 Data'!I780</f>
        <v/>
      </c>
      <c r="E791" s="30">
        <f>COUNTIF($C$23:$C$1022,"&lt;"&amp;C791)+(COUNTIF($C$23:$C$1022,"="&amp;C791)+1)/2</f>
        <v/>
      </c>
    </row>
    <row r="792">
      <c r="B792" s="27">
        <f>'1 Data'!B781</f>
        <v/>
      </c>
      <c r="C792" s="47" t="n">
        <v>0.043849625</v>
      </c>
      <c r="D792" s="27">
        <f>'1 Data'!I781</f>
        <v/>
      </c>
      <c r="E792" s="30">
        <f>COUNTIF($C$23:$C$1022,"&lt;"&amp;C792)+(COUNTIF($C$23:$C$1022,"="&amp;C792)+1)/2</f>
        <v/>
      </c>
    </row>
    <row r="793">
      <c r="B793" s="27">
        <f>'1 Data'!B782</f>
        <v/>
      </c>
      <c r="C793" s="47" t="n">
        <v>0.10698018</v>
      </c>
      <c r="D793" s="27">
        <f>'1 Data'!I782</f>
        <v/>
      </c>
      <c r="E793" s="30">
        <f>COUNTIF($C$23:$C$1022,"&lt;"&amp;C793)+(COUNTIF($C$23:$C$1022,"="&amp;C793)+1)/2</f>
        <v/>
      </c>
    </row>
    <row r="794">
      <c r="B794" s="27">
        <f>'1 Data'!B783</f>
        <v/>
      </c>
      <c r="C794" s="47" t="n">
        <v>0.23445189</v>
      </c>
      <c r="D794" s="27">
        <f>'1 Data'!I783</f>
        <v/>
      </c>
      <c r="E794" s="30">
        <f>COUNTIF($C$23:$C$1022,"&lt;"&amp;C794)+(COUNTIF($C$23:$C$1022,"="&amp;C794)+1)/2</f>
        <v/>
      </c>
    </row>
    <row r="795">
      <c r="B795" s="27">
        <f>'1 Data'!B784</f>
        <v/>
      </c>
      <c r="C795" s="47" t="n">
        <v>0.17401887</v>
      </c>
      <c r="D795" s="27">
        <f>'1 Data'!I784</f>
        <v/>
      </c>
      <c r="E795" s="30">
        <f>COUNTIF($C$23:$C$1022,"&lt;"&amp;C795)+(COUNTIF($C$23:$C$1022,"="&amp;C795)+1)/2</f>
        <v/>
      </c>
    </row>
    <row r="796">
      <c r="B796" s="27">
        <f>'1 Data'!B785</f>
        <v/>
      </c>
      <c r="C796" s="47" t="n">
        <v>0.097913004</v>
      </c>
      <c r="D796" s="27">
        <f>'1 Data'!I785</f>
        <v/>
      </c>
      <c r="E796" s="30">
        <f>COUNTIF($C$23:$C$1022,"&lt;"&amp;C796)+(COUNTIF($C$23:$C$1022,"="&amp;C796)+1)/2</f>
        <v/>
      </c>
    </row>
    <row r="797">
      <c r="B797" s="27">
        <f>'1 Data'!B786</f>
        <v/>
      </c>
      <c r="C797" s="47" t="n">
        <v>0.08083893</v>
      </c>
      <c r="D797" s="27">
        <f>'1 Data'!I786</f>
        <v/>
      </c>
      <c r="E797" s="30">
        <f>COUNTIF($C$23:$C$1022,"&lt;"&amp;C797)+(COUNTIF($C$23:$C$1022,"="&amp;C797)+1)/2</f>
        <v/>
      </c>
    </row>
    <row r="798">
      <c r="B798" s="27">
        <f>'1 Data'!B787</f>
        <v/>
      </c>
      <c r="C798" s="47" t="n">
        <v>0.10056569</v>
      </c>
      <c r="D798" s="27">
        <f>'1 Data'!I787</f>
        <v/>
      </c>
      <c r="E798" s="30">
        <f>COUNTIF($C$23:$C$1022,"&lt;"&amp;C798)+(COUNTIF($C$23:$C$1022,"="&amp;C798)+1)/2</f>
        <v/>
      </c>
    </row>
    <row r="799">
      <c r="B799" s="27">
        <f>'1 Data'!B788</f>
        <v/>
      </c>
      <c r="C799" s="47" t="n">
        <v>0.34039935</v>
      </c>
      <c r="D799" s="27">
        <f>'1 Data'!I788</f>
        <v/>
      </c>
      <c r="E799" s="30">
        <f>COUNTIF($C$23:$C$1022,"&lt;"&amp;C799)+(COUNTIF($C$23:$C$1022,"="&amp;C799)+1)/2</f>
        <v/>
      </c>
    </row>
    <row r="800">
      <c r="B800" s="27">
        <f>'1 Data'!B789</f>
        <v/>
      </c>
      <c r="C800" s="47" t="n">
        <v>0.71019745</v>
      </c>
      <c r="D800" s="27">
        <f>'1 Data'!I789</f>
        <v/>
      </c>
      <c r="E800" s="30">
        <f>COUNTIF($C$23:$C$1022,"&lt;"&amp;C800)+(COUNTIF($C$23:$C$1022,"="&amp;C800)+1)/2</f>
        <v/>
      </c>
    </row>
    <row r="801">
      <c r="B801" s="27">
        <f>'1 Data'!B790</f>
        <v/>
      </c>
      <c r="C801" s="47" t="n">
        <v>0.7191074</v>
      </c>
      <c r="D801" s="27">
        <f>'1 Data'!I790</f>
        <v/>
      </c>
      <c r="E801" s="30">
        <f>COUNTIF($C$23:$C$1022,"&lt;"&amp;C801)+(COUNTIF($C$23:$C$1022,"="&amp;C801)+1)/2</f>
        <v/>
      </c>
    </row>
    <row r="802">
      <c r="B802" s="27">
        <f>'1 Data'!B791</f>
        <v/>
      </c>
      <c r="C802" s="47" t="n">
        <v>0.67085874</v>
      </c>
      <c r="D802" s="27">
        <f>'1 Data'!I791</f>
        <v/>
      </c>
      <c r="E802" s="30">
        <f>COUNTIF($C$23:$C$1022,"&lt;"&amp;C802)+(COUNTIF($C$23:$C$1022,"="&amp;C802)+1)/2</f>
        <v/>
      </c>
    </row>
    <row r="803">
      <c r="B803" s="27">
        <f>'1 Data'!B792</f>
        <v/>
      </c>
      <c r="C803" s="47" t="n">
        <v>0.1877784</v>
      </c>
      <c r="D803" s="27">
        <f>'1 Data'!I792</f>
        <v/>
      </c>
      <c r="E803" s="30">
        <f>COUNTIF($C$23:$C$1022,"&lt;"&amp;C803)+(COUNTIF($C$23:$C$1022,"="&amp;C803)+1)/2</f>
        <v/>
      </c>
    </row>
    <row r="804">
      <c r="B804" s="27">
        <f>'1 Data'!B793</f>
        <v/>
      </c>
      <c r="C804" s="47" t="n">
        <v>0.09109007600000001</v>
      </c>
      <c r="D804" s="27">
        <f>'1 Data'!I793</f>
        <v/>
      </c>
      <c r="E804" s="30">
        <f>COUNTIF($C$23:$C$1022,"&lt;"&amp;C804)+(COUNTIF($C$23:$C$1022,"="&amp;C804)+1)/2</f>
        <v/>
      </c>
    </row>
    <row r="805">
      <c r="B805" s="27">
        <f>'1 Data'!B794</f>
        <v/>
      </c>
      <c r="C805" s="47" t="n">
        <v>0.37948194</v>
      </c>
      <c r="D805" s="27">
        <f>'1 Data'!I794</f>
        <v/>
      </c>
      <c r="E805" s="30">
        <f>COUNTIF($C$23:$C$1022,"&lt;"&amp;C805)+(COUNTIF($C$23:$C$1022,"="&amp;C805)+1)/2</f>
        <v/>
      </c>
    </row>
    <row r="806">
      <c r="B806" s="27">
        <f>'1 Data'!B795</f>
        <v/>
      </c>
      <c r="C806" s="47" t="n">
        <v>0.37866077</v>
      </c>
      <c r="D806" s="27">
        <f>'1 Data'!I795</f>
        <v/>
      </c>
      <c r="E806" s="30">
        <f>COUNTIF($C$23:$C$1022,"&lt;"&amp;C806)+(COUNTIF($C$23:$C$1022,"="&amp;C806)+1)/2</f>
        <v/>
      </c>
    </row>
    <row r="807">
      <c r="B807" s="27">
        <f>'1 Data'!B796</f>
        <v/>
      </c>
      <c r="C807" s="47" t="n">
        <v>0.15991627</v>
      </c>
      <c r="D807" s="27">
        <f>'1 Data'!I796</f>
        <v/>
      </c>
      <c r="E807" s="30">
        <f>COUNTIF($C$23:$C$1022,"&lt;"&amp;C807)+(COUNTIF($C$23:$C$1022,"="&amp;C807)+1)/2</f>
        <v/>
      </c>
    </row>
    <row r="808">
      <c r="B808" s="27">
        <f>'1 Data'!B797</f>
        <v/>
      </c>
      <c r="C808" s="47" t="n">
        <v>0.18871817</v>
      </c>
      <c r="D808" s="27">
        <f>'1 Data'!I797</f>
        <v/>
      </c>
      <c r="E808" s="30">
        <f>COUNTIF($C$23:$C$1022,"&lt;"&amp;C808)+(COUNTIF($C$23:$C$1022,"="&amp;C808)+1)/2</f>
        <v/>
      </c>
    </row>
    <row r="809">
      <c r="B809" s="27">
        <f>'1 Data'!B798</f>
        <v/>
      </c>
      <c r="C809" s="47" t="n">
        <v>0.15038905</v>
      </c>
      <c r="D809" s="27">
        <f>'1 Data'!I798</f>
        <v/>
      </c>
      <c r="E809" s="30">
        <f>COUNTIF($C$23:$C$1022,"&lt;"&amp;C809)+(COUNTIF($C$23:$C$1022,"="&amp;C809)+1)/2</f>
        <v/>
      </c>
    </row>
    <row r="810">
      <c r="B810" s="27">
        <f>'1 Data'!B799</f>
        <v/>
      </c>
      <c r="C810" s="47" t="n">
        <v>0.12133535</v>
      </c>
      <c r="D810" s="27">
        <f>'1 Data'!I799</f>
        <v/>
      </c>
      <c r="E810" s="30">
        <f>COUNTIF($C$23:$C$1022,"&lt;"&amp;C810)+(COUNTIF($C$23:$C$1022,"="&amp;C810)+1)/2</f>
        <v/>
      </c>
    </row>
    <row r="811">
      <c r="B811" s="27">
        <f>'1 Data'!B800</f>
        <v/>
      </c>
      <c r="C811" s="47" t="n">
        <v>0.09502687</v>
      </c>
      <c r="D811" s="27">
        <f>'1 Data'!I800</f>
        <v/>
      </c>
      <c r="E811" s="30">
        <f>COUNTIF($C$23:$C$1022,"&lt;"&amp;C811)+(COUNTIF($C$23:$C$1022,"="&amp;C811)+1)/2</f>
        <v/>
      </c>
    </row>
    <row r="812">
      <c r="B812" s="27">
        <f>'1 Data'!B801</f>
        <v/>
      </c>
      <c r="C812" s="47" t="n">
        <v>0.22105898</v>
      </c>
      <c r="D812" s="27">
        <f>'1 Data'!I801</f>
        <v/>
      </c>
      <c r="E812" s="30">
        <f>COUNTIF($C$23:$C$1022,"&lt;"&amp;C812)+(COUNTIF($C$23:$C$1022,"="&amp;C812)+1)/2</f>
        <v/>
      </c>
    </row>
    <row r="813">
      <c r="B813" s="27">
        <f>'1 Data'!B802</f>
        <v/>
      </c>
      <c r="C813" s="47" t="n">
        <v>0.1785239</v>
      </c>
      <c r="D813" s="27">
        <f>'1 Data'!I802</f>
        <v/>
      </c>
      <c r="E813" s="30">
        <f>COUNTIF($C$23:$C$1022,"&lt;"&amp;C813)+(COUNTIF($C$23:$C$1022,"="&amp;C813)+1)/2</f>
        <v/>
      </c>
    </row>
    <row r="814">
      <c r="B814" s="27">
        <f>'1 Data'!B803</f>
        <v/>
      </c>
      <c r="C814" s="47" t="n">
        <v>0.7797353</v>
      </c>
      <c r="D814" s="27">
        <f>'1 Data'!I803</f>
        <v/>
      </c>
      <c r="E814" s="30">
        <f>COUNTIF($C$23:$C$1022,"&lt;"&amp;C814)+(COUNTIF($C$23:$C$1022,"="&amp;C814)+1)/2</f>
        <v/>
      </c>
    </row>
    <row r="815">
      <c r="B815" s="27">
        <f>'1 Data'!B804</f>
        <v/>
      </c>
      <c r="C815" s="47" t="n">
        <v>0.06754853600000001</v>
      </c>
      <c r="D815" s="27">
        <f>'1 Data'!I804</f>
        <v/>
      </c>
      <c r="E815" s="30">
        <f>COUNTIF($C$23:$C$1022,"&lt;"&amp;C815)+(COUNTIF($C$23:$C$1022,"="&amp;C815)+1)/2</f>
        <v/>
      </c>
    </row>
    <row r="816">
      <c r="B816" s="27">
        <f>'1 Data'!B805</f>
        <v/>
      </c>
      <c r="C816" s="47" t="n">
        <v>0.40448454</v>
      </c>
      <c r="D816" s="27">
        <f>'1 Data'!I805</f>
        <v/>
      </c>
      <c r="E816" s="30">
        <f>COUNTIF($C$23:$C$1022,"&lt;"&amp;C816)+(COUNTIF($C$23:$C$1022,"="&amp;C816)+1)/2</f>
        <v/>
      </c>
    </row>
    <row r="817">
      <c r="B817" s="27">
        <f>'1 Data'!B806</f>
        <v/>
      </c>
      <c r="C817" s="47" t="n">
        <v>0.11021005</v>
      </c>
      <c r="D817" s="27">
        <f>'1 Data'!I806</f>
        <v/>
      </c>
      <c r="E817" s="30">
        <f>COUNTIF($C$23:$C$1022,"&lt;"&amp;C817)+(COUNTIF($C$23:$C$1022,"="&amp;C817)+1)/2</f>
        <v/>
      </c>
    </row>
    <row r="818">
      <c r="B818" s="27">
        <f>'1 Data'!B807</f>
        <v/>
      </c>
      <c r="C818" s="47" t="n">
        <v>0.024223542</v>
      </c>
      <c r="D818" s="27">
        <f>'1 Data'!I807</f>
        <v/>
      </c>
      <c r="E818" s="30">
        <f>COUNTIF($C$23:$C$1022,"&lt;"&amp;C818)+(COUNTIF($C$23:$C$1022,"="&amp;C818)+1)/2</f>
        <v/>
      </c>
    </row>
    <row r="819">
      <c r="B819" s="27">
        <f>'1 Data'!B808</f>
        <v/>
      </c>
      <c r="C819" s="47" t="n">
        <v>0.39153376</v>
      </c>
      <c r="D819" s="27">
        <f>'1 Data'!I808</f>
        <v/>
      </c>
      <c r="E819" s="30">
        <f>COUNTIF($C$23:$C$1022,"&lt;"&amp;C819)+(COUNTIF($C$23:$C$1022,"="&amp;C819)+1)/2</f>
        <v/>
      </c>
    </row>
    <row r="820">
      <c r="B820" s="27">
        <f>'1 Data'!B809</f>
        <v/>
      </c>
      <c r="C820" s="47" t="n">
        <v>0.12785985</v>
      </c>
      <c r="D820" s="27">
        <f>'1 Data'!I809</f>
        <v/>
      </c>
      <c r="E820" s="30">
        <f>COUNTIF($C$23:$C$1022,"&lt;"&amp;C820)+(COUNTIF($C$23:$C$1022,"="&amp;C820)+1)/2</f>
        <v/>
      </c>
    </row>
    <row r="821">
      <c r="B821" s="27">
        <f>'1 Data'!B810</f>
        <v/>
      </c>
      <c r="C821" s="47" t="n">
        <v>0.03868486</v>
      </c>
      <c r="D821" s="27">
        <f>'1 Data'!I810</f>
        <v/>
      </c>
      <c r="E821" s="30">
        <f>COUNTIF($C$23:$C$1022,"&lt;"&amp;C821)+(COUNTIF($C$23:$C$1022,"="&amp;C821)+1)/2</f>
        <v/>
      </c>
    </row>
    <row r="822">
      <c r="B822" s="27">
        <f>'1 Data'!B811</f>
        <v/>
      </c>
      <c r="C822" s="47" t="n">
        <v>0.6789153999999999</v>
      </c>
      <c r="D822" s="27">
        <f>'1 Data'!I811</f>
        <v/>
      </c>
      <c r="E822" s="30">
        <f>COUNTIF($C$23:$C$1022,"&lt;"&amp;C822)+(COUNTIF($C$23:$C$1022,"="&amp;C822)+1)/2</f>
        <v/>
      </c>
    </row>
    <row r="823">
      <c r="B823" s="27">
        <f>'1 Data'!B812</f>
        <v/>
      </c>
      <c r="C823" s="47" t="n">
        <v>0.1144329</v>
      </c>
      <c r="D823" s="27">
        <f>'1 Data'!I812</f>
        <v/>
      </c>
      <c r="E823" s="30">
        <f>COUNTIF($C$23:$C$1022,"&lt;"&amp;C823)+(COUNTIF($C$23:$C$1022,"="&amp;C823)+1)/2</f>
        <v/>
      </c>
    </row>
    <row r="824">
      <c r="B824" s="27">
        <f>'1 Data'!B813</f>
        <v/>
      </c>
      <c r="C824" s="47" t="n">
        <v>0.78811604</v>
      </c>
      <c r="D824" s="27">
        <f>'1 Data'!I813</f>
        <v/>
      </c>
      <c r="E824" s="30">
        <f>COUNTIF($C$23:$C$1022,"&lt;"&amp;C824)+(COUNTIF($C$23:$C$1022,"="&amp;C824)+1)/2</f>
        <v/>
      </c>
    </row>
    <row r="825">
      <c r="B825" s="27">
        <f>'1 Data'!B814</f>
        <v/>
      </c>
      <c r="C825" s="47" t="n">
        <v>0.07226799</v>
      </c>
      <c r="D825" s="27">
        <f>'1 Data'!I814</f>
        <v/>
      </c>
      <c r="E825" s="30">
        <f>COUNTIF($C$23:$C$1022,"&lt;"&amp;C825)+(COUNTIF($C$23:$C$1022,"="&amp;C825)+1)/2</f>
        <v/>
      </c>
    </row>
    <row r="826">
      <c r="B826" s="27">
        <f>'1 Data'!B815</f>
        <v/>
      </c>
      <c r="C826" s="47" t="n">
        <v>0.12578207</v>
      </c>
      <c r="D826" s="27">
        <f>'1 Data'!I815</f>
        <v/>
      </c>
      <c r="E826" s="30">
        <f>COUNTIF($C$23:$C$1022,"&lt;"&amp;C826)+(COUNTIF($C$23:$C$1022,"="&amp;C826)+1)/2</f>
        <v/>
      </c>
    </row>
    <row r="827">
      <c r="B827" s="27">
        <f>'1 Data'!B816</f>
        <v/>
      </c>
      <c r="C827" s="47" t="n">
        <v>0.13521239</v>
      </c>
      <c r="D827" s="27">
        <f>'1 Data'!I816</f>
        <v/>
      </c>
      <c r="E827" s="30">
        <f>COUNTIF($C$23:$C$1022,"&lt;"&amp;C827)+(COUNTIF($C$23:$C$1022,"="&amp;C827)+1)/2</f>
        <v/>
      </c>
    </row>
    <row r="828">
      <c r="B828" s="27">
        <f>'1 Data'!B817</f>
        <v/>
      </c>
      <c r="C828" s="47" t="n">
        <v>0.07821846</v>
      </c>
      <c r="D828" s="27">
        <f>'1 Data'!I817</f>
        <v/>
      </c>
      <c r="E828" s="30">
        <f>COUNTIF($C$23:$C$1022,"&lt;"&amp;C828)+(COUNTIF($C$23:$C$1022,"="&amp;C828)+1)/2</f>
        <v/>
      </c>
    </row>
    <row r="829">
      <c r="B829" s="27">
        <f>'1 Data'!B818</f>
        <v/>
      </c>
      <c r="C829" s="47" t="n">
        <v>0.13043137</v>
      </c>
      <c r="D829" s="27">
        <f>'1 Data'!I818</f>
        <v/>
      </c>
      <c r="E829" s="30">
        <f>COUNTIF($C$23:$C$1022,"&lt;"&amp;C829)+(COUNTIF($C$23:$C$1022,"="&amp;C829)+1)/2</f>
        <v/>
      </c>
    </row>
    <row r="830">
      <c r="B830" s="27">
        <f>'1 Data'!B819</f>
        <v/>
      </c>
      <c r="C830" s="47" t="n">
        <v>0.6618547</v>
      </c>
      <c r="D830" s="27">
        <f>'1 Data'!I819</f>
        <v/>
      </c>
      <c r="E830" s="30">
        <f>COUNTIF($C$23:$C$1022,"&lt;"&amp;C830)+(COUNTIF($C$23:$C$1022,"="&amp;C830)+1)/2</f>
        <v/>
      </c>
    </row>
    <row r="831">
      <c r="B831" s="27">
        <f>'1 Data'!B820</f>
        <v/>
      </c>
      <c r="C831" s="47" t="n">
        <v>0.16878583</v>
      </c>
      <c r="D831" s="27">
        <f>'1 Data'!I820</f>
        <v/>
      </c>
      <c r="E831" s="30">
        <f>COUNTIF($C$23:$C$1022,"&lt;"&amp;C831)+(COUNTIF($C$23:$C$1022,"="&amp;C831)+1)/2</f>
        <v/>
      </c>
    </row>
    <row r="832">
      <c r="B832" s="27">
        <f>'1 Data'!B821</f>
        <v/>
      </c>
      <c r="C832" s="47" t="n">
        <v>0.23111522</v>
      </c>
      <c r="D832" s="27">
        <f>'1 Data'!I821</f>
        <v/>
      </c>
      <c r="E832" s="30">
        <f>COUNTIF($C$23:$C$1022,"&lt;"&amp;C832)+(COUNTIF($C$23:$C$1022,"="&amp;C832)+1)/2</f>
        <v/>
      </c>
    </row>
    <row r="833">
      <c r="B833" s="27">
        <f>'1 Data'!B822</f>
        <v/>
      </c>
      <c r="C833" s="47" t="n">
        <v>0.19267096</v>
      </c>
      <c r="D833" s="27">
        <f>'1 Data'!I822</f>
        <v/>
      </c>
      <c r="E833" s="30">
        <f>COUNTIF($C$23:$C$1022,"&lt;"&amp;C833)+(COUNTIF($C$23:$C$1022,"="&amp;C833)+1)/2</f>
        <v/>
      </c>
    </row>
    <row r="834">
      <c r="B834" s="27">
        <f>'1 Data'!B823</f>
        <v/>
      </c>
      <c r="C834" s="47" t="n">
        <v>0.35990196</v>
      </c>
      <c r="D834" s="27">
        <f>'1 Data'!I823</f>
        <v/>
      </c>
      <c r="E834" s="30">
        <f>COUNTIF($C$23:$C$1022,"&lt;"&amp;C834)+(COUNTIF($C$23:$C$1022,"="&amp;C834)+1)/2</f>
        <v/>
      </c>
    </row>
    <row r="835">
      <c r="B835" s="27">
        <f>'1 Data'!B824</f>
        <v/>
      </c>
      <c r="C835" s="47" t="n">
        <v>0.7355162</v>
      </c>
      <c r="D835" s="27">
        <f>'1 Data'!I824</f>
        <v/>
      </c>
      <c r="E835" s="30">
        <f>COUNTIF($C$23:$C$1022,"&lt;"&amp;C835)+(COUNTIF($C$23:$C$1022,"="&amp;C835)+1)/2</f>
        <v/>
      </c>
    </row>
    <row r="836">
      <c r="B836" s="27">
        <f>'1 Data'!B825</f>
        <v/>
      </c>
      <c r="C836" s="47" t="n">
        <v>0.11597242</v>
      </c>
      <c r="D836" s="27">
        <f>'1 Data'!I825</f>
        <v/>
      </c>
      <c r="E836" s="30">
        <f>COUNTIF($C$23:$C$1022,"&lt;"&amp;C836)+(COUNTIF($C$23:$C$1022,"="&amp;C836)+1)/2</f>
        <v/>
      </c>
    </row>
    <row r="837">
      <c r="B837" s="27">
        <f>'1 Data'!B826</f>
        <v/>
      </c>
      <c r="C837" s="47" t="n">
        <v>0.045497604</v>
      </c>
      <c r="D837" s="27">
        <f>'1 Data'!I826</f>
        <v/>
      </c>
      <c r="E837" s="30">
        <f>COUNTIF($C$23:$C$1022,"&lt;"&amp;C837)+(COUNTIF($C$23:$C$1022,"="&amp;C837)+1)/2</f>
        <v/>
      </c>
    </row>
    <row r="838">
      <c r="B838" s="27">
        <f>'1 Data'!B827</f>
        <v/>
      </c>
      <c r="C838" s="47" t="n">
        <v>0.092981994</v>
      </c>
      <c r="D838" s="27">
        <f>'1 Data'!I827</f>
        <v/>
      </c>
      <c r="E838" s="30">
        <f>COUNTIF($C$23:$C$1022,"&lt;"&amp;C838)+(COUNTIF($C$23:$C$1022,"="&amp;C838)+1)/2</f>
        <v/>
      </c>
    </row>
    <row r="839">
      <c r="B839" s="27">
        <f>'1 Data'!B828</f>
        <v/>
      </c>
      <c r="C839" s="47" t="n">
        <v>0.55901796</v>
      </c>
      <c r="D839" s="27">
        <f>'1 Data'!I828</f>
        <v/>
      </c>
      <c r="E839" s="30">
        <f>COUNTIF($C$23:$C$1022,"&lt;"&amp;C839)+(COUNTIF($C$23:$C$1022,"="&amp;C839)+1)/2</f>
        <v/>
      </c>
    </row>
    <row r="840">
      <c r="B840" s="27">
        <f>'1 Data'!B829</f>
        <v/>
      </c>
      <c r="C840" s="47" t="n">
        <v>0.07394826</v>
      </c>
      <c r="D840" s="27">
        <f>'1 Data'!I829</f>
        <v/>
      </c>
      <c r="E840" s="30">
        <f>COUNTIF($C$23:$C$1022,"&lt;"&amp;C840)+(COUNTIF($C$23:$C$1022,"="&amp;C840)+1)/2</f>
        <v/>
      </c>
    </row>
    <row r="841">
      <c r="B841" s="27">
        <f>'1 Data'!B830</f>
        <v/>
      </c>
      <c r="C841" s="47" t="n">
        <v>0.37571386</v>
      </c>
      <c r="D841" s="27">
        <f>'1 Data'!I830</f>
        <v/>
      </c>
      <c r="E841" s="30">
        <f>COUNTIF($C$23:$C$1022,"&lt;"&amp;C841)+(COUNTIF($C$23:$C$1022,"="&amp;C841)+1)/2</f>
        <v/>
      </c>
    </row>
    <row r="842">
      <c r="B842" s="27">
        <f>'1 Data'!B831</f>
        <v/>
      </c>
      <c r="C842" s="47" t="n">
        <v>0.12975739</v>
      </c>
      <c r="D842" s="27">
        <f>'1 Data'!I831</f>
        <v/>
      </c>
      <c r="E842" s="30">
        <f>COUNTIF($C$23:$C$1022,"&lt;"&amp;C842)+(COUNTIF($C$23:$C$1022,"="&amp;C842)+1)/2</f>
        <v/>
      </c>
    </row>
    <row r="843">
      <c r="B843" s="27">
        <f>'1 Data'!B832</f>
        <v/>
      </c>
      <c r="C843" s="47" t="n">
        <v>0.6730926</v>
      </c>
      <c r="D843" s="27">
        <f>'1 Data'!I832</f>
        <v/>
      </c>
      <c r="E843" s="30">
        <f>COUNTIF($C$23:$C$1022,"&lt;"&amp;C843)+(COUNTIF($C$23:$C$1022,"="&amp;C843)+1)/2</f>
        <v/>
      </c>
    </row>
    <row r="844">
      <c r="B844" s="27">
        <f>'1 Data'!B833</f>
        <v/>
      </c>
      <c r="C844" s="47" t="n">
        <v>0.2082473</v>
      </c>
      <c r="D844" s="27">
        <f>'1 Data'!I833</f>
        <v/>
      </c>
      <c r="E844" s="30">
        <f>COUNTIF($C$23:$C$1022,"&lt;"&amp;C844)+(COUNTIF($C$23:$C$1022,"="&amp;C844)+1)/2</f>
        <v/>
      </c>
    </row>
    <row r="845">
      <c r="B845" s="27">
        <f>'1 Data'!B834</f>
        <v/>
      </c>
      <c r="C845" s="47" t="n">
        <v>0.0995283</v>
      </c>
      <c r="D845" s="27">
        <f>'1 Data'!I834</f>
        <v/>
      </c>
      <c r="E845" s="30">
        <f>COUNTIF($C$23:$C$1022,"&lt;"&amp;C845)+(COUNTIF($C$23:$C$1022,"="&amp;C845)+1)/2</f>
        <v/>
      </c>
    </row>
    <row r="846">
      <c r="B846" s="27">
        <f>'1 Data'!B835</f>
        <v/>
      </c>
      <c r="C846" s="47" t="n">
        <v>0.5629729</v>
      </c>
      <c r="D846" s="27">
        <f>'1 Data'!I835</f>
        <v/>
      </c>
      <c r="E846" s="30">
        <f>COUNTIF($C$23:$C$1022,"&lt;"&amp;C846)+(COUNTIF($C$23:$C$1022,"="&amp;C846)+1)/2</f>
        <v/>
      </c>
    </row>
    <row r="847">
      <c r="B847" s="27">
        <f>'1 Data'!B836</f>
        <v/>
      </c>
      <c r="C847" s="47" t="n">
        <v>0.117501184</v>
      </c>
      <c r="D847" s="27">
        <f>'1 Data'!I836</f>
        <v/>
      </c>
      <c r="E847" s="30">
        <f>COUNTIF($C$23:$C$1022,"&lt;"&amp;C847)+(COUNTIF($C$23:$C$1022,"="&amp;C847)+1)/2</f>
        <v/>
      </c>
    </row>
    <row r="848">
      <c r="B848" s="27">
        <f>'1 Data'!B837</f>
        <v/>
      </c>
      <c r="C848" s="47" t="n">
        <v>0.18681788</v>
      </c>
      <c r="D848" s="27">
        <f>'1 Data'!I837</f>
        <v/>
      </c>
      <c r="E848" s="30">
        <f>COUNTIF($C$23:$C$1022,"&lt;"&amp;C848)+(COUNTIF($C$23:$C$1022,"="&amp;C848)+1)/2</f>
        <v/>
      </c>
    </row>
    <row r="849">
      <c r="B849" s="27">
        <f>'1 Data'!B838</f>
        <v/>
      </c>
      <c r="C849" s="47" t="n">
        <v>0.72719294</v>
      </c>
      <c r="D849" s="27">
        <f>'1 Data'!I838</f>
        <v/>
      </c>
      <c r="E849" s="30">
        <f>COUNTIF($C$23:$C$1022,"&lt;"&amp;C849)+(COUNTIF($C$23:$C$1022,"="&amp;C849)+1)/2</f>
        <v/>
      </c>
    </row>
    <row r="850">
      <c r="B850" s="27">
        <f>'1 Data'!B839</f>
        <v/>
      </c>
      <c r="C850" s="47" t="n">
        <v>0.1742621</v>
      </c>
      <c r="D850" s="27">
        <f>'1 Data'!I839</f>
        <v/>
      </c>
      <c r="E850" s="30">
        <f>COUNTIF($C$23:$C$1022,"&lt;"&amp;C850)+(COUNTIF($C$23:$C$1022,"="&amp;C850)+1)/2</f>
        <v/>
      </c>
    </row>
    <row r="851">
      <c r="B851" s="27">
        <f>'1 Data'!B840</f>
        <v/>
      </c>
      <c r="C851" s="47" t="n">
        <v>0.17462505</v>
      </c>
      <c r="D851" s="27">
        <f>'1 Data'!I840</f>
        <v/>
      </c>
      <c r="E851" s="30">
        <f>COUNTIF($C$23:$C$1022,"&lt;"&amp;C851)+(COUNTIF($C$23:$C$1022,"="&amp;C851)+1)/2</f>
        <v/>
      </c>
    </row>
    <row r="852">
      <c r="B852" s="27">
        <f>'1 Data'!B841</f>
        <v/>
      </c>
      <c r="C852" s="47" t="n">
        <v>0.12802702</v>
      </c>
      <c r="D852" s="27">
        <f>'1 Data'!I841</f>
        <v/>
      </c>
      <c r="E852" s="30">
        <f>COUNTIF($C$23:$C$1022,"&lt;"&amp;C852)+(COUNTIF($C$23:$C$1022,"="&amp;C852)+1)/2</f>
        <v/>
      </c>
    </row>
    <row r="853">
      <c r="B853" s="27">
        <f>'1 Data'!B842</f>
        <v/>
      </c>
      <c r="C853" s="47" t="n">
        <v>0.11000756</v>
      </c>
      <c r="D853" s="27">
        <f>'1 Data'!I842</f>
        <v/>
      </c>
      <c r="E853" s="30">
        <f>COUNTIF($C$23:$C$1022,"&lt;"&amp;C853)+(COUNTIF($C$23:$C$1022,"="&amp;C853)+1)/2</f>
        <v/>
      </c>
    </row>
    <row r="854">
      <c r="B854" s="27">
        <f>'1 Data'!B843</f>
        <v/>
      </c>
      <c r="C854" s="47" t="n">
        <v>0.70341957</v>
      </c>
      <c r="D854" s="27">
        <f>'1 Data'!I843</f>
        <v/>
      </c>
      <c r="E854" s="30">
        <f>COUNTIF($C$23:$C$1022,"&lt;"&amp;C854)+(COUNTIF($C$23:$C$1022,"="&amp;C854)+1)/2</f>
        <v/>
      </c>
    </row>
    <row r="855">
      <c r="B855" s="27">
        <f>'1 Data'!B844</f>
        <v/>
      </c>
      <c r="C855" s="47" t="n">
        <v>0.14972539</v>
      </c>
      <c r="D855" s="27">
        <f>'1 Data'!I844</f>
        <v/>
      </c>
      <c r="E855" s="30">
        <f>COUNTIF($C$23:$C$1022,"&lt;"&amp;C855)+(COUNTIF($C$23:$C$1022,"="&amp;C855)+1)/2</f>
        <v/>
      </c>
    </row>
    <row r="856">
      <c r="B856" s="27">
        <f>'1 Data'!B845</f>
        <v/>
      </c>
      <c r="C856" s="47" t="n">
        <v>0.056472003</v>
      </c>
      <c r="D856" s="27">
        <f>'1 Data'!I845</f>
        <v/>
      </c>
      <c r="E856" s="30">
        <f>COUNTIF($C$23:$C$1022,"&lt;"&amp;C856)+(COUNTIF($C$23:$C$1022,"="&amp;C856)+1)/2</f>
        <v/>
      </c>
    </row>
    <row r="857">
      <c r="B857" s="27">
        <f>'1 Data'!B846</f>
        <v/>
      </c>
      <c r="C857" s="47" t="n">
        <v>0.042817857</v>
      </c>
      <c r="D857" s="27">
        <f>'1 Data'!I846</f>
        <v/>
      </c>
      <c r="E857" s="30">
        <f>COUNTIF($C$23:$C$1022,"&lt;"&amp;C857)+(COUNTIF($C$23:$C$1022,"="&amp;C857)+1)/2</f>
        <v/>
      </c>
    </row>
    <row r="858">
      <c r="B858" s="27">
        <f>'1 Data'!B847</f>
        <v/>
      </c>
      <c r="C858" s="47" t="n">
        <v>0.05202049</v>
      </c>
      <c r="D858" s="27">
        <f>'1 Data'!I847</f>
        <v/>
      </c>
      <c r="E858" s="30">
        <f>COUNTIF($C$23:$C$1022,"&lt;"&amp;C858)+(COUNTIF($C$23:$C$1022,"="&amp;C858)+1)/2</f>
        <v/>
      </c>
    </row>
    <row r="859">
      <c r="B859" s="27">
        <f>'1 Data'!B848</f>
        <v/>
      </c>
      <c r="C859" s="47" t="n">
        <v>0.21811248</v>
      </c>
      <c r="D859" s="27">
        <f>'1 Data'!I848</f>
        <v/>
      </c>
      <c r="E859" s="30">
        <f>COUNTIF($C$23:$C$1022,"&lt;"&amp;C859)+(COUNTIF($C$23:$C$1022,"="&amp;C859)+1)/2</f>
        <v/>
      </c>
    </row>
    <row r="860">
      <c r="B860" s="27">
        <f>'1 Data'!B849</f>
        <v/>
      </c>
      <c r="C860" s="47" t="n">
        <v>0.18766443</v>
      </c>
      <c r="D860" s="27">
        <f>'1 Data'!I849</f>
        <v/>
      </c>
      <c r="E860" s="30">
        <f>COUNTIF($C$23:$C$1022,"&lt;"&amp;C860)+(COUNTIF($C$23:$C$1022,"="&amp;C860)+1)/2</f>
        <v/>
      </c>
    </row>
    <row r="861">
      <c r="B861" s="27">
        <f>'1 Data'!B850</f>
        <v/>
      </c>
      <c r="C861" s="47" t="n">
        <v>0.14683889</v>
      </c>
      <c r="D861" s="27">
        <f>'1 Data'!I850</f>
        <v/>
      </c>
      <c r="E861" s="30">
        <f>COUNTIF($C$23:$C$1022,"&lt;"&amp;C861)+(COUNTIF($C$23:$C$1022,"="&amp;C861)+1)/2</f>
        <v/>
      </c>
    </row>
    <row r="862">
      <c r="B862" s="27">
        <f>'1 Data'!B851</f>
        <v/>
      </c>
      <c r="C862" s="47" t="n">
        <v>0.7317472</v>
      </c>
      <c r="D862" s="27">
        <f>'1 Data'!I851</f>
        <v/>
      </c>
      <c r="E862" s="30">
        <f>COUNTIF($C$23:$C$1022,"&lt;"&amp;C862)+(COUNTIF($C$23:$C$1022,"="&amp;C862)+1)/2</f>
        <v/>
      </c>
    </row>
    <row r="863">
      <c r="B863" s="27">
        <f>'1 Data'!B852</f>
        <v/>
      </c>
      <c r="C863" s="47" t="n">
        <v>0.12790164</v>
      </c>
      <c r="D863" s="27">
        <f>'1 Data'!I852</f>
        <v/>
      </c>
      <c r="E863" s="30">
        <f>COUNTIF($C$23:$C$1022,"&lt;"&amp;C863)+(COUNTIF($C$23:$C$1022,"="&amp;C863)+1)/2</f>
        <v/>
      </c>
    </row>
    <row r="864">
      <c r="B864" s="27">
        <f>'1 Data'!B853</f>
        <v/>
      </c>
      <c r="C864" s="47" t="n">
        <v>0.1131501</v>
      </c>
      <c r="D864" s="27">
        <f>'1 Data'!I853</f>
        <v/>
      </c>
      <c r="E864" s="30">
        <f>COUNTIF($C$23:$C$1022,"&lt;"&amp;C864)+(COUNTIF($C$23:$C$1022,"="&amp;C864)+1)/2</f>
        <v/>
      </c>
    </row>
    <row r="865">
      <c r="B865" s="27">
        <f>'1 Data'!B854</f>
        <v/>
      </c>
      <c r="C865" s="47" t="n">
        <v>0.23704223</v>
      </c>
      <c r="D865" s="27">
        <f>'1 Data'!I854</f>
        <v/>
      </c>
      <c r="E865" s="30">
        <f>COUNTIF($C$23:$C$1022,"&lt;"&amp;C865)+(COUNTIF($C$23:$C$1022,"="&amp;C865)+1)/2</f>
        <v/>
      </c>
    </row>
    <row r="866">
      <c r="B866" s="27">
        <f>'1 Data'!B855</f>
        <v/>
      </c>
      <c r="C866" s="47" t="n">
        <v>0.5635694</v>
      </c>
      <c r="D866" s="27">
        <f>'1 Data'!I855</f>
        <v/>
      </c>
      <c r="E866" s="30">
        <f>COUNTIF($C$23:$C$1022,"&lt;"&amp;C866)+(COUNTIF($C$23:$C$1022,"="&amp;C866)+1)/2</f>
        <v/>
      </c>
    </row>
    <row r="867">
      <c r="B867" s="27">
        <f>'1 Data'!B856</f>
        <v/>
      </c>
      <c r="C867" s="47" t="n">
        <v>0.77575684</v>
      </c>
      <c r="D867" s="27">
        <f>'1 Data'!I856</f>
        <v/>
      </c>
      <c r="E867" s="30">
        <f>COUNTIF($C$23:$C$1022,"&lt;"&amp;C867)+(COUNTIF($C$23:$C$1022,"="&amp;C867)+1)/2</f>
        <v/>
      </c>
    </row>
    <row r="868">
      <c r="B868" s="27">
        <f>'1 Data'!B857</f>
        <v/>
      </c>
      <c r="C868" s="47" t="n">
        <v>0.05661802</v>
      </c>
      <c r="D868" s="27">
        <f>'1 Data'!I857</f>
        <v/>
      </c>
      <c r="E868" s="30">
        <f>COUNTIF($C$23:$C$1022,"&lt;"&amp;C868)+(COUNTIF($C$23:$C$1022,"="&amp;C868)+1)/2</f>
        <v/>
      </c>
    </row>
    <row r="869">
      <c r="B869" s="27">
        <f>'1 Data'!B858</f>
        <v/>
      </c>
      <c r="C869" s="47" t="n">
        <v>0.13718066</v>
      </c>
      <c r="D869" s="27">
        <f>'1 Data'!I858</f>
        <v/>
      </c>
      <c r="E869" s="30">
        <f>COUNTIF($C$23:$C$1022,"&lt;"&amp;C869)+(COUNTIF($C$23:$C$1022,"="&amp;C869)+1)/2</f>
        <v/>
      </c>
    </row>
    <row r="870">
      <c r="B870" s="27">
        <f>'1 Data'!B859</f>
        <v/>
      </c>
      <c r="C870" s="47" t="n">
        <v>0.33006608</v>
      </c>
      <c r="D870" s="27">
        <f>'1 Data'!I859</f>
        <v/>
      </c>
      <c r="E870" s="30">
        <f>COUNTIF($C$23:$C$1022,"&lt;"&amp;C870)+(COUNTIF($C$23:$C$1022,"="&amp;C870)+1)/2</f>
        <v/>
      </c>
    </row>
    <row r="871">
      <c r="B871" s="27">
        <f>'1 Data'!B860</f>
        <v/>
      </c>
      <c r="C871" s="47" t="n">
        <v>0.06154833</v>
      </c>
      <c r="D871" s="27">
        <f>'1 Data'!I860</f>
        <v/>
      </c>
      <c r="E871" s="30">
        <f>COUNTIF($C$23:$C$1022,"&lt;"&amp;C871)+(COUNTIF($C$23:$C$1022,"="&amp;C871)+1)/2</f>
        <v/>
      </c>
    </row>
    <row r="872">
      <c r="B872" s="27">
        <f>'1 Data'!B861</f>
        <v/>
      </c>
      <c r="C872" s="47" t="n">
        <v>0.10884365</v>
      </c>
      <c r="D872" s="27">
        <f>'1 Data'!I861</f>
        <v/>
      </c>
      <c r="E872" s="30">
        <f>COUNTIF($C$23:$C$1022,"&lt;"&amp;C872)+(COUNTIF($C$23:$C$1022,"="&amp;C872)+1)/2</f>
        <v/>
      </c>
    </row>
    <row r="873">
      <c r="B873" s="27">
        <f>'1 Data'!B862</f>
        <v/>
      </c>
      <c r="C873" s="47" t="n">
        <v>0.06059365</v>
      </c>
      <c r="D873" s="27">
        <f>'1 Data'!I862</f>
        <v/>
      </c>
      <c r="E873" s="30">
        <f>COUNTIF($C$23:$C$1022,"&lt;"&amp;C873)+(COUNTIF($C$23:$C$1022,"="&amp;C873)+1)/2</f>
        <v/>
      </c>
    </row>
    <row r="874">
      <c r="B874" s="27">
        <f>'1 Data'!B863</f>
        <v/>
      </c>
      <c r="C874" s="47" t="n">
        <v>0.1352358</v>
      </c>
      <c r="D874" s="27">
        <f>'1 Data'!I863</f>
        <v/>
      </c>
      <c r="E874" s="30">
        <f>COUNTIF($C$23:$C$1022,"&lt;"&amp;C874)+(COUNTIF($C$23:$C$1022,"="&amp;C874)+1)/2</f>
        <v/>
      </c>
    </row>
    <row r="875">
      <c r="B875" s="27">
        <f>'1 Data'!B864</f>
        <v/>
      </c>
      <c r="C875" s="47" t="n">
        <v>0.18521722</v>
      </c>
      <c r="D875" s="27">
        <f>'1 Data'!I864</f>
        <v/>
      </c>
      <c r="E875" s="30">
        <f>COUNTIF($C$23:$C$1022,"&lt;"&amp;C875)+(COUNTIF($C$23:$C$1022,"="&amp;C875)+1)/2</f>
        <v/>
      </c>
    </row>
    <row r="876">
      <c r="B876" s="27">
        <f>'1 Data'!B865</f>
        <v/>
      </c>
      <c r="C876" s="47" t="n">
        <v>0.26701757</v>
      </c>
      <c r="D876" s="27">
        <f>'1 Data'!I865</f>
        <v/>
      </c>
      <c r="E876" s="30">
        <f>COUNTIF($C$23:$C$1022,"&lt;"&amp;C876)+(COUNTIF($C$23:$C$1022,"="&amp;C876)+1)/2</f>
        <v/>
      </c>
    </row>
    <row r="877">
      <c r="B877" s="27">
        <f>'1 Data'!B866</f>
        <v/>
      </c>
      <c r="C877" s="47" t="n">
        <v>0.11390156</v>
      </c>
      <c r="D877" s="27">
        <f>'1 Data'!I866</f>
        <v/>
      </c>
      <c r="E877" s="30">
        <f>COUNTIF($C$23:$C$1022,"&lt;"&amp;C877)+(COUNTIF($C$23:$C$1022,"="&amp;C877)+1)/2</f>
        <v/>
      </c>
    </row>
    <row r="878">
      <c r="B878" s="27">
        <f>'1 Data'!B867</f>
        <v/>
      </c>
      <c r="C878" s="47" t="n">
        <v>0.18933505</v>
      </c>
      <c r="D878" s="27">
        <f>'1 Data'!I867</f>
        <v/>
      </c>
      <c r="E878" s="30">
        <f>COUNTIF($C$23:$C$1022,"&lt;"&amp;C878)+(COUNTIF($C$23:$C$1022,"="&amp;C878)+1)/2</f>
        <v/>
      </c>
    </row>
    <row r="879">
      <c r="B879" s="27">
        <f>'1 Data'!B868</f>
        <v/>
      </c>
      <c r="C879" s="47" t="n">
        <v>0.6618267</v>
      </c>
      <c r="D879" s="27">
        <f>'1 Data'!I868</f>
        <v/>
      </c>
      <c r="E879" s="30">
        <f>COUNTIF($C$23:$C$1022,"&lt;"&amp;C879)+(COUNTIF($C$23:$C$1022,"="&amp;C879)+1)/2</f>
        <v/>
      </c>
    </row>
    <row r="880">
      <c r="B880" s="27">
        <f>'1 Data'!B869</f>
        <v/>
      </c>
      <c r="C880" s="47" t="n">
        <v>0.05895872</v>
      </c>
      <c r="D880" s="27">
        <f>'1 Data'!I869</f>
        <v/>
      </c>
      <c r="E880" s="30">
        <f>COUNTIF($C$23:$C$1022,"&lt;"&amp;C880)+(COUNTIF($C$23:$C$1022,"="&amp;C880)+1)/2</f>
        <v/>
      </c>
    </row>
    <row r="881">
      <c r="B881" s="27">
        <f>'1 Data'!B870</f>
        <v/>
      </c>
      <c r="C881" s="47" t="n">
        <v>0.1609833</v>
      </c>
      <c r="D881" s="27">
        <f>'1 Data'!I870</f>
        <v/>
      </c>
      <c r="E881" s="30">
        <f>COUNTIF($C$23:$C$1022,"&lt;"&amp;C881)+(COUNTIF($C$23:$C$1022,"="&amp;C881)+1)/2</f>
        <v/>
      </c>
    </row>
    <row r="882">
      <c r="B882" s="27">
        <f>'1 Data'!B871</f>
        <v/>
      </c>
      <c r="C882" s="47" t="n">
        <v>0.07278473000000001</v>
      </c>
      <c r="D882" s="27">
        <f>'1 Data'!I871</f>
        <v/>
      </c>
      <c r="E882" s="30">
        <f>COUNTIF($C$23:$C$1022,"&lt;"&amp;C882)+(COUNTIF($C$23:$C$1022,"="&amp;C882)+1)/2</f>
        <v/>
      </c>
    </row>
    <row r="883">
      <c r="B883" s="27">
        <f>'1 Data'!B872</f>
        <v/>
      </c>
      <c r="C883" s="47" t="n">
        <v>0.20571399</v>
      </c>
      <c r="D883" s="27">
        <f>'1 Data'!I872</f>
        <v/>
      </c>
      <c r="E883" s="30">
        <f>COUNTIF($C$23:$C$1022,"&lt;"&amp;C883)+(COUNTIF($C$23:$C$1022,"="&amp;C883)+1)/2</f>
        <v/>
      </c>
    </row>
    <row r="884">
      <c r="B884" s="27">
        <f>'1 Data'!B873</f>
        <v/>
      </c>
      <c r="C884" s="47" t="n">
        <v>0.11125377</v>
      </c>
      <c r="D884" s="27">
        <f>'1 Data'!I873</f>
        <v/>
      </c>
      <c r="E884" s="30">
        <f>COUNTIF($C$23:$C$1022,"&lt;"&amp;C884)+(COUNTIF($C$23:$C$1022,"="&amp;C884)+1)/2</f>
        <v/>
      </c>
    </row>
    <row r="885">
      <c r="B885" s="27">
        <f>'1 Data'!B874</f>
        <v/>
      </c>
      <c r="C885" s="47" t="n">
        <v>0.15241274</v>
      </c>
      <c r="D885" s="27">
        <f>'1 Data'!I874</f>
        <v/>
      </c>
      <c r="E885" s="30">
        <f>COUNTIF($C$23:$C$1022,"&lt;"&amp;C885)+(COUNTIF($C$23:$C$1022,"="&amp;C885)+1)/2</f>
        <v/>
      </c>
    </row>
    <row r="886">
      <c r="B886" s="27">
        <f>'1 Data'!B875</f>
        <v/>
      </c>
      <c r="C886" s="47" t="n">
        <v>0.1887665</v>
      </c>
      <c r="D886" s="27">
        <f>'1 Data'!I875</f>
        <v/>
      </c>
      <c r="E886" s="30">
        <f>COUNTIF($C$23:$C$1022,"&lt;"&amp;C886)+(COUNTIF($C$23:$C$1022,"="&amp;C886)+1)/2</f>
        <v/>
      </c>
    </row>
    <row r="887">
      <c r="B887" s="27">
        <f>'1 Data'!B876</f>
        <v/>
      </c>
      <c r="C887" s="47" t="n">
        <v>0.37354803</v>
      </c>
      <c r="D887" s="27">
        <f>'1 Data'!I876</f>
        <v/>
      </c>
      <c r="E887" s="30">
        <f>COUNTIF($C$23:$C$1022,"&lt;"&amp;C887)+(COUNTIF($C$23:$C$1022,"="&amp;C887)+1)/2</f>
        <v/>
      </c>
    </row>
    <row r="888">
      <c r="B888" s="27">
        <f>'1 Data'!B877</f>
        <v/>
      </c>
      <c r="C888" s="47" t="n">
        <v>0.06334198000000001</v>
      </c>
      <c r="D888" s="27">
        <f>'1 Data'!I877</f>
        <v/>
      </c>
      <c r="E888" s="30">
        <f>COUNTIF($C$23:$C$1022,"&lt;"&amp;C888)+(COUNTIF($C$23:$C$1022,"="&amp;C888)+1)/2</f>
        <v/>
      </c>
    </row>
    <row r="889">
      <c r="B889" s="27">
        <f>'1 Data'!B878</f>
        <v/>
      </c>
      <c r="C889" s="47" t="n">
        <v>0.08678197</v>
      </c>
      <c r="D889" s="27">
        <f>'1 Data'!I878</f>
        <v/>
      </c>
      <c r="E889" s="30">
        <f>COUNTIF($C$23:$C$1022,"&lt;"&amp;C889)+(COUNTIF($C$23:$C$1022,"="&amp;C889)+1)/2</f>
        <v/>
      </c>
    </row>
    <row r="890">
      <c r="B890" s="27">
        <f>'1 Data'!B879</f>
        <v/>
      </c>
      <c r="C890" s="47" t="n">
        <v>0.046726923</v>
      </c>
      <c r="D890" s="27">
        <f>'1 Data'!I879</f>
        <v/>
      </c>
      <c r="E890" s="30">
        <f>COUNTIF($C$23:$C$1022,"&lt;"&amp;C890)+(COUNTIF($C$23:$C$1022,"="&amp;C890)+1)/2</f>
        <v/>
      </c>
    </row>
    <row r="891">
      <c r="B891" s="27">
        <f>'1 Data'!B880</f>
        <v/>
      </c>
      <c r="C891" s="47" t="n">
        <v>0.14412944</v>
      </c>
      <c r="D891" s="27">
        <f>'1 Data'!I880</f>
        <v/>
      </c>
      <c r="E891" s="30">
        <f>COUNTIF($C$23:$C$1022,"&lt;"&amp;C891)+(COUNTIF($C$23:$C$1022,"="&amp;C891)+1)/2</f>
        <v/>
      </c>
    </row>
    <row r="892">
      <c r="B892" s="27">
        <f>'1 Data'!B881</f>
        <v/>
      </c>
      <c r="C892" s="47" t="n">
        <v>0.12857342</v>
      </c>
      <c r="D892" s="27">
        <f>'1 Data'!I881</f>
        <v/>
      </c>
      <c r="E892" s="30">
        <f>COUNTIF($C$23:$C$1022,"&lt;"&amp;C892)+(COUNTIF($C$23:$C$1022,"="&amp;C892)+1)/2</f>
        <v/>
      </c>
    </row>
    <row r="893">
      <c r="B893" s="27">
        <f>'1 Data'!B882</f>
        <v/>
      </c>
      <c r="C893" s="47" t="n">
        <v>0.16075592</v>
      </c>
      <c r="D893" s="27">
        <f>'1 Data'!I882</f>
        <v/>
      </c>
      <c r="E893" s="30">
        <f>COUNTIF($C$23:$C$1022,"&lt;"&amp;C893)+(COUNTIF($C$23:$C$1022,"="&amp;C893)+1)/2</f>
        <v/>
      </c>
    </row>
    <row r="894">
      <c r="B894" s="27">
        <f>'1 Data'!B883</f>
        <v/>
      </c>
      <c r="C894" s="47" t="n">
        <v>0.28065804</v>
      </c>
      <c r="D894" s="27">
        <f>'1 Data'!I883</f>
        <v/>
      </c>
      <c r="E894" s="30">
        <f>COUNTIF($C$23:$C$1022,"&lt;"&amp;C894)+(COUNTIF($C$23:$C$1022,"="&amp;C894)+1)/2</f>
        <v/>
      </c>
    </row>
    <row r="895">
      <c r="B895" s="27">
        <f>'1 Data'!B884</f>
        <v/>
      </c>
      <c r="C895" s="47" t="n">
        <v>0.122304924</v>
      </c>
      <c r="D895" s="27">
        <f>'1 Data'!I884</f>
        <v/>
      </c>
      <c r="E895" s="30">
        <f>COUNTIF($C$23:$C$1022,"&lt;"&amp;C895)+(COUNTIF($C$23:$C$1022,"="&amp;C895)+1)/2</f>
        <v/>
      </c>
    </row>
    <row r="896">
      <c r="B896" s="27">
        <f>'1 Data'!B885</f>
        <v/>
      </c>
      <c r="C896" s="47" t="n">
        <v>0.23104917</v>
      </c>
      <c r="D896" s="27">
        <f>'1 Data'!I885</f>
        <v/>
      </c>
      <c r="E896" s="30">
        <f>COUNTIF($C$23:$C$1022,"&lt;"&amp;C896)+(COUNTIF($C$23:$C$1022,"="&amp;C896)+1)/2</f>
        <v/>
      </c>
    </row>
    <row r="897">
      <c r="B897" s="27">
        <f>'1 Data'!B886</f>
        <v/>
      </c>
      <c r="C897" s="47" t="n">
        <v>0.028014317</v>
      </c>
      <c r="D897" s="27">
        <f>'1 Data'!I886</f>
        <v/>
      </c>
      <c r="E897" s="30">
        <f>COUNTIF($C$23:$C$1022,"&lt;"&amp;C897)+(COUNTIF($C$23:$C$1022,"="&amp;C897)+1)/2</f>
        <v/>
      </c>
    </row>
    <row r="898">
      <c r="B898" s="27">
        <f>'1 Data'!B887</f>
        <v/>
      </c>
      <c r="C898" s="47" t="n">
        <v>0.14048602</v>
      </c>
      <c r="D898" s="27">
        <f>'1 Data'!I887</f>
        <v/>
      </c>
      <c r="E898" s="30">
        <f>COUNTIF($C$23:$C$1022,"&lt;"&amp;C898)+(COUNTIF($C$23:$C$1022,"="&amp;C898)+1)/2</f>
        <v/>
      </c>
    </row>
    <row r="899">
      <c r="B899" s="27">
        <f>'1 Data'!B888</f>
        <v/>
      </c>
      <c r="C899" s="47" t="n">
        <v>0.19023079</v>
      </c>
      <c r="D899" s="27">
        <f>'1 Data'!I888</f>
        <v/>
      </c>
      <c r="E899" s="30">
        <f>COUNTIF($C$23:$C$1022,"&lt;"&amp;C899)+(COUNTIF($C$23:$C$1022,"="&amp;C899)+1)/2</f>
        <v/>
      </c>
    </row>
    <row r="900">
      <c r="B900" s="27">
        <f>'1 Data'!B889</f>
        <v/>
      </c>
      <c r="C900" s="47" t="n">
        <v>0.07654250999999999</v>
      </c>
      <c r="D900" s="27">
        <f>'1 Data'!I889</f>
        <v/>
      </c>
      <c r="E900" s="30">
        <f>COUNTIF($C$23:$C$1022,"&lt;"&amp;C900)+(COUNTIF($C$23:$C$1022,"="&amp;C900)+1)/2</f>
        <v/>
      </c>
    </row>
    <row r="901">
      <c r="B901" s="27">
        <f>'1 Data'!B890</f>
        <v/>
      </c>
      <c r="C901" s="47" t="n">
        <v>0.5706623</v>
      </c>
      <c r="D901" s="27">
        <f>'1 Data'!I890</f>
        <v/>
      </c>
      <c r="E901" s="30">
        <f>COUNTIF($C$23:$C$1022,"&lt;"&amp;C901)+(COUNTIF($C$23:$C$1022,"="&amp;C901)+1)/2</f>
        <v/>
      </c>
    </row>
    <row r="902">
      <c r="B902" s="27">
        <f>'1 Data'!B891</f>
        <v/>
      </c>
      <c r="C902" s="47" t="n">
        <v>0.70803285</v>
      </c>
      <c r="D902" s="27">
        <f>'1 Data'!I891</f>
        <v/>
      </c>
      <c r="E902" s="30">
        <f>COUNTIF($C$23:$C$1022,"&lt;"&amp;C902)+(COUNTIF($C$23:$C$1022,"="&amp;C902)+1)/2</f>
        <v/>
      </c>
    </row>
    <row r="903">
      <c r="B903" s="27">
        <f>'1 Data'!B892</f>
        <v/>
      </c>
      <c r="C903" s="47" t="n">
        <v>0.113656595</v>
      </c>
      <c r="D903" s="27">
        <f>'1 Data'!I892</f>
        <v/>
      </c>
      <c r="E903" s="30">
        <f>COUNTIF($C$23:$C$1022,"&lt;"&amp;C903)+(COUNTIF($C$23:$C$1022,"="&amp;C903)+1)/2</f>
        <v/>
      </c>
    </row>
    <row r="904">
      <c r="B904" s="27">
        <f>'1 Data'!B893</f>
        <v/>
      </c>
      <c r="C904" s="47" t="n">
        <v>0.03534399</v>
      </c>
      <c r="D904" s="27">
        <f>'1 Data'!I893</f>
        <v/>
      </c>
      <c r="E904" s="30">
        <f>COUNTIF($C$23:$C$1022,"&lt;"&amp;C904)+(COUNTIF($C$23:$C$1022,"="&amp;C904)+1)/2</f>
        <v/>
      </c>
    </row>
    <row r="905">
      <c r="B905" s="27">
        <f>'1 Data'!B894</f>
        <v/>
      </c>
      <c r="C905" s="47" t="n">
        <v>0.22446492</v>
      </c>
      <c r="D905" s="27">
        <f>'1 Data'!I894</f>
        <v/>
      </c>
      <c r="E905" s="30">
        <f>COUNTIF($C$23:$C$1022,"&lt;"&amp;C905)+(COUNTIF($C$23:$C$1022,"="&amp;C905)+1)/2</f>
        <v/>
      </c>
    </row>
    <row r="906">
      <c r="B906" s="27">
        <f>'1 Data'!B895</f>
        <v/>
      </c>
      <c r="C906" s="47" t="n">
        <v>0.44048575</v>
      </c>
      <c r="D906" s="27">
        <f>'1 Data'!I895</f>
        <v/>
      </c>
      <c r="E906" s="30">
        <f>COUNTIF($C$23:$C$1022,"&lt;"&amp;C906)+(COUNTIF($C$23:$C$1022,"="&amp;C906)+1)/2</f>
        <v/>
      </c>
    </row>
    <row r="907">
      <c r="B907" s="27">
        <f>'1 Data'!B896</f>
        <v/>
      </c>
      <c r="C907" s="47" t="n">
        <v>0.07139242</v>
      </c>
      <c r="D907" s="27">
        <f>'1 Data'!I896</f>
        <v/>
      </c>
      <c r="E907" s="30">
        <f>COUNTIF($C$23:$C$1022,"&lt;"&amp;C907)+(COUNTIF($C$23:$C$1022,"="&amp;C907)+1)/2</f>
        <v/>
      </c>
    </row>
    <row r="908">
      <c r="B908" s="27">
        <f>'1 Data'!B897</f>
        <v/>
      </c>
      <c r="C908" s="47" t="n">
        <v>0.084843345</v>
      </c>
      <c r="D908" s="27">
        <f>'1 Data'!I897</f>
        <v/>
      </c>
      <c r="E908" s="30">
        <f>COUNTIF($C$23:$C$1022,"&lt;"&amp;C908)+(COUNTIF($C$23:$C$1022,"="&amp;C908)+1)/2</f>
        <v/>
      </c>
    </row>
    <row r="909">
      <c r="B909" s="27">
        <f>'1 Data'!B898</f>
        <v/>
      </c>
      <c r="C909" s="47" t="n">
        <v>0.33235782</v>
      </c>
      <c r="D909" s="27">
        <f>'1 Data'!I898</f>
        <v/>
      </c>
      <c r="E909" s="30">
        <f>COUNTIF($C$23:$C$1022,"&lt;"&amp;C909)+(COUNTIF($C$23:$C$1022,"="&amp;C909)+1)/2</f>
        <v/>
      </c>
    </row>
    <row r="910">
      <c r="B910" s="27">
        <f>'1 Data'!B899</f>
        <v/>
      </c>
      <c r="C910" s="47" t="n">
        <v>0.11102691</v>
      </c>
      <c r="D910" s="27">
        <f>'1 Data'!I899</f>
        <v/>
      </c>
      <c r="E910" s="30">
        <f>COUNTIF($C$23:$C$1022,"&lt;"&amp;C910)+(COUNTIF($C$23:$C$1022,"="&amp;C910)+1)/2</f>
        <v/>
      </c>
    </row>
    <row r="911">
      <c r="B911" s="27">
        <f>'1 Data'!B900</f>
        <v/>
      </c>
      <c r="C911" s="47" t="n">
        <v>0.1279204</v>
      </c>
      <c r="D911" s="27">
        <f>'1 Data'!I900</f>
        <v/>
      </c>
      <c r="E911" s="30">
        <f>COUNTIF($C$23:$C$1022,"&lt;"&amp;C911)+(COUNTIF($C$23:$C$1022,"="&amp;C911)+1)/2</f>
        <v/>
      </c>
    </row>
    <row r="912">
      <c r="B912" s="27">
        <f>'1 Data'!B901</f>
        <v/>
      </c>
      <c r="C912" s="47" t="n">
        <v>0.24308774</v>
      </c>
      <c r="D912" s="27">
        <f>'1 Data'!I901</f>
        <v/>
      </c>
      <c r="E912" s="30">
        <f>COUNTIF($C$23:$C$1022,"&lt;"&amp;C912)+(COUNTIF($C$23:$C$1022,"="&amp;C912)+1)/2</f>
        <v/>
      </c>
    </row>
    <row r="913">
      <c r="B913" s="27">
        <f>'1 Data'!B902</f>
        <v/>
      </c>
      <c r="C913" s="47" t="n">
        <v>0.66055655</v>
      </c>
      <c r="D913" s="27">
        <f>'1 Data'!I902</f>
        <v/>
      </c>
      <c r="E913" s="30">
        <f>COUNTIF($C$23:$C$1022,"&lt;"&amp;C913)+(COUNTIF($C$23:$C$1022,"="&amp;C913)+1)/2</f>
        <v/>
      </c>
    </row>
    <row r="914">
      <c r="B914" s="27">
        <f>'1 Data'!B903</f>
        <v/>
      </c>
      <c r="C914" s="47" t="n">
        <v>0.100278236</v>
      </c>
      <c r="D914" s="27">
        <f>'1 Data'!I903</f>
        <v/>
      </c>
      <c r="E914" s="30">
        <f>COUNTIF($C$23:$C$1022,"&lt;"&amp;C914)+(COUNTIF($C$23:$C$1022,"="&amp;C914)+1)/2</f>
        <v/>
      </c>
    </row>
    <row r="915">
      <c r="B915" s="27">
        <f>'1 Data'!B904</f>
        <v/>
      </c>
      <c r="C915" s="47" t="n">
        <v>0.27519292</v>
      </c>
      <c r="D915" s="27">
        <f>'1 Data'!I904</f>
        <v/>
      </c>
      <c r="E915" s="30">
        <f>COUNTIF($C$23:$C$1022,"&lt;"&amp;C915)+(COUNTIF($C$23:$C$1022,"="&amp;C915)+1)/2</f>
        <v/>
      </c>
    </row>
    <row r="916">
      <c r="B916" s="27">
        <f>'1 Data'!B905</f>
        <v/>
      </c>
      <c r="C916" s="47" t="n">
        <v>0.5801463</v>
      </c>
      <c r="D916" s="27">
        <f>'1 Data'!I905</f>
        <v/>
      </c>
      <c r="E916" s="30">
        <f>COUNTIF($C$23:$C$1022,"&lt;"&amp;C916)+(COUNTIF($C$23:$C$1022,"="&amp;C916)+1)/2</f>
        <v/>
      </c>
    </row>
    <row r="917">
      <c r="B917" s="27">
        <f>'1 Data'!B906</f>
        <v/>
      </c>
      <c r="C917" s="47" t="n">
        <v>0.18584026</v>
      </c>
      <c r="D917" s="27">
        <f>'1 Data'!I906</f>
        <v/>
      </c>
      <c r="E917" s="30">
        <f>COUNTIF($C$23:$C$1022,"&lt;"&amp;C917)+(COUNTIF($C$23:$C$1022,"="&amp;C917)+1)/2</f>
        <v/>
      </c>
    </row>
    <row r="918">
      <c r="B918" s="27">
        <f>'1 Data'!B907</f>
        <v/>
      </c>
      <c r="C918" s="47" t="n">
        <v>0.13442801</v>
      </c>
      <c r="D918" s="27">
        <f>'1 Data'!I907</f>
        <v/>
      </c>
      <c r="E918" s="30">
        <f>COUNTIF($C$23:$C$1022,"&lt;"&amp;C918)+(COUNTIF($C$23:$C$1022,"="&amp;C918)+1)/2</f>
        <v/>
      </c>
    </row>
    <row r="919">
      <c r="B919" s="27">
        <f>'1 Data'!B908</f>
        <v/>
      </c>
      <c r="C919" s="47" t="n">
        <v>0.04244012</v>
      </c>
      <c r="D919" s="27">
        <f>'1 Data'!I908</f>
        <v/>
      </c>
      <c r="E919" s="30">
        <f>COUNTIF($C$23:$C$1022,"&lt;"&amp;C919)+(COUNTIF($C$23:$C$1022,"="&amp;C919)+1)/2</f>
        <v/>
      </c>
    </row>
    <row r="920">
      <c r="B920" s="27">
        <f>'1 Data'!B909</f>
        <v/>
      </c>
      <c r="C920" s="47" t="n">
        <v>0.07636356</v>
      </c>
      <c r="D920" s="27">
        <f>'1 Data'!I909</f>
        <v/>
      </c>
      <c r="E920" s="30">
        <f>COUNTIF($C$23:$C$1022,"&lt;"&amp;C920)+(COUNTIF($C$23:$C$1022,"="&amp;C920)+1)/2</f>
        <v/>
      </c>
    </row>
    <row r="921">
      <c r="B921" s="27">
        <f>'1 Data'!B910</f>
        <v/>
      </c>
      <c r="C921" s="47" t="n">
        <v>0.23064585</v>
      </c>
      <c r="D921" s="27">
        <f>'1 Data'!I910</f>
        <v/>
      </c>
      <c r="E921" s="30">
        <f>COUNTIF($C$23:$C$1022,"&lt;"&amp;C921)+(COUNTIF($C$23:$C$1022,"="&amp;C921)+1)/2</f>
        <v/>
      </c>
    </row>
    <row r="922">
      <c r="B922" s="27">
        <f>'1 Data'!B911</f>
        <v/>
      </c>
      <c r="C922" s="47" t="n">
        <v>0.09327510999999999</v>
      </c>
      <c r="D922" s="27">
        <f>'1 Data'!I911</f>
        <v/>
      </c>
      <c r="E922" s="30">
        <f>COUNTIF($C$23:$C$1022,"&lt;"&amp;C922)+(COUNTIF($C$23:$C$1022,"="&amp;C922)+1)/2</f>
        <v/>
      </c>
    </row>
    <row r="923">
      <c r="B923" s="27">
        <f>'1 Data'!B912</f>
        <v/>
      </c>
      <c r="C923" s="47" t="n">
        <v>0.12468074</v>
      </c>
      <c r="D923" s="27">
        <f>'1 Data'!I912</f>
        <v/>
      </c>
      <c r="E923" s="30">
        <f>COUNTIF($C$23:$C$1022,"&lt;"&amp;C923)+(COUNTIF($C$23:$C$1022,"="&amp;C923)+1)/2</f>
        <v/>
      </c>
    </row>
    <row r="924">
      <c r="B924" s="27">
        <f>'1 Data'!B913</f>
        <v/>
      </c>
      <c r="C924" s="47" t="n">
        <v>0.40004784</v>
      </c>
      <c r="D924" s="27">
        <f>'1 Data'!I913</f>
        <v/>
      </c>
      <c r="E924" s="30">
        <f>COUNTIF($C$23:$C$1022,"&lt;"&amp;C924)+(COUNTIF($C$23:$C$1022,"="&amp;C924)+1)/2</f>
        <v/>
      </c>
    </row>
    <row r="925">
      <c r="B925" s="27">
        <f>'1 Data'!B914</f>
        <v/>
      </c>
      <c r="C925" s="47" t="n">
        <v>0.79067224</v>
      </c>
      <c r="D925" s="27">
        <f>'1 Data'!I914</f>
        <v/>
      </c>
      <c r="E925" s="30">
        <f>COUNTIF($C$23:$C$1022,"&lt;"&amp;C925)+(COUNTIF($C$23:$C$1022,"="&amp;C925)+1)/2</f>
        <v/>
      </c>
    </row>
    <row r="926">
      <c r="B926" s="27">
        <f>'1 Data'!B915</f>
        <v/>
      </c>
      <c r="C926" s="47" t="n">
        <v>0.1640092</v>
      </c>
      <c r="D926" s="27">
        <f>'1 Data'!I915</f>
        <v/>
      </c>
      <c r="E926" s="30">
        <f>COUNTIF($C$23:$C$1022,"&lt;"&amp;C926)+(COUNTIF($C$23:$C$1022,"="&amp;C926)+1)/2</f>
        <v/>
      </c>
    </row>
    <row r="927">
      <c r="B927" s="27">
        <f>'1 Data'!B916</f>
        <v/>
      </c>
      <c r="C927" s="47" t="n">
        <v>0.14130175</v>
      </c>
      <c r="D927" s="27">
        <f>'1 Data'!I916</f>
        <v/>
      </c>
      <c r="E927" s="30">
        <f>COUNTIF($C$23:$C$1022,"&lt;"&amp;C927)+(COUNTIF($C$23:$C$1022,"="&amp;C927)+1)/2</f>
        <v/>
      </c>
    </row>
    <row r="928">
      <c r="B928" s="27">
        <f>'1 Data'!B917</f>
        <v/>
      </c>
      <c r="C928" s="47" t="n">
        <v>0.034417186</v>
      </c>
      <c r="D928" s="27">
        <f>'1 Data'!I917</f>
        <v/>
      </c>
      <c r="E928" s="30">
        <f>COUNTIF($C$23:$C$1022,"&lt;"&amp;C928)+(COUNTIF($C$23:$C$1022,"="&amp;C928)+1)/2</f>
        <v/>
      </c>
    </row>
    <row r="929">
      <c r="B929" s="27">
        <f>'1 Data'!B918</f>
        <v/>
      </c>
      <c r="C929" s="47" t="n">
        <v>0.10647164</v>
      </c>
      <c r="D929" s="27">
        <f>'1 Data'!I918</f>
        <v/>
      </c>
      <c r="E929" s="30">
        <f>COUNTIF($C$23:$C$1022,"&lt;"&amp;C929)+(COUNTIF($C$23:$C$1022,"="&amp;C929)+1)/2</f>
        <v/>
      </c>
    </row>
    <row r="930">
      <c r="B930" s="27">
        <f>'1 Data'!B919</f>
        <v/>
      </c>
      <c r="C930" s="47" t="n">
        <v>0.1845976</v>
      </c>
      <c r="D930" s="27">
        <f>'1 Data'!I919</f>
        <v/>
      </c>
      <c r="E930" s="30">
        <f>COUNTIF($C$23:$C$1022,"&lt;"&amp;C930)+(COUNTIF($C$23:$C$1022,"="&amp;C930)+1)/2</f>
        <v/>
      </c>
    </row>
    <row r="931">
      <c r="B931" s="27">
        <f>'1 Data'!B920</f>
        <v/>
      </c>
      <c r="C931" s="47" t="n">
        <v>0.20364651</v>
      </c>
      <c r="D931" s="27">
        <f>'1 Data'!I920</f>
        <v/>
      </c>
      <c r="E931" s="30">
        <f>COUNTIF($C$23:$C$1022,"&lt;"&amp;C931)+(COUNTIF($C$23:$C$1022,"="&amp;C931)+1)/2</f>
        <v/>
      </c>
    </row>
    <row r="932">
      <c r="B932" s="27">
        <f>'1 Data'!B921</f>
        <v/>
      </c>
      <c r="C932" s="47" t="n">
        <v>0.3773162</v>
      </c>
      <c r="D932" s="27">
        <f>'1 Data'!I921</f>
        <v/>
      </c>
      <c r="E932" s="30">
        <f>COUNTIF($C$23:$C$1022,"&lt;"&amp;C932)+(COUNTIF($C$23:$C$1022,"="&amp;C932)+1)/2</f>
        <v/>
      </c>
    </row>
    <row r="933">
      <c r="B933" s="27">
        <f>'1 Data'!B922</f>
        <v/>
      </c>
      <c r="C933" s="47" t="n">
        <v>0.49920008</v>
      </c>
      <c r="D933" s="27">
        <f>'1 Data'!I922</f>
        <v/>
      </c>
      <c r="E933" s="30">
        <f>COUNTIF($C$23:$C$1022,"&lt;"&amp;C933)+(COUNTIF($C$23:$C$1022,"="&amp;C933)+1)/2</f>
        <v/>
      </c>
    </row>
    <row r="934">
      <c r="B934" s="27">
        <f>'1 Data'!B923</f>
        <v/>
      </c>
      <c r="C934" s="47" t="n">
        <v>0.714907</v>
      </c>
      <c r="D934" s="27">
        <f>'1 Data'!I923</f>
        <v/>
      </c>
      <c r="E934" s="30">
        <f>COUNTIF($C$23:$C$1022,"&lt;"&amp;C934)+(COUNTIF($C$23:$C$1022,"="&amp;C934)+1)/2</f>
        <v/>
      </c>
    </row>
    <row r="935">
      <c r="B935" s="27">
        <f>'1 Data'!B924</f>
        <v/>
      </c>
      <c r="C935" s="47" t="n">
        <v>0.35512885</v>
      </c>
      <c r="D935" s="27">
        <f>'1 Data'!I924</f>
        <v/>
      </c>
      <c r="E935" s="30">
        <f>COUNTIF($C$23:$C$1022,"&lt;"&amp;C935)+(COUNTIF($C$23:$C$1022,"="&amp;C935)+1)/2</f>
        <v/>
      </c>
    </row>
    <row r="936">
      <c r="B936" s="27">
        <f>'1 Data'!B925</f>
        <v/>
      </c>
      <c r="C936" s="47" t="n">
        <v>0.74746764</v>
      </c>
      <c r="D936" s="27">
        <f>'1 Data'!I925</f>
        <v/>
      </c>
      <c r="E936" s="30">
        <f>COUNTIF($C$23:$C$1022,"&lt;"&amp;C936)+(COUNTIF($C$23:$C$1022,"="&amp;C936)+1)/2</f>
        <v/>
      </c>
    </row>
    <row r="937">
      <c r="B937" s="27">
        <f>'1 Data'!B926</f>
        <v/>
      </c>
      <c r="C937" s="47" t="n">
        <v>0.37271187</v>
      </c>
      <c r="D937" s="27">
        <f>'1 Data'!I926</f>
        <v/>
      </c>
      <c r="E937" s="30">
        <f>COUNTIF($C$23:$C$1022,"&lt;"&amp;C937)+(COUNTIF($C$23:$C$1022,"="&amp;C937)+1)/2</f>
        <v/>
      </c>
    </row>
    <row r="938">
      <c r="B938" s="27">
        <f>'1 Data'!B927</f>
        <v/>
      </c>
      <c r="C938" s="47" t="n">
        <v>0.07168221499999999</v>
      </c>
      <c r="D938" s="27">
        <f>'1 Data'!I927</f>
        <v/>
      </c>
      <c r="E938" s="30">
        <f>COUNTIF($C$23:$C$1022,"&lt;"&amp;C938)+(COUNTIF($C$23:$C$1022,"="&amp;C938)+1)/2</f>
        <v/>
      </c>
    </row>
    <row r="939">
      <c r="B939" s="27">
        <f>'1 Data'!B928</f>
        <v/>
      </c>
      <c r="C939" s="47" t="n">
        <v>0.15449123</v>
      </c>
      <c r="D939" s="27">
        <f>'1 Data'!I928</f>
        <v/>
      </c>
      <c r="E939" s="30">
        <f>COUNTIF($C$23:$C$1022,"&lt;"&amp;C939)+(COUNTIF($C$23:$C$1022,"="&amp;C939)+1)/2</f>
        <v/>
      </c>
    </row>
    <row r="940">
      <c r="B940" s="27">
        <f>'1 Data'!B929</f>
        <v/>
      </c>
      <c r="C940" s="47" t="n">
        <v>0.08397590000000001</v>
      </c>
      <c r="D940" s="27">
        <f>'1 Data'!I929</f>
        <v/>
      </c>
      <c r="E940" s="30">
        <f>COUNTIF($C$23:$C$1022,"&lt;"&amp;C940)+(COUNTIF($C$23:$C$1022,"="&amp;C940)+1)/2</f>
        <v/>
      </c>
    </row>
    <row r="941">
      <c r="B941" s="27">
        <f>'1 Data'!B930</f>
        <v/>
      </c>
      <c r="C941" s="47" t="n">
        <v>0.1449788</v>
      </c>
      <c r="D941" s="27">
        <f>'1 Data'!I930</f>
        <v/>
      </c>
      <c r="E941" s="30">
        <f>COUNTIF($C$23:$C$1022,"&lt;"&amp;C941)+(COUNTIF($C$23:$C$1022,"="&amp;C941)+1)/2</f>
        <v/>
      </c>
    </row>
    <row r="942">
      <c r="B942" s="27">
        <f>'1 Data'!B931</f>
        <v/>
      </c>
      <c r="C942" s="47" t="n">
        <v>0.23132926</v>
      </c>
      <c r="D942" s="27">
        <f>'1 Data'!I931</f>
        <v/>
      </c>
      <c r="E942" s="30">
        <f>COUNTIF($C$23:$C$1022,"&lt;"&amp;C942)+(COUNTIF($C$23:$C$1022,"="&amp;C942)+1)/2</f>
        <v/>
      </c>
    </row>
    <row r="943">
      <c r="B943" s="27">
        <f>'1 Data'!B932</f>
        <v/>
      </c>
      <c r="C943" s="47" t="n">
        <v>0.054461442</v>
      </c>
      <c r="D943" s="27">
        <f>'1 Data'!I932</f>
        <v/>
      </c>
      <c r="E943" s="30">
        <f>COUNTIF($C$23:$C$1022,"&lt;"&amp;C943)+(COUNTIF($C$23:$C$1022,"="&amp;C943)+1)/2</f>
        <v/>
      </c>
    </row>
    <row r="944">
      <c r="B944" s="27">
        <f>'1 Data'!B933</f>
        <v/>
      </c>
      <c r="C944" s="47" t="n">
        <v>0.17644608</v>
      </c>
      <c r="D944" s="27">
        <f>'1 Data'!I933</f>
        <v/>
      </c>
      <c r="E944" s="30">
        <f>COUNTIF($C$23:$C$1022,"&lt;"&amp;C944)+(COUNTIF($C$23:$C$1022,"="&amp;C944)+1)/2</f>
        <v/>
      </c>
    </row>
    <row r="945">
      <c r="B945" s="27">
        <f>'1 Data'!B934</f>
        <v/>
      </c>
      <c r="C945" s="47" t="n">
        <v>0.7437009999999999</v>
      </c>
      <c r="D945" s="27">
        <f>'1 Data'!I934</f>
        <v/>
      </c>
      <c r="E945" s="30">
        <f>COUNTIF($C$23:$C$1022,"&lt;"&amp;C945)+(COUNTIF($C$23:$C$1022,"="&amp;C945)+1)/2</f>
        <v/>
      </c>
    </row>
    <row r="946">
      <c r="B946" s="27">
        <f>'1 Data'!B935</f>
        <v/>
      </c>
      <c r="C946" s="47" t="n">
        <v>0.20951289</v>
      </c>
      <c r="D946" s="27">
        <f>'1 Data'!I935</f>
        <v/>
      </c>
      <c r="E946" s="30">
        <f>COUNTIF($C$23:$C$1022,"&lt;"&amp;C946)+(COUNTIF($C$23:$C$1022,"="&amp;C946)+1)/2</f>
        <v/>
      </c>
    </row>
    <row r="947">
      <c r="B947" s="27">
        <f>'1 Data'!B936</f>
        <v/>
      </c>
      <c r="C947" s="47" t="n">
        <v>0.12206606</v>
      </c>
      <c r="D947" s="27">
        <f>'1 Data'!I936</f>
        <v/>
      </c>
      <c r="E947" s="30">
        <f>COUNTIF($C$23:$C$1022,"&lt;"&amp;C947)+(COUNTIF($C$23:$C$1022,"="&amp;C947)+1)/2</f>
        <v/>
      </c>
    </row>
    <row r="948">
      <c r="B948" s="27">
        <f>'1 Data'!B937</f>
        <v/>
      </c>
      <c r="C948" s="47" t="n">
        <v>0.018308697</v>
      </c>
      <c r="D948" s="27">
        <f>'1 Data'!I937</f>
        <v/>
      </c>
      <c r="E948" s="30">
        <f>COUNTIF($C$23:$C$1022,"&lt;"&amp;C948)+(COUNTIF($C$23:$C$1022,"="&amp;C948)+1)/2</f>
        <v/>
      </c>
    </row>
    <row r="949">
      <c r="B949" s="27">
        <f>'1 Data'!B938</f>
        <v/>
      </c>
      <c r="C949" s="47" t="n">
        <v>0.6798375</v>
      </c>
      <c r="D949" s="27">
        <f>'1 Data'!I938</f>
        <v/>
      </c>
      <c r="E949" s="30">
        <f>COUNTIF($C$23:$C$1022,"&lt;"&amp;C949)+(COUNTIF($C$23:$C$1022,"="&amp;C949)+1)/2</f>
        <v/>
      </c>
    </row>
    <row r="950">
      <c r="B950" s="27">
        <f>'1 Data'!B939</f>
        <v/>
      </c>
      <c r="C950" s="47" t="n">
        <v>0.8091312000000001</v>
      </c>
      <c r="D950" s="27">
        <f>'1 Data'!I939</f>
        <v/>
      </c>
      <c r="E950" s="30">
        <f>COUNTIF($C$23:$C$1022,"&lt;"&amp;C950)+(COUNTIF($C$23:$C$1022,"="&amp;C950)+1)/2</f>
        <v/>
      </c>
    </row>
    <row r="951">
      <c r="B951" s="27">
        <f>'1 Data'!B940</f>
        <v/>
      </c>
      <c r="C951" s="47" t="n">
        <v>0.066603184</v>
      </c>
      <c r="D951" s="27">
        <f>'1 Data'!I940</f>
        <v/>
      </c>
      <c r="E951" s="30">
        <f>COUNTIF($C$23:$C$1022,"&lt;"&amp;C951)+(COUNTIF($C$23:$C$1022,"="&amp;C951)+1)/2</f>
        <v/>
      </c>
    </row>
    <row r="952">
      <c r="B952" s="27">
        <f>'1 Data'!B941</f>
        <v/>
      </c>
      <c r="C952" s="47" t="n">
        <v>0.11827819</v>
      </c>
      <c r="D952" s="27">
        <f>'1 Data'!I941</f>
        <v/>
      </c>
      <c r="E952" s="30">
        <f>COUNTIF($C$23:$C$1022,"&lt;"&amp;C952)+(COUNTIF($C$23:$C$1022,"="&amp;C952)+1)/2</f>
        <v/>
      </c>
    </row>
    <row r="953">
      <c r="B953" s="27">
        <f>'1 Data'!B942</f>
        <v/>
      </c>
      <c r="C953" s="47" t="n">
        <v>0.061656237</v>
      </c>
      <c r="D953" s="27">
        <f>'1 Data'!I942</f>
        <v/>
      </c>
      <c r="E953" s="30">
        <f>COUNTIF($C$23:$C$1022,"&lt;"&amp;C953)+(COUNTIF($C$23:$C$1022,"="&amp;C953)+1)/2</f>
        <v/>
      </c>
    </row>
    <row r="954">
      <c r="B954" s="27">
        <f>'1 Data'!B943</f>
        <v/>
      </c>
      <c r="C954" s="47" t="n">
        <v>0.16234906</v>
      </c>
      <c r="D954" s="27">
        <f>'1 Data'!I943</f>
        <v/>
      </c>
      <c r="E954" s="30">
        <f>COUNTIF($C$23:$C$1022,"&lt;"&amp;C954)+(COUNTIF($C$23:$C$1022,"="&amp;C954)+1)/2</f>
        <v/>
      </c>
    </row>
    <row r="955">
      <c r="B955" s="27">
        <f>'1 Data'!B944</f>
        <v/>
      </c>
      <c r="C955" s="47" t="n">
        <v>0.7265019</v>
      </c>
      <c r="D955" s="27">
        <f>'1 Data'!I944</f>
        <v/>
      </c>
      <c r="E955" s="30">
        <f>COUNTIF($C$23:$C$1022,"&lt;"&amp;C955)+(COUNTIF($C$23:$C$1022,"="&amp;C955)+1)/2</f>
        <v/>
      </c>
    </row>
    <row r="956">
      <c r="B956" s="27">
        <f>'1 Data'!B945</f>
        <v/>
      </c>
      <c r="C956" s="47" t="n">
        <v>0.05592446</v>
      </c>
      <c r="D956" s="27">
        <f>'1 Data'!I945</f>
        <v/>
      </c>
      <c r="E956" s="30">
        <f>COUNTIF($C$23:$C$1022,"&lt;"&amp;C956)+(COUNTIF($C$23:$C$1022,"="&amp;C956)+1)/2</f>
        <v/>
      </c>
    </row>
    <row r="957">
      <c r="B957" s="27">
        <f>'1 Data'!B946</f>
        <v/>
      </c>
      <c r="C957" s="47" t="n">
        <v>0.13195185</v>
      </c>
      <c r="D957" s="27">
        <f>'1 Data'!I946</f>
        <v/>
      </c>
      <c r="E957" s="30">
        <f>COUNTIF($C$23:$C$1022,"&lt;"&amp;C957)+(COUNTIF($C$23:$C$1022,"="&amp;C957)+1)/2</f>
        <v/>
      </c>
    </row>
    <row r="958">
      <c r="B958" s="27">
        <f>'1 Data'!B947</f>
        <v/>
      </c>
      <c r="C958" s="47" t="n">
        <v>0.16429804</v>
      </c>
      <c r="D958" s="27">
        <f>'1 Data'!I947</f>
        <v/>
      </c>
      <c r="E958" s="30">
        <f>COUNTIF($C$23:$C$1022,"&lt;"&amp;C958)+(COUNTIF($C$23:$C$1022,"="&amp;C958)+1)/2</f>
        <v/>
      </c>
    </row>
    <row r="959">
      <c r="B959" s="27">
        <f>'1 Data'!B948</f>
        <v/>
      </c>
      <c r="C959" s="47" t="n">
        <v>0.09414445</v>
      </c>
      <c r="D959" s="27">
        <f>'1 Data'!I948</f>
        <v/>
      </c>
      <c r="E959" s="30">
        <f>COUNTIF($C$23:$C$1022,"&lt;"&amp;C959)+(COUNTIF($C$23:$C$1022,"="&amp;C959)+1)/2</f>
        <v/>
      </c>
    </row>
    <row r="960">
      <c r="B960" s="27">
        <f>'1 Data'!B949</f>
        <v/>
      </c>
      <c r="C960" s="47" t="n">
        <v>0.037494823</v>
      </c>
      <c r="D960" s="27">
        <f>'1 Data'!I949</f>
        <v/>
      </c>
      <c r="E960" s="30">
        <f>COUNTIF($C$23:$C$1022,"&lt;"&amp;C960)+(COUNTIF($C$23:$C$1022,"="&amp;C960)+1)/2</f>
        <v/>
      </c>
    </row>
    <row r="961">
      <c r="B961" s="27">
        <f>'1 Data'!B950</f>
        <v/>
      </c>
      <c r="C961" s="47" t="n">
        <v>0.09267502</v>
      </c>
      <c r="D961" s="27">
        <f>'1 Data'!I950</f>
        <v/>
      </c>
      <c r="E961" s="30">
        <f>COUNTIF($C$23:$C$1022,"&lt;"&amp;C961)+(COUNTIF($C$23:$C$1022,"="&amp;C961)+1)/2</f>
        <v/>
      </c>
    </row>
    <row r="962">
      <c r="B962" s="27">
        <f>'1 Data'!B951</f>
        <v/>
      </c>
      <c r="C962" s="47" t="n">
        <v>0.12947276</v>
      </c>
      <c r="D962" s="27">
        <f>'1 Data'!I951</f>
        <v/>
      </c>
      <c r="E962" s="30">
        <f>COUNTIF($C$23:$C$1022,"&lt;"&amp;C962)+(COUNTIF($C$23:$C$1022,"="&amp;C962)+1)/2</f>
        <v/>
      </c>
    </row>
    <row r="963">
      <c r="B963" s="27">
        <f>'1 Data'!B952</f>
        <v/>
      </c>
      <c r="C963" s="47" t="n">
        <v>0.09127391</v>
      </c>
      <c r="D963" s="27">
        <f>'1 Data'!I952</f>
        <v/>
      </c>
      <c r="E963" s="30">
        <f>COUNTIF($C$23:$C$1022,"&lt;"&amp;C963)+(COUNTIF($C$23:$C$1022,"="&amp;C963)+1)/2</f>
        <v/>
      </c>
    </row>
    <row r="964">
      <c r="B964" s="27">
        <f>'1 Data'!B953</f>
        <v/>
      </c>
      <c r="C964" s="47" t="n">
        <v>0.16787387</v>
      </c>
      <c r="D964" s="27">
        <f>'1 Data'!I953</f>
        <v/>
      </c>
      <c r="E964" s="30">
        <f>COUNTIF($C$23:$C$1022,"&lt;"&amp;C964)+(COUNTIF($C$23:$C$1022,"="&amp;C964)+1)/2</f>
        <v/>
      </c>
    </row>
    <row r="965">
      <c r="B965" s="27">
        <f>'1 Data'!B954</f>
        <v/>
      </c>
      <c r="C965" s="47" t="n">
        <v>0.20376351</v>
      </c>
      <c r="D965" s="27">
        <f>'1 Data'!I954</f>
        <v/>
      </c>
      <c r="E965" s="30">
        <f>COUNTIF($C$23:$C$1022,"&lt;"&amp;C965)+(COUNTIF($C$23:$C$1022,"="&amp;C965)+1)/2</f>
        <v/>
      </c>
    </row>
    <row r="966">
      <c r="B966" s="27">
        <f>'1 Data'!B955</f>
        <v/>
      </c>
      <c r="C966" s="47" t="n">
        <v>0.6404835</v>
      </c>
      <c r="D966" s="27">
        <f>'1 Data'!I955</f>
        <v/>
      </c>
      <c r="E966" s="30">
        <f>COUNTIF($C$23:$C$1022,"&lt;"&amp;C966)+(COUNTIF($C$23:$C$1022,"="&amp;C966)+1)/2</f>
        <v/>
      </c>
    </row>
    <row r="967">
      <c r="B967" s="27">
        <f>'1 Data'!B956</f>
        <v/>
      </c>
      <c r="C967" s="47" t="n">
        <v>0.1133077</v>
      </c>
      <c r="D967" s="27">
        <f>'1 Data'!I956</f>
        <v/>
      </c>
      <c r="E967" s="30">
        <f>COUNTIF($C$23:$C$1022,"&lt;"&amp;C967)+(COUNTIF($C$23:$C$1022,"="&amp;C967)+1)/2</f>
        <v/>
      </c>
    </row>
    <row r="968">
      <c r="B968" s="27">
        <f>'1 Data'!B957</f>
        <v/>
      </c>
      <c r="C968" s="47" t="n">
        <v>0.06622868</v>
      </c>
      <c r="D968" s="27">
        <f>'1 Data'!I957</f>
        <v/>
      </c>
      <c r="E968" s="30">
        <f>COUNTIF($C$23:$C$1022,"&lt;"&amp;C968)+(COUNTIF($C$23:$C$1022,"="&amp;C968)+1)/2</f>
        <v/>
      </c>
    </row>
    <row r="969">
      <c r="B969" s="27">
        <f>'1 Data'!B958</f>
        <v/>
      </c>
      <c r="C969" s="47" t="n">
        <v>0.5300003</v>
      </c>
      <c r="D969" s="27">
        <f>'1 Data'!I958</f>
        <v/>
      </c>
      <c r="E969" s="30">
        <f>COUNTIF($C$23:$C$1022,"&lt;"&amp;C969)+(COUNTIF($C$23:$C$1022,"="&amp;C969)+1)/2</f>
        <v/>
      </c>
    </row>
    <row r="970">
      <c r="B970" s="27">
        <f>'1 Data'!B959</f>
        <v/>
      </c>
      <c r="C970" s="47" t="n">
        <v>0.06640343999999999</v>
      </c>
      <c r="D970" s="27">
        <f>'1 Data'!I959</f>
        <v/>
      </c>
      <c r="E970" s="30">
        <f>COUNTIF($C$23:$C$1022,"&lt;"&amp;C970)+(COUNTIF($C$23:$C$1022,"="&amp;C970)+1)/2</f>
        <v/>
      </c>
    </row>
    <row r="971">
      <c r="B971" s="27">
        <f>'1 Data'!B960</f>
        <v/>
      </c>
      <c r="C971" s="47" t="n">
        <v>0.12857051</v>
      </c>
      <c r="D971" s="27">
        <f>'1 Data'!I960</f>
        <v/>
      </c>
      <c r="E971" s="30">
        <f>COUNTIF($C$23:$C$1022,"&lt;"&amp;C971)+(COUNTIF($C$23:$C$1022,"="&amp;C971)+1)/2</f>
        <v/>
      </c>
    </row>
    <row r="972">
      <c r="B972" s="27">
        <f>'1 Data'!B961</f>
        <v/>
      </c>
      <c r="C972" s="47" t="n">
        <v>0.7556368999999999</v>
      </c>
      <c r="D972" s="27">
        <f>'1 Data'!I961</f>
        <v/>
      </c>
      <c r="E972" s="30">
        <f>COUNTIF($C$23:$C$1022,"&lt;"&amp;C972)+(COUNTIF($C$23:$C$1022,"="&amp;C972)+1)/2</f>
        <v/>
      </c>
    </row>
    <row r="973">
      <c r="B973" s="27">
        <f>'1 Data'!B962</f>
        <v/>
      </c>
      <c r="C973" s="47" t="n">
        <v>0.7808541</v>
      </c>
      <c r="D973" s="27">
        <f>'1 Data'!I962</f>
        <v/>
      </c>
      <c r="E973" s="30">
        <f>COUNTIF($C$23:$C$1022,"&lt;"&amp;C973)+(COUNTIF($C$23:$C$1022,"="&amp;C973)+1)/2</f>
        <v/>
      </c>
    </row>
    <row r="974">
      <c r="B974" s="27">
        <f>'1 Data'!B963</f>
        <v/>
      </c>
      <c r="C974" s="47" t="n">
        <v>0.068610296</v>
      </c>
      <c r="D974" s="27">
        <f>'1 Data'!I963</f>
        <v/>
      </c>
      <c r="E974" s="30">
        <f>COUNTIF($C$23:$C$1022,"&lt;"&amp;C974)+(COUNTIF($C$23:$C$1022,"="&amp;C974)+1)/2</f>
        <v/>
      </c>
    </row>
    <row r="975">
      <c r="B975" s="27">
        <f>'1 Data'!B964</f>
        <v/>
      </c>
      <c r="C975" s="47" t="n">
        <v>0.08110082</v>
      </c>
      <c r="D975" s="27">
        <f>'1 Data'!I964</f>
        <v/>
      </c>
      <c r="E975" s="30">
        <f>COUNTIF($C$23:$C$1022,"&lt;"&amp;C975)+(COUNTIF($C$23:$C$1022,"="&amp;C975)+1)/2</f>
        <v/>
      </c>
    </row>
    <row r="976">
      <c r="B976" s="27">
        <f>'1 Data'!B965</f>
        <v/>
      </c>
      <c r="C976" s="47" t="n">
        <v>0.70298624</v>
      </c>
      <c r="D976" s="27">
        <f>'1 Data'!I965</f>
        <v/>
      </c>
      <c r="E976" s="30">
        <f>COUNTIF($C$23:$C$1022,"&lt;"&amp;C976)+(COUNTIF($C$23:$C$1022,"="&amp;C976)+1)/2</f>
        <v/>
      </c>
    </row>
    <row r="977">
      <c r="B977" s="27">
        <f>'1 Data'!B966</f>
        <v/>
      </c>
      <c r="C977" s="47" t="n">
        <v>0.48171744</v>
      </c>
      <c r="D977" s="27">
        <f>'1 Data'!I966</f>
        <v/>
      </c>
      <c r="E977" s="30">
        <f>COUNTIF($C$23:$C$1022,"&lt;"&amp;C977)+(COUNTIF($C$23:$C$1022,"="&amp;C977)+1)/2</f>
        <v/>
      </c>
    </row>
    <row r="978">
      <c r="B978" s="27">
        <f>'1 Data'!B967</f>
        <v/>
      </c>
      <c r="C978" s="47" t="n">
        <v>0.19632597</v>
      </c>
      <c r="D978" s="27">
        <f>'1 Data'!I967</f>
        <v/>
      </c>
      <c r="E978" s="30">
        <f>COUNTIF($C$23:$C$1022,"&lt;"&amp;C978)+(COUNTIF($C$23:$C$1022,"="&amp;C978)+1)/2</f>
        <v/>
      </c>
    </row>
    <row r="979">
      <c r="B979" s="27">
        <f>'1 Data'!B968</f>
        <v/>
      </c>
      <c r="C979" s="47" t="n">
        <v>0.062128764</v>
      </c>
      <c r="D979" s="27">
        <f>'1 Data'!I968</f>
        <v/>
      </c>
      <c r="E979" s="30">
        <f>COUNTIF($C$23:$C$1022,"&lt;"&amp;C979)+(COUNTIF($C$23:$C$1022,"="&amp;C979)+1)/2</f>
        <v/>
      </c>
    </row>
    <row r="980">
      <c r="B980" s="27">
        <f>'1 Data'!B969</f>
        <v/>
      </c>
      <c r="C980" s="47" t="n">
        <v>0.13584647</v>
      </c>
      <c r="D980" s="27">
        <f>'1 Data'!I969</f>
        <v/>
      </c>
      <c r="E980" s="30">
        <f>COUNTIF($C$23:$C$1022,"&lt;"&amp;C980)+(COUNTIF($C$23:$C$1022,"="&amp;C980)+1)/2</f>
        <v/>
      </c>
    </row>
    <row r="981">
      <c r="B981" s="27">
        <f>'1 Data'!B970</f>
        <v/>
      </c>
      <c r="C981" s="47" t="n">
        <v>0.30910513</v>
      </c>
      <c r="D981" s="27">
        <f>'1 Data'!I970</f>
        <v/>
      </c>
      <c r="E981" s="30">
        <f>COUNTIF($C$23:$C$1022,"&lt;"&amp;C981)+(COUNTIF($C$23:$C$1022,"="&amp;C981)+1)/2</f>
        <v/>
      </c>
    </row>
    <row r="982">
      <c r="B982" s="27">
        <f>'1 Data'!B971</f>
        <v/>
      </c>
      <c r="C982" s="47" t="n">
        <v>0.81986535</v>
      </c>
      <c r="D982" s="27">
        <f>'1 Data'!I971</f>
        <v/>
      </c>
      <c r="E982" s="30">
        <f>COUNTIF($C$23:$C$1022,"&lt;"&amp;C982)+(COUNTIF($C$23:$C$1022,"="&amp;C982)+1)/2</f>
        <v/>
      </c>
    </row>
    <row r="983">
      <c r="B983" s="27">
        <f>'1 Data'!B972</f>
        <v/>
      </c>
      <c r="C983" s="47" t="n">
        <v>0.21994807</v>
      </c>
      <c r="D983" s="27">
        <f>'1 Data'!I972</f>
        <v/>
      </c>
      <c r="E983" s="30">
        <f>COUNTIF($C$23:$C$1022,"&lt;"&amp;C983)+(COUNTIF($C$23:$C$1022,"="&amp;C983)+1)/2</f>
        <v/>
      </c>
    </row>
    <row r="984">
      <c r="B984" s="27">
        <f>'1 Data'!B973</f>
        <v/>
      </c>
      <c r="C984" s="47" t="n">
        <v>0.07569975399999999</v>
      </c>
      <c r="D984" s="27">
        <f>'1 Data'!I973</f>
        <v/>
      </c>
      <c r="E984" s="30">
        <f>COUNTIF($C$23:$C$1022,"&lt;"&amp;C984)+(COUNTIF($C$23:$C$1022,"="&amp;C984)+1)/2</f>
        <v/>
      </c>
    </row>
    <row r="985">
      <c r="B985" s="27">
        <f>'1 Data'!B974</f>
        <v/>
      </c>
      <c r="C985" s="47" t="n">
        <v>0.2896739</v>
      </c>
      <c r="D985" s="27">
        <f>'1 Data'!I974</f>
        <v/>
      </c>
      <c r="E985" s="30">
        <f>COUNTIF($C$23:$C$1022,"&lt;"&amp;C985)+(COUNTIF($C$23:$C$1022,"="&amp;C985)+1)/2</f>
        <v/>
      </c>
    </row>
    <row r="986">
      <c r="B986" s="27">
        <f>'1 Data'!B975</f>
        <v/>
      </c>
      <c r="C986" s="47" t="n">
        <v>0.23794505</v>
      </c>
      <c r="D986" s="27">
        <f>'1 Data'!I975</f>
        <v/>
      </c>
      <c r="E986" s="30">
        <f>COUNTIF($C$23:$C$1022,"&lt;"&amp;C986)+(COUNTIF($C$23:$C$1022,"="&amp;C986)+1)/2</f>
        <v/>
      </c>
    </row>
    <row r="987">
      <c r="B987" s="27">
        <f>'1 Data'!B976</f>
        <v/>
      </c>
      <c r="C987" s="47" t="n">
        <v>0.1584636</v>
      </c>
      <c r="D987" s="27">
        <f>'1 Data'!I976</f>
        <v/>
      </c>
      <c r="E987" s="30">
        <f>COUNTIF($C$23:$C$1022,"&lt;"&amp;C987)+(COUNTIF($C$23:$C$1022,"="&amp;C987)+1)/2</f>
        <v/>
      </c>
    </row>
    <row r="988">
      <c r="B988" s="27">
        <f>'1 Data'!B977</f>
        <v/>
      </c>
      <c r="C988" s="47" t="n">
        <v>0.16627458</v>
      </c>
      <c r="D988" s="27">
        <f>'1 Data'!I977</f>
        <v/>
      </c>
      <c r="E988" s="30">
        <f>COUNTIF($C$23:$C$1022,"&lt;"&amp;C988)+(COUNTIF($C$23:$C$1022,"="&amp;C988)+1)/2</f>
        <v/>
      </c>
    </row>
    <row r="989">
      <c r="B989" s="27">
        <f>'1 Data'!B978</f>
        <v/>
      </c>
      <c r="C989" s="47" t="n">
        <v>0.09352916999999999</v>
      </c>
      <c r="D989" s="27">
        <f>'1 Data'!I978</f>
        <v/>
      </c>
      <c r="E989" s="30">
        <f>COUNTIF($C$23:$C$1022,"&lt;"&amp;C989)+(COUNTIF($C$23:$C$1022,"="&amp;C989)+1)/2</f>
        <v/>
      </c>
    </row>
    <row r="990">
      <c r="B990" s="27">
        <f>'1 Data'!B979</f>
        <v/>
      </c>
      <c r="C990" s="47" t="n">
        <v>0.13008276</v>
      </c>
      <c r="D990" s="27">
        <f>'1 Data'!I979</f>
        <v/>
      </c>
      <c r="E990" s="30">
        <f>COUNTIF($C$23:$C$1022,"&lt;"&amp;C990)+(COUNTIF($C$23:$C$1022,"="&amp;C990)+1)/2</f>
        <v/>
      </c>
    </row>
    <row r="991">
      <c r="B991" s="27">
        <f>'1 Data'!B980</f>
        <v/>
      </c>
      <c r="C991" s="47" t="n">
        <v>0.17498863</v>
      </c>
      <c r="D991" s="27">
        <f>'1 Data'!I980</f>
        <v/>
      </c>
      <c r="E991" s="30">
        <f>COUNTIF($C$23:$C$1022,"&lt;"&amp;C991)+(COUNTIF($C$23:$C$1022,"="&amp;C991)+1)/2</f>
        <v/>
      </c>
    </row>
    <row r="992">
      <c r="B992" s="27">
        <f>'1 Data'!B981</f>
        <v/>
      </c>
      <c r="C992" s="47" t="n">
        <v>0.22667113</v>
      </c>
      <c r="D992" s="27">
        <f>'1 Data'!I981</f>
        <v/>
      </c>
      <c r="E992" s="30">
        <f>COUNTIF($C$23:$C$1022,"&lt;"&amp;C992)+(COUNTIF($C$23:$C$1022,"="&amp;C992)+1)/2</f>
        <v/>
      </c>
    </row>
    <row r="993">
      <c r="B993" s="27">
        <f>'1 Data'!B982</f>
        <v/>
      </c>
      <c r="C993" s="47" t="n">
        <v>0.23032315</v>
      </c>
      <c r="D993" s="27">
        <f>'1 Data'!I982</f>
        <v/>
      </c>
      <c r="E993" s="30">
        <f>COUNTIF($C$23:$C$1022,"&lt;"&amp;C993)+(COUNTIF($C$23:$C$1022,"="&amp;C993)+1)/2</f>
        <v/>
      </c>
    </row>
    <row r="994">
      <c r="B994" s="27">
        <f>'1 Data'!B983</f>
        <v/>
      </c>
      <c r="C994" s="47" t="n">
        <v>0.3941084</v>
      </c>
      <c r="D994" s="27">
        <f>'1 Data'!I983</f>
        <v/>
      </c>
      <c r="E994" s="30">
        <f>COUNTIF($C$23:$C$1022,"&lt;"&amp;C994)+(COUNTIF($C$23:$C$1022,"="&amp;C994)+1)/2</f>
        <v/>
      </c>
    </row>
    <row r="995">
      <c r="B995" s="27">
        <f>'1 Data'!B984</f>
        <v/>
      </c>
      <c r="C995" s="47" t="n">
        <v>0.057733715</v>
      </c>
      <c r="D995" s="27">
        <f>'1 Data'!I984</f>
        <v/>
      </c>
      <c r="E995" s="30">
        <f>COUNTIF($C$23:$C$1022,"&lt;"&amp;C995)+(COUNTIF($C$23:$C$1022,"="&amp;C995)+1)/2</f>
        <v/>
      </c>
    </row>
    <row r="996">
      <c r="B996" s="27">
        <f>'1 Data'!B985</f>
        <v/>
      </c>
      <c r="C996" s="47" t="n">
        <v>0.14720708</v>
      </c>
      <c r="D996" s="27">
        <f>'1 Data'!I985</f>
        <v/>
      </c>
      <c r="E996" s="30">
        <f>COUNTIF($C$23:$C$1022,"&lt;"&amp;C996)+(COUNTIF($C$23:$C$1022,"="&amp;C996)+1)/2</f>
        <v/>
      </c>
    </row>
    <row r="997">
      <c r="B997" s="27">
        <f>'1 Data'!B986</f>
        <v/>
      </c>
      <c r="C997" s="47" t="n">
        <v>0.15574013</v>
      </c>
      <c r="D997" s="27">
        <f>'1 Data'!I986</f>
        <v/>
      </c>
      <c r="E997" s="30">
        <f>COUNTIF($C$23:$C$1022,"&lt;"&amp;C997)+(COUNTIF($C$23:$C$1022,"="&amp;C997)+1)/2</f>
        <v/>
      </c>
    </row>
    <row r="998">
      <c r="B998" s="27">
        <f>'1 Data'!B987</f>
        <v/>
      </c>
      <c r="C998" s="47" t="n">
        <v>0.43449995</v>
      </c>
      <c r="D998" s="27">
        <f>'1 Data'!I987</f>
        <v/>
      </c>
      <c r="E998" s="30">
        <f>COUNTIF($C$23:$C$1022,"&lt;"&amp;C998)+(COUNTIF($C$23:$C$1022,"="&amp;C998)+1)/2</f>
        <v/>
      </c>
    </row>
    <row r="999">
      <c r="B999" s="27">
        <f>'1 Data'!B988</f>
        <v/>
      </c>
      <c r="C999" s="47" t="n">
        <v>0.06826063</v>
      </c>
      <c r="D999" s="27">
        <f>'1 Data'!I988</f>
        <v/>
      </c>
      <c r="E999" s="30">
        <f>COUNTIF($C$23:$C$1022,"&lt;"&amp;C999)+(COUNTIF($C$23:$C$1022,"="&amp;C999)+1)/2</f>
        <v/>
      </c>
    </row>
    <row r="1000">
      <c r="B1000" s="27">
        <f>'1 Data'!B989</f>
        <v/>
      </c>
      <c r="C1000" s="47" t="n">
        <v>0.14190222</v>
      </c>
      <c r="D1000" s="27">
        <f>'1 Data'!I989</f>
        <v/>
      </c>
      <c r="E1000" s="30">
        <f>COUNTIF($C$23:$C$1022,"&lt;"&amp;C1000)+(COUNTIF($C$23:$C$1022,"="&amp;C1000)+1)/2</f>
        <v/>
      </c>
    </row>
    <row r="1001">
      <c r="B1001" s="27">
        <f>'1 Data'!B990</f>
        <v/>
      </c>
      <c r="C1001" s="47" t="n">
        <v>0.39499378</v>
      </c>
      <c r="D1001" s="27">
        <f>'1 Data'!I990</f>
        <v/>
      </c>
      <c r="E1001" s="30">
        <f>COUNTIF($C$23:$C$1022,"&lt;"&amp;C1001)+(COUNTIF($C$23:$C$1022,"="&amp;C1001)+1)/2</f>
        <v/>
      </c>
    </row>
    <row r="1002">
      <c r="B1002" s="27">
        <f>'1 Data'!B991</f>
        <v/>
      </c>
      <c r="C1002" s="47" t="n">
        <v>0.22276703</v>
      </c>
      <c r="D1002" s="27">
        <f>'1 Data'!I991</f>
        <v/>
      </c>
      <c r="E1002" s="30">
        <f>COUNTIF($C$23:$C$1022,"&lt;"&amp;C1002)+(COUNTIF($C$23:$C$1022,"="&amp;C1002)+1)/2</f>
        <v/>
      </c>
    </row>
    <row r="1003">
      <c r="B1003" s="27">
        <f>'1 Data'!B992</f>
        <v/>
      </c>
      <c r="C1003" s="47" t="n">
        <v>0.24126437</v>
      </c>
      <c r="D1003" s="27">
        <f>'1 Data'!I992</f>
        <v/>
      </c>
      <c r="E1003" s="30">
        <f>COUNTIF($C$23:$C$1022,"&lt;"&amp;C1003)+(COUNTIF($C$23:$C$1022,"="&amp;C1003)+1)/2</f>
        <v/>
      </c>
    </row>
    <row r="1004">
      <c r="B1004" s="27">
        <f>'1 Data'!B993</f>
        <v/>
      </c>
      <c r="C1004" s="47" t="n">
        <v>0.19370693</v>
      </c>
      <c r="D1004" s="27">
        <f>'1 Data'!I993</f>
        <v/>
      </c>
      <c r="E1004" s="30">
        <f>COUNTIF($C$23:$C$1022,"&lt;"&amp;C1004)+(COUNTIF($C$23:$C$1022,"="&amp;C1004)+1)/2</f>
        <v/>
      </c>
    </row>
    <row r="1005">
      <c r="B1005" s="27">
        <f>'1 Data'!B994</f>
        <v/>
      </c>
      <c r="C1005" s="47" t="n">
        <v>0.19327424</v>
      </c>
      <c r="D1005" s="27">
        <f>'1 Data'!I994</f>
        <v/>
      </c>
      <c r="E1005" s="30">
        <f>COUNTIF($C$23:$C$1022,"&lt;"&amp;C1005)+(COUNTIF($C$23:$C$1022,"="&amp;C1005)+1)/2</f>
        <v/>
      </c>
    </row>
    <row r="1006">
      <c r="B1006" s="27">
        <f>'1 Data'!B995</f>
        <v/>
      </c>
      <c r="C1006" s="47" t="n">
        <v>0.06764367</v>
      </c>
      <c r="D1006" s="27">
        <f>'1 Data'!I995</f>
        <v/>
      </c>
      <c r="E1006" s="30">
        <f>COUNTIF($C$23:$C$1022,"&lt;"&amp;C1006)+(COUNTIF($C$23:$C$1022,"="&amp;C1006)+1)/2</f>
        <v/>
      </c>
    </row>
    <row r="1007">
      <c r="B1007" s="27">
        <f>'1 Data'!B996</f>
        <v/>
      </c>
      <c r="C1007" s="47" t="n">
        <v>0.065214746</v>
      </c>
      <c r="D1007" s="27">
        <f>'1 Data'!I996</f>
        <v/>
      </c>
      <c r="E1007" s="30">
        <f>COUNTIF($C$23:$C$1022,"&lt;"&amp;C1007)+(COUNTIF($C$23:$C$1022,"="&amp;C1007)+1)/2</f>
        <v/>
      </c>
    </row>
    <row r="1008">
      <c r="B1008" s="27">
        <f>'1 Data'!B997</f>
        <v/>
      </c>
      <c r="C1008" s="47" t="n">
        <v>0.16411427</v>
      </c>
      <c r="D1008" s="27">
        <f>'1 Data'!I997</f>
        <v/>
      </c>
      <c r="E1008" s="30">
        <f>COUNTIF($C$23:$C$1022,"&lt;"&amp;C1008)+(COUNTIF($C$23:$C$1022,"="&amp;C1008)+1)/2</f>
        <v/>
      </c>
    </row>
    <row r="1009">
      <c r="B1009" s="27">
        <f>'1 Data'!B998</f>
        <v/>
      </c>
      <c r="C1009" s="47" t="n">
        <v>0.07643214600000001</v>
      </c>
      <c r="D1009" s="27">
        <f>'1 Data'!I998</f>
        <v/>
      </c>
      <c r="E1009" s="30">
        <f>COUNTIF($C$23:$C$1022,"&lt;"&amp;C1009)+(COUNTIF($C$23:$C$1022,"="&amp;C1009)+1)/2</f>
        <v/>
      </c>
    </row>
    <row r="1010">
      <c r="B1010" s="27">
        <f>'1 Data'!B999</f>
        <v/>
      </c>
      <c r="C1010" s="47" t="n">
        <v>0.74091697</v>
      </c>
      <c r="D1010" s="27">
        <f>'1 Data'!I999</f>
        <v/>
      </c>
      <c r="E1010" s="30">
        <f>COUNTIF($C$23:$C$1022,"&lt;"&amp;C1010)+(COUNTIF($C$23:$C$1022,"="&amp;C1010)+1)/2</f>
        <v/>
      </c>
    </row>
    <row r="1011">
      <c r="B1011" s="27">
        <f>'1 Data'!B1000</f>
        <v/>
      </c>
      <c r="C1011" s="47" t="n">
        <v>0.15954867</v>
      </c>
      <c r="D1011" s="27">
        <f>'1 Data'!I1000</f>
        <v/>
      </c>
      <c r="E1011" s="30">
        <f>COUNTIF($C$23:$C$1022,"&lt;"&amp;C1011)+(COUNTIF($C$23:$C$1022,"="&amp;C1011)+1)/2</f>
        <v/>
      </c>
    </row>
    <row r="1012">
      <c r="B1012" s="27">
        <f>'1 Data'!B1001</f>
        <v/>
      </c>
      <c r="C1012" s="47" t="n">
        <v>0.15775266</v>
      </c>
      <c r="D1012" s="27">
        <f>'1 Data'!I1001</f>
        <v/>
      </c>
      <c r="E1012" s="30">
        <f>COUNTIF($C$23:$C$1022,"&lt;"&amp;C1012)+(COUNTIF($C$23:$C$1022,"="&amp;C1012)+1)/2</f>
        <v/>
      </c>
    </row>
    <row r="1013">
      <c r="B1013" s="27">
        <f>'1 Data'!B1002</f>
        <v/>
      </c>
      <c r="C1013" s="47" t="n">
        <v>0.29818812</v>
      </c>
      <c r="D1013" s="27">
        <f>'1 Data'!I1002</f>
        <v/>
      </c>
      <c r="E1013" s="30">
        <f>COUNTIF($C$23:$C$1022,"&lt;"&amp;C1013)+(COUNTIF($C$23:$C$1022,"="&amp;C1013)+1)/2</f>
        <v/>
      </c>
    </row>
    <row r="1014">
      <c r="B1014" s="27">
        <f>'1 Data'!B1003</f>
        <v/>
      </c>
      <c r="C1014" s="47" t="n">
        <v>0.24373613</v>
      </c>
      <c r="D1014" s="27">
        <f>'1 Data'!I1003</f>
        <v/>
      </c>
      <c r="E1014" s="30">
        <f>COUNTIF($C$23:$C$1022,"&lt;"&amp;C1014)+(COUNTIF($C$23:$C$1022,"="&amp;C1014)+1)/2</f>
        <v/>
      </c>
    </row>
    <row r="1015">
      <c r="B1015" s="27">
        <f>'1 Data'!B1004</f>
        <v/>
      </c>
      <c r="C1015" s="47" t="n">
        <v>0.07326849000000001</v>
      </c>
      <c r="D1015" s="27">
        <f>'1 Data'!I1004</f>
        <v/>
      </c>
      <c r="E1015" s="30">
        <f>COUNTIF($C$23:$C$1022,"&lt;"&amp;C1015)+(COUNTIF($C$23:$C$1022,"="&amp;C1015)+1)/2</f>
        <v/>
      </c>
    </row>
    <row r="1016">
      <c r="B1016" s="27">
        <f>'1 Data'!B1005</f>
        <v/>
      </c>
      <c r="C1016" s="47" t="n">
        <v>0.76281655</v>
      </c>
      <c r="D1016" s="27">
        <f>'1 Data'!I1005</f>
        <v/>
      </c>
      <c r="E1016" s="30">
        <f>COUNTIF($C$23:$C$1022,"&lt;"&amp;C1016)+(COUNTIF($C$23:$C$1022,"="&amp;C1016)+1)/2</f>
        <v/>
      </c>
    </row>
    <row r="1017">
      <c r="B1017" s="27">
        <f>'1 Data'!B1006</f>
        <v/>
      </c>
      <c r="C1017" s="47" t="n">
        <v>0.06911870000000001</v>
      </c>
      <c r="D1017" s="27">
        <f>'1 Data'!I1006</f>
        <v/>
      </c>
      <c r="E1017" s="30">
        <f>COUNTIF($C$23:$C$1022,"&lt;"&amp;C1017)+(COUNTIF($C$23:$C$1022,"="&amp;C1017)+1)/2</f>
        <v/>
      </c>
    </row>
    <row r="1018">
      <c r="B1018" s="27">
        <f>'1 Data'!B1007</f>
        <v/>
      </c>
      <c r="C1018" s="47" t="n">
        <v>0.08696855000000001</v>
      </c>
      <c r="D1018" s="27">
        <f>'1 Data'!I1007</f>
        <v/>
      </c>
      <c r="E1018" s="30">
        <f>COUNTIF($C$23:$C$1022,"&lt;"&amp;C1018)+(COUNTIF($C$23:$C$1022,"="&amp;C1018)+1)/2</f>
        <v/>
      </c>
    </row>
    <row r="1019">
      <c r="B1019" s="27">
        <f>'1 Data'!B1008</f>
        <v/>
      </c>
      <c r="C1019" s="47" t="n">
        <v>0.11248314</v>
      </c>
      <c r="D1019" s="27">
        <f>'1 Data'!I1008</f>
        <v/>
      </c>
      <c r="E1019" s="30">
        <f>COUNTIF($C$23:$C$1022,"&lt;"&amp;C1019)+(COUNTIF($C$23:$C$1022,"="&amp;C1019)+1)/2</f>
        <v/>
      </c>
    </row>
    <row r="1020">
      <c r="B1020" s="27">
        <f>'1 Data'!B1009</f>
        <v/>
      </c>
      <c r="C1020" s="47" t="n">
        <v>0.13878775</v>
      </c>
      <c r="D1020" s="27">
        <f>'1 Data'!I1009</f>
        <v/>
      </c>
      <c r="E1020" s="30">
        <f>COUNTIF($C$23:$C$1022,"&lt;"&amp;C1020)+(COUNTIF($C$23:$C$1022,"="&amp;C1020)+1)/2</f>
        <v/>
      </c>
    </row>
    <row r="1021">
      <c r="B1021" s="27">
        <f>'1 Data'!B1010</f>
        <v/>
      </c>
      <c r="C1021" s="47" t="n">
        <v>0.66211283</v>
      </c>
      <c r="D1021" s="27">
        <f>'1 Data'!I1010</f>
        <v/>
      </c>
      <c r="E1021" s="30">
        <f>COUNTIF($C$23:$C$1022,"&lt;"&amp;C1021)+(COUNTIF($C$23:$C$1022,"="&amp;C1021)+1)/2</f>
        <v/>
      </c>
    </row>
    <row r="1022">
      <c r="B1022" s="27">
        <f>'1 Data'!B1011</f>
        <v/>
      </c>
      <c r="C1022" s="47" t="n">
        <v>0.03988545</v>
      </c>
      <c r="D1022" s="27">
        <f>'1 Data'!I1011</f>
        <v/>
      </c>
      <c r="E1022" s="30">
        <f>COUNTIF($C$23:$C$1022,"&lt;"&amp;C1022)+(COUNTIF($C$23:$C$1022,"="&amp;C1022)+1)/2</f>
        <v/>
      </c>
    </row>
    <row r="1024">
      <c r="B1024" s="48" t="inlineStr">
        <is>
          <t>Source: xgboost 2.1.4, XGBClassifier(n_estimators=200, max_depth=3, learning_rate=0.1, subsample=0.9, colsample_bytree=0.9, random_state=42), fitted on the 21,000 training rows of UCI dataset 350. Script: fit_models.py.</t>
        </is>
      </c>
    </row>
  </sheetData>
  <mergeCells count="5">
    <mergeCell ref="B3:G3"/>
    <mergeCell ref="B2:G2"/>
    <mergeCell ref="B5:G8"/>
    <mergeCell ref="B4:G4"/>
    <mergeCell ref="F19:G2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H27"/>
  <sheetViews>
    <sheetView showGridLines="0" workbookViewId="0">
      <selection activeCell="A1" sqref="A1"/>
    </sheetView>
  </sheetViews>
  <sheetFormatPr baseColWidth="8" defaultRowHeight="15"/>
  <cols>
    <col width="24" customWidth="1" min="2" max="2"/>
    <col width="13" customWidth="1" min="3" max="3"/>
    <col width="13" customWidth="1" min="4" max="4"/>
    <col width="13" customWidth="1" min="5" max="5"/>
    <col width="15" customWidth="1" min="6" max="6"/>
    <col width="15" customWidth="1" min="7" max="7"/>
    <col width="15" customWidth="1" min="8" max="8"/>
  </cols>
  <sheetData>
    <row r="2" ht="28" customHeight="1">
      <c r="B2" s="1" t="inlineStr">
        <is>
          <t>All three models, side by side</t>
        </is>
      </c>
    </row>
    <row r="3">
      <c r="B3" s="2" t="inlineStr">
        <is>
          <t>Which one ranks best, and what does each one cost you at a real cut-off?</t>
        </is>
      </c>
    </row>
    <row r="4" ht="4" customHeight="1">
      <c r="B4" s="3" t="inlineStr"/>
    </row>
    <row r="5" ht="15" customHeight="1">
      <c r="B5" s="4" t="inlineStr">
        <is>
          <t>Every number on this sheet is live. AUC and KS come from the formulas on sheet 6, computed over the 1,000 scored customers. The bottom half recomputes too: change the cut-off in the yellow cell and every confusion matrix recomputes with COUNTIFS across the three model sheets.
Read the gap. XGBoost wins on every measure, and it wins by about five points of AUC. That is a real edge and it is smaller than most people expect. It is also the model you cannot explain to the customer you declined.</t>
        </is>
      </c>
    </row>
    <row r="6" ht="15" customHeight="1"/>
    <row r="7" ht="15" customHeight="1"/>
    <row r="8" ht="15" customHeight="1"/>
    <row r="11" ht="26" customHeight="1">
      <c r="B11" s="5" t="inlineStr">
        <is>
          <t>Model</t>
        </is>
      </c>
      <c r="C11" s="5" t="inlineStr">
        <is>
          <t>AUC</t>
        </is>
      </c>
      <c r="D11" s="5" t="inlineStr">
        <is>
          <t>Gini</t>
        </is>
      </c>
      <c r="E11" s="5" t="inlineStr">
        <is>
          <t>KS</t>
        </is>
      </c>
      <c r="F11" s="5" t="inlineStr">
        <is>
          <t>Can you write it in a cell?</t>
        </is>
      </c>
      <c r="G11" s="25" t="n"/>
      <c r="H11" s="26" t="n"/>
    </row>
    <row r="12">
      <c r="B12" s="49" t="inlineStr">
        <is>
          <t>Logistic Regression</t>
        </is>
      </c>
      <c r="C12" s="50">
        <f>'6 AUC and KS live'!C15</f>
        <v/>
      </c>
      <c r="D12" s="51">
        <f>2*C12-1</f>
        <v/>
      </c>
      <c r="E12" s="52">
        <f>'6 AUC and KS live'!J23</f>
        <v/>
      </c>
      <c r="F12" s="53" t="inlineStr">
        <is>
          <t>Yes — one line, six coefficients</t>
        </is>
      </c>
    </row>
    <row r="13">
      <c r="B13" s="49" t="inlineStr">
        <is>
          <t>Decision Tree</t>
        </is>
      </c>
      <c r="C13" s="50">
        <f>'6 AUC and KS live'!C35</f>
        <v/>
      </c>
      <c r="D13" s="51">
        <f>2*C13-1</f>
        <v/>
      </c>
      <c r="E13" s="52">
        <f>'6 AUC and KS live'!J43</f>
        <v/>
      </c>
      <c r="F13" s="53" t="inlineStr">
        <is>
          <t>Yes — seven nested IF conditions</t>
        </is>
      </c>
    </row>
    <row r="14">
      <c r="B14" s="31" t="inlineStr">
        <is>
          <t>XGBoost</t>
        </is>
      </c>
      <c r="C14" s="54">
        <f>'6 AUC and KS live'!C55</f>
        <v/>
      </c>
      <c r="D14" s="55">
        <f>2*C14-1</f>
        <v/>
      </c>
      <c r="E14" s="56">
        <f>'6 AUC and KS live'!J63</f>
        <v/>
      </c>
      <c r="F14" s="57" t="inlineStr">
        <is>
          <t>No — 200 trees, up to 1,600 leaves</t>
        </is>
      </c>
    </row>
    <row r="16">
      <c r="B16" s="48" t="inlineStr">
        <is>
          <t>AUC and KS are now live formulas on sheet 6, computed over the 1,000 scored customers. Gini is =2*AUC-1. Nothing on this row is typed in.</t>
        </is>
      </c>
    </row>
    <row r="18">
      <c r="B18" s="58" t="inlineStr">
        <is>
          <t>CUT-OFF  —  decline everyone whose PD is at or above this</t>
        </is>
      </c>
      <c r="C18" s="25" t="n"/>
      <c r="D18" s="25" t="n"/>
      <c r="E18" s="26" t="n"/>
      <c r="F18" s="59" t="n">
        <v>0.3</v>
      </c>
      <c r="G18" s="60" t="inlineStr">
        <is>
          <t>change me</t>
        </is>
      </c>
      <c r="H18" s="26" t="n"/>
    </row>
    <row r="20" ht="32" customHeight="1">
      <c r="B20" s="5" t="inlineStr">
        <is>
          <t>Model</t>
        </is>
      </c>
      <c r="C20" s="5" t="inlineStr">
        <is>
          <t>Declined</t>
        </is>
      </c>
      <c r="D20" s="5" t="inlineStr">
        <is>
          <t>Approved</t>
        </is>
      </c>
      <c r="E20" s="5" t="inlineStr">
        <is>
          <t>Defaults caught</t>
        </is>
      </c>
      <c r="F20" s="5" t="inlineStr">
        <is>
          <t>Defaults missed</t>
        </is>
      </c>
      <c r="G20" s="5" t="inlineStr">
        <is>
          <t>Good customers refused</t>
        </is>
      </c>
      <c r="H20" s="5" t="inlineStr">
        <is>
          <t>Bad rate among approved</t>
        </is>
      </c>
    </row>
    <row r="21">
      <c r="B21" s="49" t="inlineStr">
        <is>
          <t>Logistic Regression</t>
        </is>
      </c>
      <c r="C21" s="61">
        <f>COUNTIF('2 Logistic Regression'!$D$23:$D$1022,"&gt;="&amp;$F$18)</f>
        <v/>
      </c>
      <c r="D21" s="61">
        <f>COUNTIF('2 Logistic Regression'!$D$23:$D$1022,"&lt;"&amp;$F$18)</f>
        <v/>
      </c>
      <c r="E21" s="62">
        <f>COUNTIFS('2 Logistic Regression'!$D$23:$D$1022,"&gt;="&amp;$F$18,'1 Data'!$I$12:$I$1011,1)</f>
        <v/>
      </c>
      <c r="F21" s="61">
        <f>COUNTIFS('2 Logistic Regression'!$D$23:$D$1022,"&lt;"&amp;$F$18,'1 Data'!$I$12:$I$1011,1)</f>
        <v/>
      </c>
      <c r="G21" s="61">
        <f>COUNTIFS('2 Logistic Regression'!$D$23:$D$1022,"&gt;="&amp;$F$18,'1 Data'!$I$12:$I$1011,0)</f>
        <v/>
      </c>
      <c r="H21" s="63">
        <f>IFERROR(COUNTIFS('2 Logistic Regression'!$D$23:$D$1022,"&lt;"&amp;$F$18,'1 Data'!$I$12:$I$1011,1)/D21,0)</f>
        <v/>
      </c>
    </row>
    <row r="22">
      <c r="B22" s="64" t="inlineStr">
        <is>
          <t>Decision Tree</t>
        </is>
      </c>
      <c r="C22" s="65">
        <f>COUNTIF('3 Decision Tree'!$D$23:$D$1022,"&gt;="&amp;$F$18)</f>
        <v/>
      </c>
      <c r="D22" s="65">
        <f>COUNTIF('3 Decision Tree'!$D$23:$D$1022,"&lt;"&amp;$F$18)</f>
        <v/>
      </c>
      <c r="E22" s="66">
        <f>COUNTIFS('3 Decision Tree'!$D$23:$D$1022,"&gt;="&amp;$F$18,'1 Data'!$I$12:$I$1011,1)</f>
        <v/>
      </c>
      <c r="F22" s="65">
        <f>COUNTIFS('3 Decision Tree'!$D$23:$D$1022,"&lt;"&amp;$F$18,'1 Data'!$I$12:$I$1011,1)</f>
        <v/>
      </c>
      <c r="G22" s="65">
        <f>COUNTIFS('3 Decision Tree'!$D$23:$D$1022,"&gt;="&amp;$F$18,'1 Data'!$I$12:$I$1011,0)</f>
        <v/>
      </c>
      <c r="H22" s="67">
        <f>IFERROR(COUNTIFS('3 Decision Tree'!$D$23:$D$1022,"&lt;"&amp;$F$18,'1 Data'!$I$12:$I$1011,1)/D22,0)</f>
        <v/>
      </c>
    </row>
    <row r="23">
      <c r="B23" s="49" t="inlineStr">
        <is>
          <t>XGBoost</t>
        </is>
      </c>
      <c r="C23" s="61">
        <f>COUNTIF('4 XGBoost'!$C$23:$C$1022,"&gt;="&amp;$F$18)</f>
        <v/>
      </c>
      <c r="D23" s="61">
        <f>COUNTIF('4 XGBoost'!$C$23:$C$1022,"&lt;"&amp;$F$18)</f>
        <v/>
      </c>
      <c r="E23" s="62">
        <f>COUNTIFS('4 XGBoost'!$C$23:$C$1022,"&gt;="&amp;$F$18,'1 Data'!$I$12:$I$1011,1)</f>
        <v/>
      </c>
      <c r="F23" s="61">
        <f>COUNTIFS('4 XGBoost'!$C$23:$C$1022,"&lt;"&amp;$F$18,'1 Data'!$I$12:$I$1011,1)</f>
        <v/>
      </c>
      <c r="G23" s="61">
        <f>COUNTIFS('4 XGBoost'!$C$23:$C$1022,"&gt;="&amp;$F$18,'1 Data'!$I$12:$I$1011,0)</f>
        <v/>
      </c>
      <c r="H23" s="63">
        <f>IFERROR(COUNTIFS('4 XGBoost'!$C$23:$C$1022,"&lt;"&amp;$F$18,'1 Data'!$I$12:$I$1011,1)/D23,0)</f>
        <v/>
      </c>
    </row>
    <row r="25">
      <c r="B25" s="68" t="inlineStr">
        <is>
          <t>Computed live over the 1,000 sampled test customers on sheet 1. "Defaults caught" is the bank avoiding a loss. "Good customers refused" is the bank losing business it should have written. Moving the cut-off trades one against the other, and that trade is a commercial decision, not a modelling one.</t>
        </is>
      </c>
    </row>
    <row r="26"/>
    <row r="27"/>
  </sheetData>
  <mergeCells count="12">
    <mergeCell ref="B5:H8"/>
    <mergeCell ref="B18:E18"/>
    <mergeCell ref="F14:H14"/>
    <mergeCell ref="F13:H13"/>
    <mergeCell ref="B4:H4"/>
    <mergeCell ref="G18:H18"/>
    <mergeCell ref="B2:H2"/>
    <mergeCell ref="B16:H16"/>
    <mergeCell ref="F12:H12"/>
    <mergeCell ref="B3:H3"/>
    <mergeCell ref="B25:H27"/>
    <mergeCell ref="F11:H1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2:K63"/>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3" customWidth="1" min="2" max="2"/>
    <col width="11" customWidth="1" min="3" max="3"/>
    <col width="11" customWidth="1" min="4" max="4"/>
    <col width="12" customWidth="1" min="5" max="5"/>
    <col width="12" customWidth="1" min="6" max="6"/>
    <col width="14" customWidth="1" min="7" max="7"/>
    <col width="14" customWidth="1" min="8" max="8"/>
    <col width="12" customWidth="1" min="9" max="9"/>
    <col width="14" customWidth="1" min="10" max="10"/>
    <col width="11" customWidth="1" min="11" max="11"/>
  </cols>
  <sheetData>
    <row r="2" ht="28" customHeight="1">
      <c r="B2" s="1" t="inlineStr">
        <is>
          <t>AUC, Gini and KS — computed by Excel, not pasted in</t>
        </is>
      </c>
    </row>
    <row r="3">
      <c r="B3" s="2" t="inlineStr">
        <is>
          <t>Every number on this sheet is a formula over the 1,000 scored customers.</t>
        </is>
      </c>
    </row>
    <row r="4" ht="4" customHeight="1">
      <c r="B4" s="3" t="inlineStr"/>
    </row>
    <row r="5" ht="15" customHeight="1">
      <c r="B5" s="4" t="inlineStr">
        <is>
          <t>AUC is computed the way a statistician defines it. Rank all 1,000 customers by PD, add up the ranks of the ones who actually defaulted, and compare that total with the best and worst it could possibly be. The mid-rank columns on sheets 2, 3 and 4 do the ranking, and they handle ties by splitting them.
The band tables below build the curve that KS is measured on. Each band counts how many customers fell in it and how many of those defaulted, then tracks what share of all bad customers and all good customers you have picked up as you move down from the riskiest band. KS is the widest gap between those two running totals.
One honest caveat on KS. These tables use ten bands of width 0.1, so the widest gap can only be found at a band edge. The textbook KS looks at every possible cut-off, so it is always the same or a little higher than the figure below. Narrow the bands and the two converge. AUC has no such issue: the rank method below is exact.
Change a coefficient on sheet 2 and every number on this sheet moves.</t>
        </is>
      </c>
    </row>
    <row r="6" ht="15" customHeight="1"/>
    <row r="7" ht="15" customHeight="1"/>
    <row r="8" ht="15" customHeight="1"/>
    <row r="11" ht="22" customHeight="1">
      <c r="B11" s="69" t="inlineStr">
        <is>
          <t xml:space="preserve">   Logistic Regression</t>
        </is>
      </c>
    </row>
    <row r="12" ht="26" customHeight="1">
      <c r="B12" s="70" t="inlineStr">
        <is>
          <t>Bad customers (defaulted)</t>
        </is>
      </c>
      <c r="C12" s="61">
        <f>SUM('2 Logistic Regression'!$E$23:$E$1022)</f>
        <v/>
      </c>
      <c r="D12" s="71" t="inlineStr">
        <is>
          <t>From</t>
        </is>
      </c>
      <c r="E12" s="71" t="inlineStr">
        <is>
          <t>To</t>
        </is>
      </c>
      <c r="F12" s="71" t="inlineStr">
        <is>
          <t>Customers</t>
        </is>
      </c>
      <c r="G12" s="71" t="inlineStr">
        <is>
          <t>Bad</t>
        </is>
      </c>
      <c r="H12" s="71" t="inlineStr">
        <is>
          <t>Good</t>
        </is>
      </c>
      <c r="I12" s="71" t="inlineStr">
        <is>
          <t>Cum % of bad</t>
        </is>
      </c>
      <c r="J12" s="71" t="inlineStr">
        <is>
          <t>Cum % of good</t>
        </is>
      </c>
      <c r="K12" s="71" t="inlineStr">
        <is>
          <t>Gap</t>
        </is>
      </c>
    </row>
    <row r="13">
      <c r="B13" s="70" t="inlineStr">
        <is>
          <t>Good customers</t>
        </is>
      </c>
      <c r="C13" s="61">
        <f>COUNT('2 Logistic Regression'!$E$23:$E$1022)-C12</f>
        <v/>
      </c>
      <c r="D13" s="72" t="n">
        <v>0.9</v>
      </c>
      <c r="E13" s="72" t="n">
        <v>1</v>
      </c>
      <c r="F13" s="73">
        <f>COUNTIFS('2 Logistic Regression'!$D$23:$D$1022,"&gt;="&amp;D13,'2 Logistic Regression'!$D$23:$D$1022,"&lt;"&amp;E13)</f>
        <v/>
      </c>
      <c r="G13" s="73">
        <f>COUNTIFS('2 Logistic Regression'!$D$23:$D$1022,"&gt;="&amp;D13,'2 Logistic Regression'!$D$23:$D$1022,"&lt;"&amp;E13,'2 Logistic Regression'!$E$23:$E$1022,1)</f>
        <v/>
      </c>
      <c r="H13" s="73">
        <f>F13-G13</f>
        <v/>
      </c>
      <c r="I13" s="74">
        <f>SUM($G$13:G13)/SUM($G$13:$G$22)</f>
        <v/>
      </c>
      <c r="J13" s="74">
        <f>SUM($H$13:H13)/SUM($H$13:$H$22)</f>
        <v/>
      </c>
      <c r="K13" s="75">
        <f>I13-J13</f>
        <v/>
      </c>
    </row>
    <row r="14">
      <c r="B14" s="70" t="inlineStr">
        <is>
          <t>Sum of the bad customers' ranks</t>
        </is>
      </c>
      <c r="C14" s="76">
        <f>SUMPRODUCT('2 Logistic Regression'!$G$23:$G$1022,'2 Logistic Regression'!$E$23:$E$1022)</f>
        <v/>
      </c>
      <c r="D14" s="72" t="n">
        <v>0.8</v>
      </c>
      <c r="E14" s="72" t="n">
        <v>0.9</v>
      </c>
      <c r="F14" s="73">
        <f>COUNTIFS('2 Logistic Regression'!$D$23:$D$1022,"&gt;="&amp;D14,'2 Logistic Regression'!$D$23:$D$1022,"&lt;"&amp;E14)</f>
        <v/>
      </c>
      <c r="G14" s="73">
        <f>COUNTIFS('2 Logistic Regression'!$D$23:$D$1022,"&gt;="&amp;D14,'2 Logistic Regression'!$D$23:$D$1022,"&lt;"&amp;E14,'2 Logistic Regression'!$E$23:$E$1022,1)</f>
        <v/>
      </c>
      <c r="H14" s="73">
        <f>F14-G14</f>
        <v/>
      </c>
      <c r="I14" s="74">
        <f>SUM($G$13:G14)/SUM($G$13:$G$22)</f>
        <v/>
      </c>
      <c r="J14" s="74">
        <f>SUM($H$13:H14)/SUM($H$13:$H$22)</f>
        <v/>
      </c>
      <c r="K14" s="75">
        <f>I14-J14</f>
        <v/>
      </c>
    </row>
    <row r="15">
      <c r="B15" s="77" t="inlineStr">
        <is>
          <t>AUC</t>
        </is>
      </c>
      <c r="C15" s="78">
        <f>(C14-C12*(C12+1)/2)/(C12*C13)</f>
        <v/>
      </c>
      <c r="D15" s="72" t="n">
        <v>0.7</v>
      </c>
      <c r="E15" s="72" t="n">
        <v>0.8</v>
      </c>
      <c r="F15" s="73">
        <f>COUNTIFS('2 Logistic Regression'!$D$23:$D$1022,"&gt;="&amp;D15,'2 Logistic Regression'!$D$23:$D$1022,"&lt;"&amp;E15)</f>
        <v/>
      </c>
      <c r="G15" s="73">
        <f>COUNTIFS('2 Logistic Regression'!$D$23:$D$1022,"&gt;="&amp;D15,'2 Logistic Regression'!$D$23:$D$1022,"&lt;"&amp;E15,'2 Logistic Regression'!$E$23:$E$1022,1)</f>
        <v/>
      </c>
      <c r="H15" s="73">
        <f>F15-G15</f>
        <v/>
      </c>
      <c r="I15" s="74">
        <f>SUM($G$13:G15)/SUM($G$13:$G$22)</f>
        <v/>
      </c>
      <c r="J15" s="74">
        <f>SUM($H$13:H15)/SUM($H$13:$H$22)</f>
        <v/>
      </c>
      <c r="K15" s="75">
        <f>I15-J15</f>
        <v/>
      </c>
    </row>
    <row r="16">
      <c r="B16" s="77" t="inlineStr">
        <is>
          <t>Gini  = 2 × AUC − 1</t>
        </is>
      </c>
      <c r="C16" s="78">
        <f>2*C15-1</f>
        <v/>
      </c>
      <c r="D16" s="72" t="n">
        <v>0.6</v>
      </c>
      <c r="E16" s="72" t="n">
        <v>0.7</v>
      </c>
      <c r="F16" s="73">
        <f>COUNTIFS('2 Logistic Regression'!$D$23:$D$1022,"&gt;="&amp;D16,'2 Logistic Regression'!$D$23:$D$1022,"&lt;"&amp;E16)</f>
        <v/>
      </c>
      <c r="G16" s="73">
        <f>COUNTIFS('2 Logistic Regression'!$D$23:$D$1022,"&gt;="&amp;D16,'2 Logistic Regression'!$D$23:$D$1022,"&lt;"&amp;E16,'2 Logistic Regression'!$E$23:$E$1022,1)</f>
        <v/>
      </c>
      <c r="H16" s="73">
        <f>F16-G16</f>
        <v/>
      </c>
      <c r="I16" s="74">
        <f>SUM($G$13:G16)/SUM($G$13:$G$22)</f>
        <v/>
      </c>
      <c r="J16" s="74">
        <f>SUM($H$13:H16)/SUM($H$13:$H$22)</f>
        <v/>
      </c>
      <c r="K16" s="75">
        <f>I16-J16</f>
        <v/>
      </c>
    </row>
    <row r="17">
      <c r="D17" s="72" t="n">
        <v>0.5</v>
      </c>
      <c r="E17" s="72" t="n">
        <v>0.6</v>
      </c>
      <c r="F17" s="73">
        <f>COUNTIFS('2 Logistic Regression'!$D$23:$D$1022,"&gt;="&amp;D17,'2 Logistic Regression'!$D$23:$D$1022,"&lt;"&amp;E17)</f>
        <v/>
      </c>
      <c r="G17" s="73">
        <f>COUNTIFS('2 Logistic Regression'!$D$23:$D$1022,"&gt;="&amp;D17,'2 Logistic Regression'!$D$23:$D$1022,"&lt;"&amp;E17,'2 Logistic Regression'!$E$23:$E$1022,1)</f>
        <v/>
      </c>
      <c r="H17" s="73">
        <f>F17-G17</f>
        <v/>
      </c>
      <c r="I17" s="74">
        <f>SUM($G$13:G17)/SUM($G$13:$G$22)</f>
        <v/>
      </c>
      <c r="J17" s="74">
        <f>SUM($H$13:H17)/SUM($H$13:$H$22)</f>
        <v/>
      </c>
      <c r="K17" s="75">
        <f>I17-J17</f>
        <v/>
      </c>
    </row>
    <row r="18">
      <c r="D18" s="72" t="n">
        <v>0.4</v>
      </c>
      <c r="E18" s="72" t="n">
        <v>0.5</v>
      </c>
      <c r="F18" s="73">
        <f>COUNTIFS('2 Logistic Regression'!$D$23:$D$1022,"&gt;="&amp;D18,'2 Logistic Regression'!$D$23:$D$1022,"&lt;"&amp;E18)</f>
        <v/>
      </c>
      <c r="G18" s="73">
        <f>COUNTIFS('2 Logistic Regression'!$D$23:$D$1022,"&gt;="&amp;D18,'2 Logistic Regression'!$D$23:$D$1022,"&lt;"&amp;E18,'2 Logistic Regression'!$E$23:$E$1022,1)</f>
        <v/>
      </c>
      <c r="H18" s="73">
        <f>F18-G18</f>
        <v/>
      </c>
      <c r="I18" s="74">
        <f>SUM($G$13:G18)/SUM($G$13:$G$22)</f>
        <v/>
      </c>
      <c r="J18" s="74">
        <f>SUM($H$13:H18)/SUM($H$13:$H$22)</f>
        <v/>
      </c>
      <c r="K18" s="75">
        <f>I18-J18</f>
        <v/>
      </c>
    </row>
    <row r="19">
      <c r="D19" s="72" t="n">
        <v>0.3</v>
      </c>
      <c r="E19" s="72" t="n">
        <v>0.4</v>
      </c>
      <c r="F19" s="73">
        <f>COUNTIFS('2 Logistic Regression'!$D$23:$D$1022,"&gt;="&amp;D19,'2 Logistic Regression'!$D$23:$D$1022,"&lt;"&amp;E19)</f>
        <v/>
      </c>
      <c r="G19" s="73">
        <f>COUNTIFS('2 Logistic Regression'!$D$23:$D$1022,"&gt;="&amp;D19,'2 Logistic Regression'!$D$23:$D$1022,"&lt;"&amp;E19,'2 Logistic Regression'!$E$23:$E$1022,1)</f>
        <v/>
      </c>
      <c r="H19" s="73">
        <f>F19-G19</f>
        <v/>
      </c>
      <c r="I19" s="74">
        <f>SUM($G$13:G19)/SUM($G$13:$G$22)</f>
        <v/>
      </c>
      <c r="J19" s="74">
        <f>SUM($H$13:H19)/SUM($H$13:$H$22)</f>
        <v/>
      </c>
      <c r="K19" s="75">
        <f>I19-J19</f>
        <v/>
      </c>
    </row>
    <row r="20">
      <c r="D20" s="72" t="n">
        <v>0.2</v>
      </c>
      <c r="E20" s="72" t="n">
        <v>0.3</v>
      </c>
      <c r="F20" s="73">
        <f>COUNTIFS('2 Logistic Regression'!$D$23:$D$1022,"&gt;="&amp;D20,'2 Logistic Regression'!$D$23:$D$1022,"&lt;"&amp;E20)</f>
        <v/>
      </c>
      <c r="G20" s="73">
        <f>COUNTIFS('2 Logistic Regression'!$D$23:$D$1022,"&gt;="&amp;D20,'2 Logistic Regression'!$D$23:$D$1022,"&lt;"&amp;E20,'2 Logistic Regression'!$E$23:$E$1022,1)</f>
        <v/>
      </c>
      <c r="H20" s="73">
        <f>F20-G20</f>
        <v/>
      </c>
      <c r="I20" s="74">
        <f>SUM($G$13:G20)/SUM($G$13:$G$22)</f>
        <v/>
      </c>
      <c r="J20" s="74">
        <f>SUM($H$13:H20)/SUM($H$13:$H$22)</f>
        <v/>
      </c>
      <c r="K20" s="75">
        <f>I20-J20</f>
        <v/>
      </c>
    </row>
    <row r="21">
      <c r="D21" s="72" t="n">
        <v>0.1</v>
      </c>
      <c r="E21" s="72" t="n">
        <v>0.2</v>
      </c>
      <c r="F21" s="73">
        <f>COUNTIFS('2 Logistic Regression'!$D$23:$D$1022,"&gt;="&amp;D21,'2 Logistic Regression'!$D$23:$D$1022,"&lt;"&amp;E21)</f>
        <v/>
      </c>
      <c r="G21" s="73">
        <f>COUNTIFS('2 Logistic Regression'!$D$23:$D$1022,"&gt;="&amp;D21,'2 Logistic Regression'!$D$23:$D$1022,"&lt;"&amp;E21,'2 Logistic Regression'!$E$23:$E$1022,1)</f>
        <v/>
      </c>
      <c r="H21" s="73">
        <f>F21-G21</f>
        <v/>
      </c>
      <c r="I21" s="74">
        <f>SUM($G$13:G21)/SUM($G$13:$G$22)</f>
        <v/>
      </c>
      <c r="J21" s="74">
        <f>SUM($H$13:H21)/SUM($H$13:$H$22)</f>
        <v/>
      </c>
      <c r="K21" s="75">
        <f>I21-J21</f>
        <v/>
      </c>
    </row>
    <row r="22">
      <c r="D22" s="72" t="n">
        <v>0</v>
      </c>
      <c r="E22" s="72" t="n">
        <v>0.1</v>
      </c>
      <c r="F22" s="73">
        <f>COUNTIFS('2 Logistic Regression'!$D$23:$D$1022,"&gt;="&amp;D22,'2 Logistic Regression'!$D$23:$D$1022,"&lt;="&amp;E22)</f>
        <v/>
      </c>
      <c r="G22" s="73">
        <f>COUNTIFS('2 Logistic Regression'!$D$23:$D$1022,"&gt;="&amp;D22,'2 Logistic Regression'!$D$23:$D$1022,"&lt;="&amp;E22,'2 Logistic Regression'!$E$23:$E$1022,1)</f>
        <v/>
      </c>
      <c r="H22" s="73">
        <f>F22-G22</f>
        <v/>
      </c>
      <c r="I22" s="74">
        <f>SUM($G$13:G22)/SUM($G$13:$G$22)</f>
        <v/>
      </c>
      <c r="J22" s="74">
        <f>SUM($H$13:H22)/SUM($H$13:$H$22)</f>
        <v/>
      </c>
      <c r="K22" s="75">
        <f>I22-J22</f>
        <v/>
      </c>
    </row>
    <row r="23">
      <c r="I23" s="79" t="inlineStr">
        <is>
          <t>KS  =</t>
        </is>
      </c>
      <c r="J23" s="80">
        <f>MAX(K13:K22)</f>
        <v/>
      </c>
      <c r="K23" s="81" t="inlineStr">
        <is>
          <t>widest gap</t>
        </is>
      </c>
    </row>
    <row r="31" ht="22" customHeight="1">
      <c r="B31" s="69" t="inlineStr">
        <is>
          <t xml:space="preserve">   Decision Tree</t>
        </is>
      </c>
    </row>
    <row r="32" ht="26" customHeight="1">
      <c r="B32" s="70" t="inlineStr">
        <is>
          <t>Bad customers (defaulted)</t>
        </is>
      </c>
      <c r="C32" s="61">
        <f>SUM('3 Decision Tree'!$E$23:$E$1022)</f>
        <v/>
      </c>
      <c r="D32" s="71" t="inlineStr">
        <is>
          <t>From</t>
        </is>
      </c>
      <c r="E32" s="71" t="inlineStr">
        <is>
          <t>To</t>
        </is>
      </c>
      <c r="F32" s="71" t="inlineStr">
        <is>
          <t>Customers</t>
        </is>
      </c>
      <c r="G32" s="71" t="inlineStr">
        <is>
          <t>Bad</t>
        </is>
      </c>
      <c r="H32" s="71" t="inlineStr">
        <is>
          <t>Good</t>
        </is>
      </c>
      <c r="I32" s="71" t="inlineStr">
        <is>
          <t>Cum % of bad</t>
        </is>
      </c>
      <c r="J32" s="71" t="inlineStr">
        <is>
          <t>Cum % of good</t>
        </is>
      </c>
      <c r="K32" s="71" t="inlineStr">
        <is>
          <t>Gap</t>
        </is>
      </c>
    </row>
    <row r="33">
      <c r="B33" s="70" t="inlineStr">
        <is>
          <t>Good customers</t>
        </is>
      </c>
      <c r="C33" s="61">
        <f>COUNT('3 Decision Tree'!$E$23:$E$1022)-C32</f>
        <v/>
      </c>
      <c r="D33" s="72" t="n">
        <v>0.9</v>
      </c>
      <c r="E33" s="72" t="n">
        <v>1</v>
      </c>
      <c r="F33" s="73">
        <f>COUNTIFS('3 Decision Tree'!$D$23:$D$1022,"&gt;="&amp;D33,'3 Decision Tree'!$D$23:$D$1022,"&lt;"&amp;E33)</f>
        <v/>
      </c>
      <c r="G33" s="73">
        <f>COUNTIFS('3 Decision Tree'!$D$23:$D$1022,"&gt;="&amp;D33,'3 Decision Tree'!$D$23:$D$1022,"&lt;"&amp;E33,'3 Decision Tree'!$E$23:$E$1022,1)</f>
        <v/>
      </c>
      <c r="H33" s="73">
        <f>F33-G33</f>
        <v/>
      </c>
      <c r="I33" s="74">
        <f>SUM($G$33:G33)/SUM($G$33:$G$42)</f>
        <v/>
      </c>
      <c r="J33" s="74">
        <f>SUM($H$33:H33)/SUM($H$33:$H$42)</f>
        <v/>
      </c>
      <c r="K33" s="75">
        <f>I33-J33</f>
        <v/>
      </c>
    </row>
    <row r="34">
      <c r="B34" s="70" t="inlineStr">
        <is>
          <t>Sum of the bad customers' ranks</t>
        </is>
      </c>
      <c r="C34" s="76">
        <f>SUMPRODUCT('3 Decision Tree'!$F$23:$F$1022,'3 Decision Tree'!$E$23:$E$1022)</f>
        <v/>
      </c>
      <c r="D34" s="72" t="n">
        <v>0.8</v>
      </c>
      <c r="E34" s="72" t="n">
        <v>0.9</v>
      </c>
      <c r="F34" s="73">
        <f>COUNTIFS('3 Decision Tree'!$D$23:$D$1022,"&gt;="&amp;D34,'3 Decision Tree'!$D$23:$D$1022,"&lt;"&amp;E34)</f>
        <v/>
      </c>
      <c r="G34" s="73">
        <f>COUNTIFS('3 Decision Tree'!$D$23:$D$1022,"&gt;="&amp;D34,'3 Decision Tree'!$D$23:$D$1022,"&lt;"&amp;E34,'3 Decision Tree'!$E$23:$E$1022,1)</f>
        <v/>
      </c>
      <c r="H34" s="73">
        <f>F34-G34</f>
        <v/>
      </c>
      <c r="I34" s="74">
        <f>SUM($G$33:G34)/SUM($G$33:$G$42)</f>
        <v/>
      </c>
      <c r="J34" s="74">
        <f>SUM($H$33:H34)/SUM($H$33:$H$42)</f>
        <v/>
      </c>
      <c r="K34" s="75">
        <f>I34-J34</f>
        <v/>
      </c>
    </row>
    <row r="35">
      <c r="B35" s="77" t="inlineStr">
        <is>
          <t>AUC</t>
        </is>
      </c>
      <c r="C35" s="78">
        <f>(C34-C32*(C32+1)/2)/(C32*C33)</f>
        <v/>
      </c>
      <c r="D35" s="72" t="n">
        <v>0.7</v>
      </c>
      <c r="E35" s="72" t="n">
        <v>0.8</v>
      </c>
      <c r="F35" s="73">
        <f>COUNTIFS('3 Decision Tree'!$D$23:$D$1022,"&gt;="&amp;D35,'3 Decision Tree'!$D$23:$D$1022,"&lt;"&amp;E35)</f>
        <v/>
      </c>
      <c r="G35" s="73">
        <f>COUNTIFS('3 Decision Tree'!$D$23:$D$1022,"&gt;="&amp;D35,'3 Decision Tree'!$D$23:$D$1022,"&lt;"&amp;E35,'3 Decision Tree'!$E$23:$E$1022,1)</f>
        <v/>
      </c>
      <c r="H35" s="73">
        <f>F35-G35</f>
        <v/>
      </c>
      <c r="I35" s="74">
        <f>SUM($G$33:G35)/SUM($G$33:$G$42)</f>
        <v/>
      </c>
      <c r="J35" s="74">
        <f>SUM($H$33:H35)/SUM($H$33:$H$42)</f>
        <v/>
      </c>
      <c r="K35" s="75">
        <f>I35-J35</f>
        <v/>
      </c>
    </row>
    <row r="36">
      <c r="B36" s="77" t="inlineStr">
        <is>
          <t>Gini  = 2 × AUC − 1</t>
        </is>
      </c>
      <c r="C36" s="78">
        <f>2*C35-1</f>
        <v/>
      </c>
      <c r="D36" s="72" t="n">
        <v>0.6</v>
      </c>
      <c r="E36" s="72" t="n">
        <v>0.7</v>
      </c>
      <c r="F36" s="73">
        <f>COUNTIFS('3 Decision Tree'!$D$23:$D$1022,"&gt;="&amp;D36,'3 Decision Tree'!$D$23:$D$1022,"&lt;"&amp;E36)</f>
        <v/>
      </c>
      <c r="G36" s="73">
        <f>COUNTIFS('3 Decision Tree'!$D$23:$D$1022,"&gt;="&amp;D36,'3 Decision Tree'!$D$23:$D$1022,"&lt;"&amp;E36,'3 Decision Tree'!$E$23:$E$1022,1)</f>
        <v/>
      </c>
      <c r="H36" s="73">
        <f>F36-G36</f>
        <v/>
      </c>
      <c r="I36" s="74">
        <f>SUM($G$33:G36)/SUM($G$33:$G$42)</f>
        <v/>
      </c>
      <c r="J36" s="74">
        <f>SUM($H$33:H36)/SUM($H$33:$H$42)</f>
        <v/>
      </c>
      <c r="K36" s="75">
        <f>I36-J36</f>
        <v/>
      </c>
    </row>
    <row r="37">
      <c r="D37" s="72" t="n">
        <v>0.5</v>
      </c>
      <c r="E37" s="72" t="n">
        <v>0.6</v>
      </c>
      <c r="F37" s="73">
        <f>COUNTIFS('3 Decision Tree'!$D$23:$D$1022,"&gt;="&amp;D37,'3 Decision Tree'!$D$23:$D$1022,"&lt;"&amp;E37)</f>
        <v/>
      </c>
      <c r="G37" s="73">
        <f>COUNTIFS('3 Decision Tree'!$D$23:$D$1022,"&gt;="&amp;D37,'3 Decision Tree'!$D$23:$D$1022,"&lt;"&amp;E37,'3 Decision Tree'!$E$23:$E$1022,1)</f>
        <v/>
      </c>
      <c r="H37" s="73">
        <f>F37-G37</f>
        <v/>
      </c>
      <c r="I37" s="74">
        <f>SUM($G$33:G37)/SUM($G$33:$G$42)</f>
        <v/>
      </c>
      <c r="J37" s="74">
        <f>SUM($H$33:H37)/SUM($H$33:$H$42)</f>
        <v/>
      </c>
      <c r="K37" s="75">
        <f>I37-J37</f>
        <v/>
      </c>
    </row>
    <row r="38">
      <c r="D38" s="72" t="n">
        <v>0.4</v>
      </c>
      <c r="E38" s="72" t="n">
        <v>0.5</v>
      </c>
      <c r="F38" s="73">
        <f>COUNTIFS('3 Decision Tree'!$D$23:$D$1022,"&gt;="&amp;D38,'3 Decision Tree'!$D$23:$D$1022,"&lt;"&amp;E38)</f>
        <v/>
      </c>
      <c r="G38" s="73">
        <f>COUNTIFS('3 Decision Tree'!$D$23:$D$1022,"&gt;="&amp;D38,'3 Decision Tree'!$D$23:$D$1022,"&lt;"&amp;E38,'3 Decision Tree'!$E$23:$E$1022,1)</f>
        <v/>
      </c>
      <c r="H38" s="73">
        <f>F38-G38</f>
        <v/>
      </c>
      <c r="I38" s="74">
        <f>SUM($G$33:G38)/SUM($G$33:$G$42)</f>
        <v/>
      </c>
      <c r="J38" s="74">
        <f>SUM($H$33:H38)/SUM($H$33:$H$42)</f>
        <v/>
      </c>
      <c r="K38" s="75">
        <f>I38-J38</f>
        <v/>
      </c>
    </row>
    <row r="39">
      <c r="D39" s="72" t="n">
        <v>0.3</v>
      </c>
      <c r="E39" s="72" t="n">
        <v>0.4</v>
      </c>
      <c r="F39" s="73">
        <f>COUNTIFS('3 Decision Tree'!$D$23:$D$1022,"&gt;="&amp;D39,'3 Decision Tree'!$D$23:$D$1022,"&lt;"&amp;E39)</f>
        <v/>
      </c>
      <c r="G39" s="73">
        <f>COUNTIFS('3 Decision Tree'!$D$23:$D$1022,"&gt;="&amp;D39,'3 Decision Tree'!$D$23:$D$1022,"&lt;"&amp;E39,'3 Decision Tree'!$E$23:$E$1022,1)</f>
        <v/>
      </c>
      <c r="H39" s="73">
        <f>F39-G39</f>
        <v/>
      </c>
      <c r="I39" s="74">
        <f>SUM($G$33:G39)/SUM($G$33:$G$42)</f>
        <v/>
      </c>
      <c r="J39" s="74">
        <f>SUM($H$33:H39)/SUM($H$33:$H$42)</f>
        <v/>
      </c>
      <c r="K39" s="75">
        <f>I39-J39</f>
        <v/>
      </c>
    </row>
    <row r="40">
      <c r="D40" s="72" t="n">
        <v>0.2</v>
      </c>
      <c r="E40" s="72" t="n">
        <v>0.3</v>
      </c>
      <c r="F40" s="73">
        <f>COUNTIFS('3 Decision Tree'!$D$23:$D$1022,"&gt;="&amp;D40,'3 Decision Tree'!$D$23:$D$1022,"&lt;"&amp;E40)</f>
        <v/>
      </c>
      <c r="G40" s="73">
        <f>COUNTIFS('3 Decision Tree'!$D$23:$D$1022,"&gt;="&amp;D40,'3 Decision Tree'!$D$23:$D$1022,"&lt;"&amp;E40,'3 Decision Tree'!$E$23:$E$1022,1)</f>
        <v/>
      </c>
      <c r="H40" s="73">
        <f>F40-G40</f>
        <v/>
      </c>
      <c r="I40" s="74">
        <f>SUM($G$33:G40)/SUM($G$33:$G$42)</f>
        <v/>
      </c>
      <c r="J40" s="74">
        <f>SUM($H$33:H40)/SUM($H$33:$H$42)</f>
        <v/>
      </c>
      <c r="K40" s="75">
        <f>I40-J40</f>
        <v/>
      </c>
    </row>
    <row r="41">
      <c r="D41" s="72" t="n">
        <v>0.1</v>
      </c>
      <c r="E41" s="72" t="n">
        <v>0.2</v>
      </c>
      <c r="F41" s="73">
        <f>COUNTIFS('3 Decision Tree'!$D$23:$D$1022,"&gt;="&amp;D41,'3 Decision Tree'!$D$23:$D$1022,"&lt;"&amp;E41)</f>
        <v/>
      </c>
      <c r="G41" s="73">
        <f>COUNTIFS('3 Decision Tree'!$D$23:$D$1022,"&gt;="&amp;D41,'3 Decision Tree'!$D$23:$D$1022,"&lt;"&amp;E41,'3 Decision Tree'!$E$23:$E$1022,1)</f>
        <v/>
      </c>
      <c r="H41" s="73">
        <f>F41-G41</f>
        <v/>
      </c>
      <c r="I41" s="74">
        <f>SUM($G$33:G41)/SUM($G$33:$G$42)</f>
        <v/>
      </c>
      <c r="J41" s="74">
        <f>SUM($H$33:H41)/SUM($H$33:$H$42)</f>
        <v/>
      </c>
      <c r="K41" s="75">
        <f>I41-J41</f>
        <v/>
      </c>
    </row>
    <row r="42">
      <c r="D42" s="72" t="n">
        <v>0</v>
      </c>
      <c r="E42" s="72" t="n">
        <v>0.1</v>
      </c>
      <c r="F42" s="73">
        <f>COUNTIFS('3 Decision Tree'!$D$23:$D$1022,"&gt;="&amp;D42,'3 Decision Tree'!$D$23:$D$1022,"&lt;="&amp;E42)</f>
        <v/>
      </c>
      <c r="G42" s="73">
        <f>COUNTIFS('3 Decision Tree'!$D$23:$D$1022,"&gt;="&amp;D42,'3 Decision Tree'!$D$23:$D$1022,"&lt;="&amp;E42,'3 Decision Tree'!$E$23:$E$1022,1)</f>
        <v/>
      </c>
      <c r="H42" s="73">
        <f>F42-G42</f>
        <v/>
      </c>
      <c r="I42" s="74">
        <f>SUM($G$33:G42)/SUM($G$33:$G$42)</f>
        <v/>
      </c>
      <c r="J42" s="74">
        <f>SUM($H$33:H42)/SUM($H$33:$H$42)</f>
        <v/>
      </c>
      <c r="K42" s="75">
        <f>I42-J42</f>
        <v/>
      </c>
    </row>
    <row r="43">
      <c r="I43" s="79" t="inlineStr">
        <is>
          <t>KS  =</t>
        </is>
      </c>
      <c r="J43" s="80">
        <f>MAX(K33:K42)</f>
        <v/>
      </c>
      <c r="K43" s="81" t="inlineStr">
        <is>
          <t>widest gap</t>
        </is>
      </c>
    </row>
    <row r="51" ht="22" customHeight="1">
      <c r="B51" s="69" t="inlineStr">
        <is>
          <t xml:space="preserve">   XGBoost</t>
        </is>
      </c>
    </row>
    <row r="52" ht="26" customHeight="1">
      <c r="B52" s="70" t="inlineStr">
        <is>
          <t>Bad customers (defaulted)</t>
        </is>
      </c>
      <c r="C52" s="61">
        <f>SUM('4 XGBoost'!$D$23:$D$1022)</f>
        <v/>
      </c>
      <c r="D52" s="71" t="inlineStr">
        <is>
          <t>From</t>
        </is>
      </c>
      <c r="E52" s="71" t="inlineStr">
        <is>
          <t>To</t>
        </is>
      </c>
      <c r="F52" s="71" t="inlineStr">
        <is>
          <t>Customers</t>
        </is>
      </c>
      <c r="G52" s="71" t="inlineStr">
        <is>
          <t>Bad</t>
        </is>
      </c>
      <c r="H52" s="71" t="inlineStr">
        <is>
          <t>Good</t>
        </is>
      </c>
      <c r="I52" s="71" t="inlineStr">
        <is>
          <t>Cum % of bad</t>
        </is>
      </c>
      <c r="J52" s="71" t="inlineStr">
        <is>
          <t>Cum % of good</t>
        </is>
      </c>
      <c r="K52" s="71" t="inlineStr">
        <is>
          <t>Gap</t>
        </is>
      </c>
    </row>
    <row r="53">
      <c r="B53" s="70" t="inlineStr">
        <is>
          <t>Good customers</t>
        </is>
      </c>
      <c r="C53" s="61">
        <f>COUNT('4 XGBoost'!$D$23:$D$1022)-C52</f>
        <v/>
      </c>
      <c r="D53" s="72" t="n">
        <v>0.9</v>
      </c>
      <c r="E53" s="72" t="n">
        <v>1</v>
      </c>
      <c r="F53" s="73">
        <f>COUNTIFS('4 XGBoost'!$C$23:$C$1022,"&gt;="&amp;D53,'4 XGBoost'!$C$23:$C$1022,"&lt;"&amp;E53)</f>
        <v/>
      </c>
      <c r="G53" s="73">
        <f>COUNTIFS('4 XGBoost'!$C$23:$C$1022,"&gt;="&amp;D53,'4 XGBoost'!$C$23:$C$1022,"&lt;"&amp;E53,'4 XGBoost'!$D$23:$D$1022,1)</f>
        <v/>
      </c>
      <c r="H53" s="73">
        <f>F53-G53</f>
        <v/>
      </c>
      <c r="I53" s="74">
        <f>SUM($G$53:G53)/SUM($G$53:$G$62)</f>
        <v/>
      </c>
      <c r="J53" s="74">
        <f>SUM($H$53:H53)/SUM($H$53:$H$62)</f>
        <v/>
      </c>
      <c r="K53" s="75">
        <f>I53-J53</f>
        <v/>
      </c>
    </row>
    <row r="54">
      <c r="B54" s="70" t="inlineStr">
        <is>
          <t>Sum of the bad customers' ranks</t>
        </is>
      </c>
      <c r="C54" s="76">
        <f>SUMPRODUCT('4 XGBoost'!$E$23:$E$1022,'4 XGBoost'!$D$23:$D$1022)</f>
        <v/>
      </c>
      <c r="D54" s="72" t="n">
        <v>0.8</v>
      </c>
      <c r="E54" s="72" t="n">
        <v>0.9</v>
      </c>
      <c r="F54" s="73">
        <f>COUNTIFS('4 XGBoost'!$C$23:$C$1022,"&gt;="&amp;D54,'4 XGBoost'!$C$23:$C$1022,"&lt;"&amp;E54)</f>
        <v/>
      </c>
      <c r="G54" s="73">
        <f>COUNTIFS('4 XGBoost'!$C$23:$C$1022,"&gt;="&amp;D54,'4 XGBoost'!$C$23:$C$1022,"&lt;"&amp;E54,'4 XGBoost'!$D$23:$D$1022,1)</f>
        <v/>
      </c>
      <c r="H54" s="73">
        <f>F54-G54</f>
        <v/>
      </c>
      <c r="I54" s="74">
        <f>SUM($G$53:G54)/SUM($G$53:$G$62)</f>
        <v/>
      </c>
      <c r="J54" s="74">
        <f>SUM($H$53:H54)/SUM($H$53:$H$62)</f>
        <v/>
      </c>
      <c r="K54" s="75">
        <f>I54-J54</f>
        <v/>
      </c>
    </row>
    <row r="55">
      <c r="B55" s="77" t="inlineStr">
        <is>
          <t>AUC</t>
        </is>
      </c>
      <c r="C55" s="78">
        <f>(C54-C52*(C52+1)/2)/(C52*C53)</f>
        <v/>
      </c>
      <c r="D55" s="72" t="n">
        <v>0.7</v>
      </c>
      <c r="E55" s="72" t="n">
        <v>0.8</v>
      </c>
      <c r="F55" s="73">
        <f>COUNTIFS('4 XGBoost'!$C$23:$C$1022,"&gt;="&amp;D55,'4 XGBoost'!$C$23:$C$1022,"&lt;"&amp;E55)</f>
        <v/>
      </c>
      <c r="G55" s="73">
        <f>COUNTIFS('4 XGBoost'!$C$23:$C$1022,"&gt;="&amp;D55,'4 XGBoost'!$C$23:$C$1022,"&lt;"&amp;E55,'4 XGBoost'!$D$23:$D$1022,1)</f>
        <v/>
      </c>
      <c r="H55" s="73">
        <f>F55-G55</f>
        <v/>
      </c>
      <c r="I55" s="74">
        <f>SUM($G$53:G55)/SUM($G$53:$G$62)</f>
        <v/>
      </c>
      <c r="J55" s="74">
        <f>SUM($H$53:H55)/SUM($H$53:$H$62)</f>
        <v/>
      </c>
      <c r="K55" s="75">
        <f>I55-J55</f>
        <v/>
      </c>
    </row>
    <row r="56">
      <c r="B56" s="77" t="inlineStr">
        <is>
          <t>Gini  = 2 × AUC − 1</t>
        </is>
      </c>
      <c r="C56" s="78">
        <f>2*C55-1</f>
        <v/>
      </c>
      <c r="D56" s="72" t="n">
        <v>0.6</v>
      </c>
      <c r="E56" s="72" t="n">
        <v>0.7</v>
      </c>
      <c r="F56" s="73">
        <f>COUNTIFS('4 XGBoost'!$C$23:$C$1022,"&gt;="&amp;D56,'4 XGBoost'!$C$23:$C$1022,"&lt;"&amp;E56)</f>
        <v/>
      </c>
      <c r="G56" s="73">
        <f>COUNTIFS('4 XGBoost'!$C$23:$C$1022,"&gt;="&amp;D56,'4 XGBoost'!$C$23:$C$1022,"&lt;"&amp;E56,'4 XGBoost'!$D$23:$D$1022,1)</f>
        <v/>
      </c>
      <c r="H56" s="73">
        <f>F56-G56</f>
        <v/>
      </c>
      <c r="I56" s="74">
        <f>SUM($G$53:G56)/SUM($G$53:$G$62)</f>
        <v/>
      </c>
      <c r="J56" s="74">
        <f>SUM($H$53:H56)/SUM($H$53:$H$62)</f>
        <v/>
      </c>
      <c r="K56" s="75">
        <f>I56-J56</f>
        <v/>
      </c>
    </row>
    <row r="57">
      <c r="D57" s="72" t="n">
        <v>0.5</v>
      </c>
      <c r="E57" s="72" t="n">
        <v>0.6</v>
      </c>
      <c r="F57" s="73">
        <f>COUNTIFS('4 XGBoost'!$C$23:$C$1022,"&gt;="&amp;D57,'4 XGBoost'!$C$23:$C$1022,"&lt;"&amp;E57)</f>
        <v/>
      </c>
      <c r="G57" s="73">
        <f>COUNTIFS('4 XGBoost'!$C$23:$C$1022,"&gt;="&amp;D57,'4 XGBoost'!$C$23:$C$1022,"&lt;"&amp;E57,'4 XGBoost'!$D$23:$D$1022,1)</f>
        <v/>
      </c>
      <c r="H57" s="73">
        <f>F57-G57</f>
        <v/>
      </c>
      <c r="I57" s="74">
        <f>SUM($G$53:G57)/SUM($G$53:$G$62)</f>
        <v/>
      </c>
      <c r="J57" s="74">
        <f>SUM($H$53:H57)/SUM($H$53:$H$62)</f>
        <v/>
      </c>
      <c r="K57" s="75">
        <f>I57-J57</f>
        <v/>
      </c>
    </row>
    <row r="58">
      <c r="D58" s="72" t="n">
        <v>0.4</v>
      </c>
      <c r="E58" s="72" t="n">
        <v>0.5</v>
      </c>
      <c r="F58" s="73">
        <f>COUNTIFS('4 XGBoost'!$C$23:$C$1022,"&gt;="&amp;D58,'4 XGBoost'!$C$23:$C$1022,"&lt;"&amp;E58)</f>
        <v/>
      </c>
      <c r="G58" s="73">
        <f>COUNTIFS('4 XGBoost'!$C$23:$C$1022,"&gt;="&amp;D58,'4 XGBoost'!$C$23:$C$1022,"&lt;"&amp;E58,'4 XGBoost'!$D$23:$D$1022,1)</f>
        <v/>
      </c>
      <c r="H58" s="73">
        <f>F58-G58</f>
        <v/>
      </c>
      <c r="I58" s="74">
        <f>SUM($G$53:G58)/SUM($G$53:$G$62)</f>
        <v/>
      </c>
      <c r="J58" s="74">
        <f>SUM($H$53:H58)/SUM($H$53:$H$62)</f>
        <v/>
      </c>
      <c r="K58" s="75">
        <f>I58-J58</f>
        <v/>
      </c>
    </row>
    <row r="59">
      <c r="D59" s="72" t="n">
        <v>0.3</v>
      </c>
      <c r="E59" s="72" t="n">
        <v>0.4</v>
      </c>
      <c r="F59" s="73">
        <f>COUNTIFS('4 XGBoost'!$C$23:$C$1022,"&gt;="&amp;D59,'4 XGBoost'!$C$23:$C$1022,"&lt;"&amp;E59)</f>
        <v/>
      </c>
      <c r="G59" s="73">
        <f>COUNTIFS('4 XGBoost'!$C$23:$C$1022,"&gt;="&amp;D59,'4 XGBoost'!$C$23:$C$1022,"&lt;"&amp;E59,'4 XGBoost'!$D$23:$D$1022,1)</f>
        <v/>
      </c>
      <c r="H59" s="73">
        <f>F59-G59</f>
        <v/>
      </c>
      <c r="I59" s="74">
        <f>SUM($G$53:G59)/SUM($G$53:$G$62)</f>
        <v/>
      </c>
      <c r="J59" s="74">
        <f>SUM($H$53:H59)/SUM($H$53:$H$62)</f>
        <v/>
      </c>
      <c r="K59" s="75">
        <f>I59-J59</f>
        <v/>
      </c>
    </row>
    <row r="60">
      <c r="D60" s="72" t="n">
        <v>0.2</v>
      </c>
      <c r="E60" s="72" t="n">
        <v>0.3</v>
      </c>
      <c r="F60" s="73">
        <f>COUNTIFS('4 XGBoost'!$C$23:$C$1022,"&gt;="&amp;D60,'4 XGBoost'!$C$23:$C$1022,"&lt;"&amp;E60)</f>
        <v/>
      </c>
      <c r="G60" s="73">
        <f>COUNTIFS('4 XGBoost'!$C$23:$C$1022,"&gt;="&amp;D60,'4 XGBoost'!$C$23:$C$1022,"&lt;"&amp;E60,'4 XGBoost'!$D$23:$D$1022,1)</f>
        <v/>
      </c>
      <c r="H60" s="73">
        <f>F60-G60</f>
        <v/>
      </c>
      <c r="I60" s="74">
        <f>SUM($G$53:G60)/SUM($G$53:$G$62)</f>
        <v/>
      </c>
      <c r="J60" s="74">
        <f>SUM($H$53:H60)/SUM($H$53:$H$62)</f>
        <v/>
      </c>
      <c r="K60" s="75">
        <f>I60-J60</f>
        <v/>
      </c>
    </row>
    <row r="61">
      <c r="D61" s="72" t="n">
        <v>0.1</v>
      </c>
      <c r="E61" s="72" t="n">
        <v>0.2</v>
      </c>
      <c r="F61" s="73">
        <f>COUNTIFS('4 XGBoost'!$C$23:$C$1022,"&gt;="&amp;D61,'4 XGBoost'!$C$23:$C$1022,"&lt;"&amp;E61)</f>
        <v/>
      </c>
      <c r="G61" s="73">
        <f>COUNTIFS('4 XGBoost'!$C$23:$C$1022,"&gt;="&amp;D61,'4 XGBoost'!$C$23:$C$1022,"&lt;"&amp;E61,'4 XGBoost'!$D$23:$D$1022,1)</f>
        <v/>
      </c>
      <c r="H61" s="73">
        <f>F61-G61</f>
        <v/>
      </c>
      <c r="I61" s="74">
        <f>SUM($G$53:G61)/SUM($G$53:$G$62)</f>
        <v/>
      </c>
      <c r="J61" s="74">
        <f>SUM($H$53:H61)/SUM($H$53:$H$62)</f>
        <v/>
      </c>
      <c r="K61" s="75">
        <f>I61-J61</f>
        <v/>
      </c>
    </row>
    <row r="62">
      <c r="D62" s="72" t="n">
        <v>0</v>
      </c>
      <c r="E62" s="72" t="n">
        <v>0.1</v>
      </c>
      <c r="F62" s="73">
        <f>COUNTIFS('4 XGBoost'!$C$23:$C$1022,"&gt;="&amp;D62,'4 XGBoost'!$C$23:$C$1022,"&lt;="&amp;E62)</f>
        <v/>
      </c>
      <c r="G62" s="73">
        <f>COUNTIFS('4 XGBoost'!$C$23:$C$1022,"&gt;="&amp;D62,'4 XGBoost'!$C$23:$C$1022,"&lt;="&amp;E62,'4 XGBoost'!$D$23:$D$1022,1)</f>
        <v/>
      </c>
      <c r="H62" s="73">
        <f>F62-G62</f>
        <v/>
      </c>
      <c r="I62" s="74">
        <f>SUM($G$53:G62)/SUM($G$53:$G$62)</f>
        <v/>
      </c>
      <c r="J62" s="74">
        <f>SUM($H$53:H62)/SUM($H$53:$H$62)</f>
        <v/>
      </c>
      <c r="K62" s="75">
        <f>I62-J62</f>
        <v/>
      </c>
    </row>
    <row r="63">
      <c r="I63" s="79" t="inlineStr">
        <is>
          <t>KS  =</t>
        </is>
      </c>
      <c r="J63" s="80">
        <f>MAX(K53:K62)</f>
        <v/>
      </c>
      <c r="K63" s="81" t="inlineStr">
        <is>
          <t>widest gap</t>
        </is>
      </c>
    </row>
  </sheetData>
  <mergeCells count="7">
    <mergeCell ref="B11:I11"/>
    <mergeCell ref="B2:I2"/>
    <mergeCell ref="B51:I51"/>
    <mergeCell ref="B3:I3"/>
    <mergeCell ref="B31:I31"/>
    <mergeCell ref="B5:I8"/>
    <mergeCell ref="B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2026-09-19T00:53:45Z</dcterms:created>
  <dcterms:modified xmlns:dcterms="http://purl.org/dc/terms/" xmlns:xsi="http://www.w3.org/2001/XMLSchema-instance" xsi:type="dcterms:W3CDTF">2026-09-19T00:53:47Z</dcterms:modified>
</cp:coreProperties>
</file>